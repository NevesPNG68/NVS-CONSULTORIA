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45F7F3C0-1E9B-41EB-8AAE-030E240D40CE}" xr6:coauthVersionLast="47" xr6:coauthVersionMax="47" xr10:uidLastSave="{00000000-0000-0000-0000-000000000000}"/>
  <bookViews>
    <workbookView xWindow="1335" yWindow="0" windowWidth="17280" windowHeight="15585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Despesas'!$B$6:$R$795</definedName>
  </definedNames>
  <calcPr calcId="191029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2" l="1"/>
  <c r="P11" i="2"/>
  <c r="J11" i="2"/>
  <c r="M11" i="2" s="1"/>
  <c r="C11" i="2"/>
  <c r="D11" i="2"/>
  <c r="P35" i="2"/>
  <c r="O35" i="2"/>
  <c r="J35" i="2"/>
  <c r="R35" i="2" s="1"/>
  <c r="S35" i="2" s="1"/>
  <c r="D35" i="2"/>
  <c r="C35" i="2"/>
  <c r="O36" i="2"/>
  <c r="P36" i="2"/>
  <c r="J36" i="2"/>
  <c r="M36" i="2" s="1"/>
  <c r="C36" i="2"/>
  <c r="D36" i="2"/>
  <c r="P31" i="2"/>
  <c r="O31" i="2"/>
  <c r="J31" i="2"/>
  <c r="D31" i="2"/>
  <c r="C31" i="2"/>
  <c r="R7" i="2"/>
  <c r="P42" i="2"/>
  <c r="O42" i="2"/>
  <c r="J42" i="2"/>
  <c r="R42" i="2" s="1"/>
  <c r="D42" i="2"/>
  <c r="C42" i="2"/>
  <c r="P41" i="2"/>
  <c r="O41" i="2"/>
  <c r="J41" i="2"/>
  <c r="M41" i="2" s="1"/>
  <c r="D41" i="2"/>
  <c r="C41" i="2"/>
  <c r="P40" i="2"/>
  <c r="O40" i="2"/>
  <c r="J40" i="2"/>
  <c r="R40" i="2" s="1"/>
  <c r="D40" i="2"/>
  <c r="C40" i="2"/>
  <c r="P39" i="2"/>
  <c r="O39" i="2"/>
  <c r="J39" i="2"/>
  <c r="M39" i="2" s="1"/>
  <c r="D39" i="2"/>
  <c r="C39" i="2"/>
  <c r="R11" i="2" l="1"/>
  <c r="M35" i="2"/>
  <c r="R36" i="2"/>
  <c r="S36" i="2" s="1"/>
  <c r="R31" i="2"/>
  <c r="S31" i="2" s="1"/>
  <c r="M31" i="2"/>
  <c r="R41" i="2"/>
  <c r="S41" i="2" s="1"/>
  <c r="R39" i="2"/>
  <c r="S39" i="2" s="1"/>
  <c r="S42" i="2"/>
  <c r="S40" i="2"/>
  <c r="M42" i="2"/>
  <c r="M40" i="2"/>
  <c r="P47" i="2"/>
  <c r="O47" i="2"/>
  <c r="J47" i="2"/>
  <c r="D47" i="2"/>
  <c r="C47" i="2"/>
  <c r="P46" i="2"/>
  <c r="O46" i="2"/>
  <c r="J46" i="2"/>
  <c r="D46" i="2"/>
  <c r="C46" i="2"/>
  <c r="P45" i="2"/>
  <c r="O45" i="2"/>
  <c r="J45" i="2"/>
  <c r="D45" i="2"/>
  <c r="C45" i="2"/>
  <c r="P43" i="2"/>
  <c r="O43" i="2"/>
  <c r="J43" i="2"/>
  <c r="D43" i="2"/>
  <c r="C43" i="2"/>
  <c r="O34" i="2"/>
  <c r="P34" i="2"/>
  <c r="J34" i="2"/>
  <c r="R34" i="2" s="1"/>
  <c r="C34" i="2"/>
  <c r="D34" i="2"/>
  <c r="P33" i="2"/>
  <c r="O33" i="2"/>
  <c r="J33" i="2"/>
  <c r="D33" i="2"/>
  <c r="C33" i="2"/>
  <c r="P32" i="2"/>
  <c r="O32" i="2"/>
  <c r="J32" i="2"/>
  <c r="R32" i="2" s="1"/>
  <c r="D32" i="2"/>
  <c r="C32" i="2"/>
  <c r="P30" i="2"/>
  <c r="O30" i="2"/>
  <c r="J30" i="2"/>
  <c r="D30" i="2"/>
  <c r="C30" i="2"/>
  <c r="P29" i="2"/>
  <c r="O29" i="2"/>
  <c r="J29" i="2"/>
  <c r="D29" i="2"/>
  <c r="C29" i="2"/>
  <c r="P25" i="2"/>
  <c r="O790" i="2"/>
  <c r="O789" i="2"/>
  <c r="O788" i="2"/>
  <c r="O787" i="2"/>
  <c r="O786" i="2"/>
  <c r="O785" i="2"/>
  <c r="O784" i="2"/>
  <c r="O783" i="2"/>
  <c r="O782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5" i="2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25" i="2"/>
  <c r="R25" i="2" s="1"/>
  <c r="J23" i="2"/>
  <c r="R23" i="2" s="1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5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5" i="2"/>
  <c r="C23" i="2"/>
  <c r="I16" i="2"/>
  <c r="J16" i="2" s="1"/>
  <c r="R16" i="2" s="1"/>
  <c r="P16" i="2"/>
  <c r="O16" i="2"/>
  <c r="D16" i="2"/>
  <c r="C16" i="2"/>
  <c r="C24" i="2"/>
  <c r="D24" i="2"/>
  <c r="J24" i="2"/>
  <c r="R24" i="2" s="1"/>
  <c r="O24" i="2"/>
  <c r="P24" i="2"/>
  <c r="P22" i="2"/>
  <c r="O22" i="2"/>
  <c r="J22" i="2"/>
  <c r="R22" i="2" s="1"/>
  <c r="D22" i="2"/>
  <c r="C22" i="2"/>
  <c r="P21" i="2"/>
  <c r="O21" i="2"/>
  <c r="J21" i="2"/>
  <c r="R21" i="2" s="1"/>
  <c r="D21" i="2"/>
  <c r="C21" i="2"/>
  <c r="P8" i="2"/>
  <c r="P9" i="2"/>
  <c r="P10" i="2"/>
  <c r="P23" i="2"/>
  <c r="P12" i="2"/>
  <c r="P13" i="2"/>
  <c r="P14" i="2"/>
  <c r="P15" i="2"/>
  <c r="P17" i="2"/>
  <c r="P18" i="2"/>
  <c r="P19" i="2"/>
  <c r="P20" i="2"/>
  <c r="P26" i="2"/>
  <c r="P27" i="2"/>
  <c r="P28" i="2"/>
  <c r="P37" i="2"/>
  <c r="P38" i="2"/>
  <c r="P44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7" i="2"/>
  <c r="D8" i="2"/>
  <c r="D9" i="2"/>
  <c r="D10" i="2"/>
  <c r="D23" i="2"/>
  <c r="D12" i="2"/>
  <c r="D13" i="2"/>
  <c r="D14" i="2"/>
  <c r="D15" i="2"/>
  <c r="D17" i="2"/>
  <c r="D18" i="2"/>
  <c r="D19" i="2"/>
  <c r="D20" i="2"/>
  <c r="D26" i="2"/>
  <c r="D27" i="2"/>
  <c r="D28" i="2"/>
  <c r="D37" i="2"/>
  <c r="D38" i="2"/>
  <c r="D44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7" i="2"/>
  <c r="K43" i="2" l="1"/>
  <c r="R43" i="2" s="1"/>
  <c r="S43" i="2" s="1"/>
  <c r="S34" i="2"/>
  <c r="K45" i="2"/>
  <c r="R45" i="2" s="1"/>
  <c r="K33" i="2"/>
  <c r="R33" i="2" s="1"/>
  <c r="K30" i="2"/>
  <c r="R30" i="2" s="1"/>
  <c r="K46" i="2"/>
  <c r="R46" i="2" s="1"/>
  <c r="M45" i="2"/>
  <c r="M43" i="2"/>
  <c r="M46" i="2"/>
  <c r="K47" i="2"/>
  <c r="R47" i="2" s="1"/>
  <c r="M47" i="2"/>
  <c r="M34" i="2"/>
  <c r="S32" i="2"/>
  <c r="R29" i="2"/>
  <c r="M32" i="2"/>
  <c r="M33" i="2"/>
  <c r="M29" i="2"/>
  <c r="M30" i="2"/>
  <c r="S25" i="2"/>
  <c r="M497" i="2"/>
  <c r="M465" i="2"/>
  <c r="M433" i="2"/>
  <c r="M401" i="2"/>
  <c r="M625" i="2"/>
  <c r="M369" i="2"/>
  <c r="M593" i="2"/>
  <c r="M337" i="2"/>
  <c r="M561" i="2"/>
  <c r="M305" i="2"/>
  <c r="M529" i="2"/>
  <c r="M741" i="2"/>
  <c r="M677" i="2"/>
  <c r="M629" i="2"/>
  <c r="M597" i="2"/>
  <c r="M565" i="2"/>
  <c r="M533" i="2"/>
  <c r="M501" i="2"/>
  <c r="M469" i="2"/>
  <c r="M437" i="2"/>
  <c r="M405" i="2"/>
  <c r="M373" i="2"/>
  <c r="M341" i="2"/>
  <c r="M309" i="2"/>
  <c r="M733" i="2"/>
  <c r="M725" i="2"/>
  <c r="M661" i="2"/>
  <c r="M621" i="2"/>
  <c r="M589" i="2"/>
  <c r="M557" i="2"/>
  <c r="M525" i="2"/>
  <c r="M493" i="2"/>
  <c r="M461" i="2"/>
  <c r="M429" i="2"/>
  <c r="M397" i="2"/>
  <c r="M365" i="2"/>
  <c r="M333" i="2"/>
  <c r="M301" i="2"/>
  <c r="M717" i="2"/>
  <c r="M653" i="2"/>
  <c r="M617" i="2"/>
  <c r="M585" i="2"/>
  <c r="M553" i="2"/>
  <c r="M521" i="2"/>
  <c r="M489" i="2"/>
  <c r="M457" i="2"/>
  <c r="M425" i="2"/>
  <c r="M393" i="2"/>
  <c r="M361" i="2"/>
  <c r="M329" i="2"/>
  <c r="M297" i="2"/>
  <c r="M709" i="2"/>
  <c r="M649" i="2"/>
  <c r="M613" i="2"/>
  <c r="M581" i="2"/>
  <c r="M549" i="2"/>
  <c r="M517" i="2"/>
  <c r="M485" i="2"/>
  <c r="M453" i="2"/>
  <c r="M421" i="2"/>
  <c r="M389" i="2"/>
  <c r="M357" i="2"/>
  <c r="M325" i="2"/>
  <c r="M293" i="2"/>
  <c r="M701" i="2"/>
  <c r="M645" i="2"/>
  <c r="M609" i="2"/>
  <c r="M577" i="2"/>
  <c r="M545" i="2"/>
  <c r="M513" i="2"/>
  <c r="M481" i="2"/>
  <c r="M449" i="2"/>
  <c r="M417" i="2"/>
  <c r="M385" i="2"/>
  <c r="M353" i="2"/>
  <c r="M321" i="2"/>
  <c r="M289" i="2"/>
  <c r="M669" i="2"/>
  <c r="M693" i="2"/>
  <c r="M637" i="2"/>
  <c r="M605" i="2"/>
  <c r="M573" i="2"/>
  <c r="M541" i="2"/>
  <c r="M509" i="2"/>
  <c r="M477" i="2"/>
  <c r="M445" i="2"/>
  <c r="M413" i="2"/>
  <c r="M381" i="2"/>
  <c r="M349" i="2"/>
  <c r="M317" i="2"/>
  <c r="M285" i="2"/>
  <c r="M685" i="2"/>
  <c r="M633" i="2"/>
  <c r="M601" i="2"/>
  <c r="M569" i="2"/>
  <c r="M537" i="2"/>
  <c r="M505" i="2"/>
  <c r="M473" i="2"/>
  <c r="M441" i="2"/>
  <c r="M409" i="2"/>
  <c r="M377" i="2"/>
  <c r="M345" i="2"/>
  <c r="M313" i="2"/>
  <c r="M281" i="2"/>
  <c r="M742" i="2"/>
  <c r="M734" i="2"/>
  <c r="M726" i="2"/>
  <c r="M718" i="2"/>
  <c r="M710" i="2"/>
  <c r="M702" i="2"/>
  <c r="M694" i="2"/>
  <c r="M686" i="2"/>
  <c r="M678" i="2"/>
  <c r="M670" i="2"/>
  <c r="M662" i="2"/>
  <c r="M654" i="2"/>
  <c r="M646" i="2"/>
  <c r="M638" i="2"/>
  <c r="M630" i="2"/>
  <c r="M622" i="2"/>
  <c r="M614" i="2"/>
  <c r="M606" i="2"/>
  <c r="M598" i="2"/>
  <c r="M590" i="2"/>
  <c r="M582" i="2"/>
  <c r="M574" i="2"/>
  <c r="M566" i="2"/>
  <c r="M558" i="2"/>
  <c r="M550" i="2"/>
  <c r="M542" i="2"/>
  <c r="M534" i="2"/>
  <c r="M526" i="2"/>
  <c r="M518" i="2"/>
  <c r="M510" i="2"/>
  <c r="M502" i="2"/>
  <c r="M494" i="2"/>
  <c r="M486" i="2"/>
  <c r="M478" i="2"/>
  <c r="M470" i="2"/>
  <c r="M462" i="2"/>
  <c r="M454" i="2"/>
  <c r="M446" i="2"/>
  <c r="M438" i="2"/>
  <c r="M430" i="2"/>
  <c r="M422" i="2"/>
  <c r="M414" i="2"/>
  <c r="M406" i="2"/>
  <c r="M398" i="2"/>
  <c r="M390" i="2"/>
  <c r="M382" i="2"/>
  <c r="M374" i="2"/>
  <c r="M366" i="2"/>
  <c r="M358" i="2"/>
  <c r="M350" i="2"/>
  <c r="M342" i="2"/>
  <c r="M334" i="2"/>
  <c r="M326" i="2"/>
  <c r="M318" i="2"/>
  <c r="M310" i="2"/>
  <c r="M302" i="2"/>
  <c r="M294" i="2"/>
  <c r="M286" i="2"/>
  <c r="M740" i="2"/>
  <c r="M732" i="2"/>
  <c r="M724" i="2"/>
  <c r="M716" i="2"/>
  <c r="M708" i="2"/>
  <c r="M700" i="2"/>
  <c r="M692" i="2"/>
  <c r="M684" i="2"/>
  <c r="M676" i="2"/>
  <c r="M668" i="2"/>
  <c r="M660" i="2"/>
  <c r="M652" i="2"/>
  <c r="M644" i="2"/>
  <c r="M636" i="2"/>
  <c r="M628" i="2"/>
  <c r="M620" i="2"/>
  <c r="M612" i="2"/>
  <c r="M604" i="2"/>
  <c r="M596" i="2"/>
  <c r="M588" i="2"/>
  <c r="M580" i="2"/>
  <c r="M572" i="2"/>
  <c r="M564" i="2"/>
  <c r="M556" i="2"/>
  <c r="M548" i="2"/>
  <c r="M540" i="2"/>
  <c r="M532" i="2"/>
  <c r="M524" i="2"/>
  <c r="M516" i="2"/>
  <c r="M508" i="2"/>
  <c r="M500" i="2"/>
  <c r="M492" i="2"/>
  <c r="M484" i="2"/>
  <c r="M476" i="2"/>
  <c r="M468" i="2"/>
  <c r="M460" i="2"/>
  <c r="M452" i="2"/>
  <c r="M444" i="2"/>
  <c r="M436" i="2"/>
  <c r="M428" i="2"/>
  <c r="M420" i="2"/>
  <c r="M412" i="2"/>
  <c r="M404" i="2"/>
  <c r="M396" i="2"/>
  <c r="M388" i="2"/>
  <c r="M380" i="2"/>
  <c r="M372" i="2"/>
  <c r="M364" i="2"/>
  <c r="M356" i="2"/>
  <c r="M348" i="2"/>
  <c r="M340" i="2"/>
  <c r="M332" i="2"/>
  <c r="M324" i="2"/>
  <c r="M316" i="2"/>
  <c r="M308" i="2"/>
  <c r="M300" i="2"/>
  <c r="M292" i="2"/>
  <c r="M284" i="2"/>
  <c r="M747" i="2"/>
  <c r="M739" i="2"/>
  <c r="M731" i="2"/>
  <c r="M723" i="2"/>
  <c r="M715" i="2"/>
  <c r="M707" i="2"/>
  <c r="M699" i="2"/>
  <c r="M691" i="2"/>
  <c r="M683" i="2"/>
  <c r="M675" i="2"/>
  <c r="M667" i="2"/>
  <c r="M659" i="2"/>
  <c r="M651" i="2"/>
  <c r="M643" i="2"/>
  <c r="M635" i="2"/>
  <c r="M627" i="2"/>
  <c r="M619" i="2"/>
  <c r="M611" i="2"/>
  <c r="M603" i="2"/>
  <c r="M595" i="2"/>
  <c r="M587" i="2"/>
  <c r="M579" i="2"/>
  <c r="M571" i="2"/>
  <c r="M563" i="2"/>
  <c r="M555" i="2"/>
  <c r="M547" i="2"/>
  <c r="M539" i="2"/>
  <c r="M531" i="2"/>
  <c r="M523" i="2"/>
  <c r="M515" i="2"/>
  <c r="M507" i="2"/>
  <c r="M499" i="2"/>
  <c r="M491" i="2"/>
  <c r="M483" i="2"/>
  <c r="M475" i="2"/>
  <c r="M467" i="2"/>
  <c r="M459" i="2"/>
  <c r="M451" i="2"/>
  <c r="M443" i="2"/>
  <c r="M435" i="2"/>
  <c r="M427" i="2"/>
  <c r="M419" i="2"/>
  <c r="M411" i="2"/>
  <c r="M403" i="2"/>
  <c r="M395" i="2"/>
  <c r="M387" i="2"/>
  <c r="M379" i="2"/>
  <c r="M371" i="2"/>
  <c r="M363" i="2"/>
  <c r="M355" i="2"/>
  <c r="M347" i="2"/>
  <c r="M339" i="2"/>
  <c r="M331" i="2"/>
  <c r="M323" i="2"/>
  <c r="M315" i="2"/>
  <c r="M307" i="2"/>
  <c r="M299" i="2"/>
  <c r="M291" i="2"/>
  <c r="M283" i="2"/>
  <c r="M746" i="2"/>
  <c r="M738" i="2"/>
  <c r="M730" i="2"/>
  <c r="M722" i="2"/>
  <c r="M714" i="2"/>
  <c r="M706" i="2"/>
  <c r="M698" i="2"/>
  <c r="M690" i="2"/>
  <c r="M682" i="2"/>
  <c r="M674" i="2"/>
  <c r="M666" i="2"/>
  <c r="M658" i="2"/>
  <c r="M650" i="2"/>
  <c r="M642" i="2"/>
  <c r="M634" i="2"/>
  <c r="M626" i="2"/>
  <c r="M618" i="2"/>
  <c r="M610" i="2"/>
  <c r="M602" i="2"/>
  <c r="M594" i="2"/>
  <c r="M586" i="2"/>
  <c r="M578" i="2"/>
  <c r="M570" i="2"/>
  <c r="M562" i="2"/>
  <c r="M554" i="2"/>
  <c r="M546" i="2"/>
  <c r="M538" i="2"/>
  <c r="M530" i="2"/>
  <c r="M522" i="2"/>
  <c r="M514" i="2"/>
  <c r="M506" i="2"/>
  <c r="M498" i="2"/>
  <c r="M490" i="2"/>
  <c r="M482" i="2"/>
  <c r="M474" i="2"/>
  <c r="M466" i="2"/>
  <c r="M458" i="2"/>
  <c r="M450" i="2"/>
  <c r="M442" i="2"/>
  <c r="M434" i="2"/>
  <c r="M426" i="2"/>
  <c r="M418" i="2"/>
  <c r="M410" i="2"/>
  <c r="M402" i="2"/>
  <c r="M394" i="2"/>
  <c r="M386" i="2"/>
  <c r="M378" i="2"/>
  <c r="M370" i="2"/>
  <c r="M362" i="2"/>
  <c r="M354" i="2"/>
  <c r="M346" i="2"/>
  <c r="M338" i="2"/>
  <c r="M330" i="2"/>
  <c r="M322" i="2"/>
  <c r="M314" i="2"/>
  <c r="M306" i="2"/>
  <c r="M298" i="2"/>
  <c r="M290" i="2"/>
  <c r="M282" i="2"/>
  <c r="M745" i="2"/>
  <c r="M737" i="2"/>
  <c r="M729" i="2"/>
  <c r="M721" i="2"/>
  <c r="M713" i="2"/>
  <c r="M705" i="2"/>
  <c r="M697" i="2"/>
  <c r="M689" i="2"/>
  <c r="M681" i="2"/>
  <c r="M673" i="2"/>
  <c r="M665" i="2"/>
  <c r="M657" i="2"/>
  <c r="M641" i="2"/>
  <c r="M744" i="2"/>
  <c r="M736" i="2"/>
  <c r="M728" i="2"/>
  <c r="M720" i="2"/>
  <c r="M712" i="2"/>
  <c r="M704" i="2"/>
  <c r="M696" i="2"/>
  <c r="M688" i="2"/>
  <c r="M680" i="2"/>
  <c r="M672" i="2"/>
  <c r="M664" i="2"/>
  <c r="M656" i="2"/>
  <c r="M648" i="2"/>
  <c r="M640" i="2"/>
  <c r="M632" i="2"/>
  <c r="M624" i="2"/>
  <c r="M616" i="2"/>
  <c r="M608" i="2"/>
  <c r="M600" i="2"/>
  <c r="M592" i="2"/>
  <c r="M584" i="2"/>
  <c r="M576" i="2"/>
  <c r="M568" i="2"/>
  <c r="M560" i="2"/>
  <c r="M552" i="2"/>
  <c r="M544" i="2"/>
  <c r="M536" i="2"/>
  <c r="M528" i="2"/>
  <c r="M520" i="2"/>
  <c r="M512" i="2"/>
  <c r="M504" i="2"/>
  <c r="M496" i="2"/>
  <c r="M488" i="2"/>
  <c r="M480" i="2"/>
  <c r="M472" i="2"/>
  <c r="M464" i="2"/>
  <c r="M456" i="2"/>
  <c r="M448" i="2"/>
  <c r="M440" i="2"/>
  <c r="M432" i="2"/>
  <c r="M424" i="2"/>
  <c r="M416" i="2"/>
  <c r="M408" i="2"/>
  <c r="M400" i="2"/>
  <c r="M392" i="2"/>
  <c r="M384" i="2"/>
  <c r="M376" i="2"/>
  <c r="M368" i="2"/>
  <c r="M360" i="2"/>
  <c r="M352" i="2"/>
  <c r="M344" i="2"/>
  <c r="M336" i="2"/>
  <c r="M328" i="2"/>
  <c r="M320" i="2"/>
  <c r="M312" i="2"/>
  <c r="M304" i="2"/>
  <c r="M296" i="2"/>
  <c r="M288" i="2"/>
  <c r="M280" i="2"/>
  <c r="M743" i="2"/>
  <c r="M735" i="2"/>
  <c r="M727" i="2"/>
  <c r="M719" i="2"/>
  <c r="M711" i="2"/>
  <c r="M703" i="2"/>
  <c r="M695" i="2"/>
  <c r="M687" i="2"/>
  <c r="M679" i="2"/>
  <c r="M671" i="2"/>
  <c r="M663" i="2"/>
  <c r="M655" i="2"/>
  <c r="M647" i="2"/>
  <c r="M639" i="2"/>
  <c r="M631" i="2"/>
  <c r="M623" i="2"/>
  <c r="M615" i="2"/>
  <c r="M607" i="2"/>
  <c r="M599" i="2"/>
  <c r="M591" i="2"/>
  <c r="M583" i="2"/>
  <c r="M575" i="2"/>
  <c r="M567" i="2"/>
  <c r="M559" i="2"/>
  <c r="M551" i="2"/>
  <c r="M543" i="2"/>
  <c r="M535" i="2"/>
  <c r="M527" i="2"/>
  <c r="M519" i="2"/>
  <c r="M511" i="2"/>
  <c r="M503" i="2"/>
  <c r="M495" i="2"/>
  <c r="M487" i="2"/>
  <c r="M479" i="2"/>
  <c r="M471" i="2"/>
  <c r="M463" i="2"/>
  <c r="M455" i="2"/>
  <c r="M447" i="2"/>
  <c r="M439" i="2"/>
  <c r="M431" i="2"/>
  <c r="M423" i="2"/>
  <c r="M415" i="2"/>
  <c r="M407" i="2"/>
  <c r="M399" i="2"/>
  <c r="M391" i="2"/>
  <c r="M383" i="2"/>
  <c r="M375" i="2"/>
  <c r="M367" i="2"/>
  <c r="M359" i="2"/>
  <c r="M351" i="2"/>
  <c r="M343" i="2"/>
  <c r="M335" i="2"/>
  <c r="M327" i="2"/>
  <c r="M319" i="2"/>
  <c r="M311" i="2"/>
  <c r="M303" i="2"/>
  <c r="M295" i="2"/>
  <c r="M287" i="2"/>
  <c r="M279" i="2"/>
  <c r="M25" i="2"/>
  <c r="S16" i="2"/>
  <c r="M16" i="2"/>
  <c r="S24" i="2"/>
  <c r="M24" i="2"/>
  <c r="S22" i="2"/>
  <c r="M22" i="2"/>
  <c r="S21" i="2"/>
  <c r="M21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C152" i="2"/>
  <c r="C151" i="2"/>
  <c r="C150" i="2"/>
  <c r="C149" i="2"/>
  <c r="C148" i="2"/>
  <c r="C147" i="2"/>
  <c r="C146" i="2"/>
  <c r="C145" i="2"/>
  <c r="C144" i="2"/>
  <c r="C143" i="2"/>
  <c r="C18" i="2"/>
  <c r="B16" i="6"/>
  <c r="A4" i="13"/>
  <c r="S141" i="2"/>
  <c r="L5" i="13"/>
  <c r="L6" i="13" s="1"/>
  <c r="O8" i="2"/>
  <c r="J8" i="2"/>
  <c r="R8" i="2" s="1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E3" i="4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D11" i="3"/>
  <c r="C11" i="3"/>
  <c r="B11" i="3"/>
  <c r="I10" i="3"/>
  <c r="D10" i="3"/>
  <c r="C10" i="3"/>
  <c r="B10" i="3"/>
  <c r="I9" i="3"/>
  <c r="J9" i="3" s="1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H5" i="1"/>
  <c r="H4" i="1"/>
  <c r="M141" i="2"/>
  <c r="K141" i="2"/>
  <c r="C141" i="2"/>
  <c r="R140" i="2"/>
  <c r="S140" i="2" s="1"/>
  <c r="M140" i="2"/>
  <c r="K140" i="2"/>
  <c r="C140" i="2"/>
  <c r="R139" i="2"/>
  <c r="S139" i="2" s="1"/>
  <c r="M139" i="2"/>
  <c r="K139" i="2"/>
  <c r="C139" i="2"/>
  <c r="R138" i="2"/>
  <c r="S138" i="2" s="1"/>
  <c r="M138" i="2"/>
  <c r="K138" i="2"/>
  <c r="C138" i="2"/>
  <c r="R137" i="2"/>
  <c r="S137" i="2" s="1"/>
  <c r="O137" i="2"/>
  <c r="M137" i="2"/>
  <c r="K137" i="2"/>
  <c r="C137" i="2"/>
  <c r="R136" i="2"/>
  <c r="S136" i="2" s="1"/>
  <c r="O136" i="2"/>
  <c r="M136" i="2"/>
  <c r="K136" i="2"/>
  <c r="C136" i="2"/>
  <c r="R135" i="2"/>
  <c r="S135" i="2" s="1"/>
  <c r="O135" i="2"/>
  <c r="M135" i="2"/>
  <c r="K135" i="2"/>
  <c r="C135" i="2"/>
  <c r="R134" i="2"/>
  <c r="S134" i="2" s="1"/>
  <c r="O134" i="2"/>
  <c r="M134" i="2"/>
  <c r="K134" i="2"/>
  <c r="C134" i="2"/>
  <c r="O133" i="2"/>
  <c r="J133" i="2"/>
  <c r="C133" i="2"/>
  <c r="O132" i="2"/>
  <c r="J132" i="2"/>
  <c r="M132" i="2" s="1"/>
  <c r="C132" i="2"/>
  <c r="O131" i="2"/>
  <c r="J131" i="2"/>
  <c r="R131" i="2" s="1"/>
  <c r="S131" i="2" s="1"/>
  <c r="C131" i="2"/>
  <c r="O130" i="2"/>
  <c r="J130" i="2"/>
  <c r="K130" i="2" s="1"/>
  <c r="C130" i="2"/>
  <c r="O129" i="2"/>
  <c r="J129" i="2"/>
  <c r="M129" i="2" s="1"/>
  <c r="C129" i="2"/>
  <c r="O128" i="2"/>
  <c r="J128" i="2"/>
  <c r="M128" i="2" s="1"/>
  <c r="C128" i="2"/>
  <c r="O127" i="2"/>
  <c r="J127" i="2"/>
  <c r="M127" i="2" s="1"/>
  <c r="C127" i="2"/>
  <c r="O126" i="2"/>
  <c r="J126" i="2"/>
  <c r="M126" i="2" s="1"/>
  <c r="C126" i="2"/>
  <c r="O125" i="2"/>
  <c r="J125" i="2"/>
  <c r="C125" i="2"/>
  <c r="O124" i="2"/>
  <c r="J124" i="2"/>
  <c r="M124" i="2" s="1"/>
  <c r="C124" i="2"/>
  <c r="O123" i="2"/>
  <c r="J123" i="2"/>
  <c r="R123" i="2" s="1"/>
  <c r="S123" i="2" s="1"/>
  <c r="C123" i="2"/>
  <c r="O122" i="2"/>
  <c r="J122" i="2"/>
  <c r="M122" i="2" s="1"/>
  <c r="C122" i="2"/>
  <c r="O121" i="2"/>
  <c r="J121" i="2"/>
  <c r="M121" i="2" s="1"/>
  <c r="C121" i="2"/>
  <c r="O120" i="2"/>
  <c r="J120" i="2"/>
  <c r="M120" i="2" s="1"/>
  <c r="C120" i="2"/>
  <c r="O119" i="2"/>
  <c r="J119" i="2"/>
  <c r="R119" i="2" s="1"/>
  <c r="S119" i="2" s="1"/>
  <c r="C119" i="2"/>
  <c r="O118" i="2"/>
  <c r="J118" i="2"/>
  <c r="M118" i="2" s="1"/>
  <c r="C118" i="2"/>
  <c r="O117" i="2"/>
  <c r="J117" i="2"/>
  <c r="C117" i="2"/>
  <c r="O116" i="2"/>
  <c r="J116" i="2"/>
  <c r="M116" i="2" s="1"/>
  <c r="C116" i="2"/>
  <c r="O115" i="2"/>
  <c r="J115" i="2"/>
  <c r="R115" i="2" s="1"/>
  <c r="S115" i="2" s="1"/>
  <c r="C115" i="2"/>
  <c r="O114" i="2"/>
  <c r="J114" i="2"/>
  <c r="K114" i="2" s="1"/>
  <c r="C114" i="2"/>
  <c r="O113" i="2"/>
  <c r="J113" i="2"/>
  <c r="M113" i="2" s="1"/>
  <c r="C113" i="2"/>
  <c r="O112" i="2"/>
  <c r="J112" i="2"/>
  <c r="M112" i="2" s="1"/>
  <c r="C112" i="2"/>
  <c r="O111" i="2"/>
  <c r="J111" i="2"/>
  <c r="K111" i="2" s="1"/>
  <c r="C111" i="2"/>
  <c r="O110" i="2"/>
  <c r="J110" i="2"/>
  <c r="M110" i="2" s="1"/>
  <c r="C110" i="2"/>
  <c r="O109" i="2"/>
  <c r="J109" i="2"/>
  <c r="C109" i="2"/>
  <c r="O108" i="2"/>
  <c r="J108" i="2"/>
  <c r="M108" i="2" s="1"/>
  <c r="C108" i="2"/>
  <c r="O107" i="2"/>
  <c r="J107" i="2"/>
  <c r="R107" i="2" s="1"/>
  <c r="S107" i="2" s="1"/>
  <c r="C107" i="2"/>
  <c r="O106" i="2"/>
  <c r="J106" i="2"/>
  <c r="K106" i="2" s="1"/>
  <c r="C106" i="2"/>
  <c r="O105" i="2"/>
  <c r="J105" i="2"/>
  <c r="C105" i="2"/>
  <c r="O104" i="2"/>
  <c r="J104" i="2"/>
  <c r="M104" i="2" s="1"/>
  <c r="C104" i="2"/>
  <c r="O103" i="2"/>
  <c r="J103" i="2"/>
  <c r="K103" i="2" s="1"/>
  <c r="C103" i="2"/>
  <c r="O102" i="2"/>
  <c r="J102" i="2"/>
  <c r="M102" i="2" s="1"/>
  <c r="C102" i="2"/>
  <c r="O101" i="2"/>
  <c r="J101" i="2"/>
  <c r="C101" i="2"/>
  <c r="O100" i="2"/>
  <c r="J100" i="2"/>
  <c r="M100" i="2" s="1"/>
  <c r="C100" i="2"/>
  <c r="O99" i="2"/>
  <c r="J99" i="2"/>
  <c r="R99" i="2" s="1"/>
  <c r="S99" i="2" s="1"/>
  <c r="C99" i="2"/>
  <c r="O98" i="2"/>
  <c r="J98" i="2"/>
  <c r="M98" i="2" s="1"/>
  <c r="C98" i="2"/>
  <c r="O97" i="2"/>
  <c r="J97" i="2"/>
  <c r="M97" i="2" s="1"/>
  <c r="C97" i="2"/>
  <c r="O96" i="2"/>
  <c r="J96" i="2"/>
  <c r="M96" i="2" s="1"/>
  <c r="C96" i="2"/>
  <c r="O95" i="2"/>
  <c r="J95" i="2"/>
  <c r="K95" i="2" s="1"/>
  <c r="C95" i="2"/>
  <c r="O94" i="2"/>
  <c r="J94" i="2"/>
  <c r="M94" i="2" s="1"/>
  <c r="C94" i="2"/>
  <c r="O93" i="2"/>
  <c r="J93" i="2"/>
  <c r="C93" i="2"/>
  <c r="O92" i="2"/>
  <c r="J92" i="2"/>
  <c r="M92" i="2" s="1"/>
  <c r="C92" i="2"/>
  <c r="O91" i="2"/>
  <c r="J91" i="2"/>
  <c r="R91" i="2" s="1"/>
  <c r="S91" i="2" s="1"/>
  <c r="C91" i="2"/>
  <c r="O90" i="2"/>
  <c r="J90" i="2"/>
  <c r="R90" i="2" s="1"/>
  <c r="S90" i="2" s="1"/>
  <c r="C90" i="2"/>
  <c r="O89" i="2"/>
  <c r="J89" i="2"/>
  <c r="M89" i="2" s="1"/>
  <c r="C89" i="2"/>
  <c r="O88" i="2"/>
  <c r="J88" i="2"/>
  <c r="M88" i="2" s="1"/>
  <c r="C88" i="2"/>
  <c r="O87" i="2"/>
  <c r="J87" i="2"/>
  <c r="K87" i="2" s="1"/>
  <c r="C87" i="2"/>
  <c r="O86" i="2"/>
  <c r="J86" i="2"/>
  <c r="M86" i="2" s="1"/>
  <c r="C86" i="2"/>
  <c r="O85" i="2"/>
  <c r="J85" i="2"/>
  <c r="C85" i="2"/>
  <c r="O84" i="2"/>
  <c r="J84" i="2"/>
  <c r="M84" i="2" s="1"/>
  <c r="C84" i="2"/>
  <c r="O83" i="2"/>
  <c r="J83" i="2"/>
  <c r="R83" i="2" s="1"/>
  <c r="S83" i="2" s="1"/>
  <c r="C83" i="2"/>
  <c r="O82" i="2"/>
  <c r="J82" i="2"/>
  <c r="M82" i="2" s="1"/>
  <c r="C82" i="2"/>
  <c r="O81" i="2"/>
  <c r="J81" i="2"/>
  <c r="M81" i="2" s="1"/>
  <c r="C81" i="2"/>
  <c r="O80" i="2"/>
  <c r="J80" i="2"/>
  <c r="M80" i="2" s="1"/>
  <c r="C80" i="2"/>
  <c r="O79" i="2"/>
  <c r="J79" i="2"/>
  <c r="K79" i="2" s="1"/>
  <c r="C79" i="2"/>
  <c r="O78" i="2"/>
  <c r="J78" i="2"/>
  <c r="M78" i="2" s="1"/>
  <c r="C78" i="2"/>
  <c r="O77" i="2"/>
  <c r="J77" i="2"/>
  <c r="C77" i="2"/>
  <c r="O76" i="2"/>
  <c r="J76" i="2"/>
  <c r="M76" i="2" s="1"/>
  <c r="C76" i="2"/>
  <c r="O75" i="2"/>
  <c r="J75" i="2"/>
  <c r="R75" i="2" s="1"/>
  <c r="S75" i="2" s="1"/>
  <c r="C75" i="2"/>
  <c r="O74" i="2"/>
  <c r="J74" i="2"/>
  <c r="R74" i="2" s="1"/>
  <c r="S74" i="2" s="1"/>
  <c r="C74" i="2"/>
  <c r="O73" i="2"/>
  <c r="J73" i="2"/>
  <c r="C73" i="2"/>
  <c r="O72" i="2"/>
  <c r="J72" i="2"/>
  <c r="M72" i="2" s="1"/>
  <c r="C72" i="2"/>
  <c r="O71" i="2"/>
  <c r="J71" i="2"/>
  <c r="K71" i="2" s="1"/>
  <c r="C71" i="2"/>
  <c r="O70" i="2"/>
  <c r="J70" i="2"/>
  <c r="M70" i="2" s="1"/>
  <c r="C70" i="2"/>
  <c r="O69" i="2"/>
  <c r="J69" i="2"/>
  <c r="C69" i="2"/>
  <c r="O68" i="2"/>
  <c r="J68" i="2"/>
  <c r="M68" i="2" s="1"/>
  <c r="C68" i="2"/>
  <c r="O67" i="2"/>
  <c r="J67" i="2"/>
  <c r="R67" i="2" s="1"/>
  <c r="S67" i="2" s="1"/>
  <c r="C67" i="2"/>
  <c r="O66" i="2"/>
  <c r="J66" i="2"/>
  <c r="M66" i="2" s="1"/>
  <c r="C66" i="2"/>
  <c r="O65" i="2"/>
  <c r="J65" i="2"/>
  <c r="M65" i="2" s="1"/>
  <c r="C65" i="2"/>
  <c r="O64" i="2"/>
  <c r="J64" i="2"/>
  <c r="M64" i="2" s="1"/>
  <c r="C64" i="2"/>
  <c r="O63" i="2"/>
  <c r="J63" i="2"/>
  <c r="K63" i="2" s="1"/>
  <c r="C63" i="2"/>
  <c r="O62" i="2"/>
  <c r="J62" i="2"/>
  <c r="C62" i="2"/>
  <c r="O61" i="2"/>
  <c r="J61" i="2"/>
  <c r="C61" i="2"/>
  <c r="O60" i="2"/>
  <c r="J60" i="2"/>
  <c r="M60" i="2" s="1"/>
  <c r="C60" i="2"/>
  <c r="O59" i="2"/>
  <c r="J59" i="2"/>
  <c r="R59" i="2" s="1"/>
  <c r="S59" i="2" s="1"/>
  <c r="C59" i="2"/>
  <c r="O58" i="2"/>
  <c r="J58" i="2"/>
  <c r="M58" i="2" s="1"/>
  <c r="C58" i="2"/>
  <c r="O57" i="2"/>
  <c r="J57" i="2"/>
  <c r="K57" i="2" s="1"/>
  <c r="C57" i="2"/>
  <c r="O56" i="2"/>
  <c r="J56" i="2"/>
  <c r="M56" i="2" s="1"/>
  <c r="C56" i="2"/>
  <c r="O55" i="2"/>
  <c r="J55" i="2"/>
  <c r="K55" i="2" s="1"/>
  <c r="C55" i="2"/>
  <c r="O54" i="2"/>
  <c r="J54" i="2"/>
  <c r="M54" i="2" s="1"/>
  <c r="C54" i="2"/>
  <c r="O53" i="2"/>
  <c r="J53" i="2"/>
  <c r="R53" i="2" s="1"/>
  <c r="S53" i="2" s="1"/>
  <c r="C53" i="2"/>
  <c r="O52" i="2"/>
  <c r="J52" i="2"/>
  <c r="M52" i="2" s="1"/>
  <c r="C52" i="2"/>
  <c r="O51" i="2"/>
  <c r="J51" i="2"/>
  <c r="R51" i="2" s="1"/>
  <c r="S51" i="2" s="1"/>
  <c r="C51" i="2"/>
  <c r="O50" i="2"/>
  <c r="J50" i="2"/>
  <c r="K50" i="2" s="1"/>
  <c r="C50" i="2"/>
  <c r="O49" i="2"/>
  <c r="J49" i="2"/>
  <c r="K49" i="2" s="1"/>
  <c r="C49" i="2"/>
  <c r="O44" i="2"/>
  <c r="J44" i="2"/>
  <c r="C44" i="2"/>
  <c r="O38" i="2"/>
  <c r="J38" i="2"/>
  <c r="R38" i="2" s="1"/>
  <c r="C38" i="2"/>
  <c r="O37" i="2"/>
  <c r="J37" i="2"/>
  <c r="R37" i="2" s="1"/>
  <c r="C37" i="2"/>
  <c r="O28" i="2"/>
  <c r="J28" i="2"/>
  <c r="R28" i="2" s="1"/>
  <c r="C28" i="2"/>
  <c r="O27" i="2"/>
  <c r="J27" i="2"/>
  <c r="R27" i="2" s="1"/>
  <c r="C27" i="2"/>
  <c r="O26" i="2"/>
  <c r="J26" i="2"/>
  <c r="R26" i="2" s="1"/>
  <c r="C26" i="2"/>
  <c r="O20" i="2"/>
  <c r="J20" i="2"/>
  <c r="R20" i="2" s="1"/>
  <c r="C20" i="2"/>
  <c r="O19" i="2"/>
  <c r="J19" i="2"/>
  <c r="R19" i="2" s="1"/>
  <c r="C19" i="2"/>
  <c r="O18" i="2"/>
  <c r="J18" i="2"/>
  <c r="R18" i="2" s="1"/>
  <c r="O17" i="2"/>
  <c r="J17" i="2"/>
  <c r="R17" i="2" s="1"/>
  <c r="C17" i="2"/>
  <c r="O15" i="2"/>
  <c r="J15" i="2"/>
  <c r="R15" i="2" s="1"/>
  <c r="C15" i="2"/>
  <c r="O14" i="2"/>
  <c r="J14" i="2"/>
  <c r="R14" i="2" s="1"/>
  <c r="C14" i="2"/>
  <c r="O13" i="2"/>
  <c r="J13" i="2"/>
  <c r="R13" i="2" s="1"/>
  <c r="C13" i="2"/>
  <c r="O12" i="2"/>
  <c r="J12" i="2"/>
  <c r="R12" i="2" s="1"/>
  <c r="C12" i="2"/>
  <c r="O23" i="2"/>
  <c r="D356" i="4" s="1"/>
  <c r="E4" i="13"/>
  <c r="O10" i="2"/>
  <c r="I10" i="2"/>
  <c r="J10" i="2" s="1"/>
  <c r="R10" i="2" s="1"/>
  <c r="C10" i="2"/>
  <c r="O9" i="2"/>
  <c r="J9" i="2"/>
  <c r="R9" i="2" s="1"/>
  <c r="C9" i="2"/>
  <c r="S7" i="2"/>
  <c r="O7" i="2"/>
  <c r="M7" i="2"/>
  <c r="C7" i="2"/>
  <c r="H4" i="2"/>
  <c r="G4" i="2"/>
  <c r="E4" i="2"/>
  <c r="H3" i="2"/>
  <c r="G3" i="2"/>
  <c r="K44" i="2" l="1"/>
  <c r="R44" i="2" s="1"/>
  <c r="S44" i="2" s="1"/>
  <c r="S46" i="2"/>
  <c r="S33" i="2"/>
  <c r="S30" i="2"/>
  <c r="M44" i="2"/>
  <c r="M28" i="2"/>
  <c r="M12" i="2"/>
  <c r="M37" i="2"/>
  <c r="S37" i="2"/>
  <c r="S29" i="2"/>
  <c r="S14" i="2"/>
  <c r="M19" i="2"/>
  <c r="S13" i="2"/>
  <c r="S45" i="2"/>
  <c r="M17" i="2"/>
  <c r="S47" i="2"/>
  <c r="J11" i="3"/>
  <c r="L6" i="5" s="1"/>
  <c r="J10" i="3"/>
  <c r="B5" i="13"/>
  <c r="D326" i="4"/>
  <c r="D347" i="4"/>
  <c r="D352" i="4"/>
  <c r="D361" i="4"/>
  <c r="D365" i="4"/>
  <c r="D370" i="4"/>
  <c r="D374" i="4"/>
  <c r="D378" i="4"/>
  <c r="D382" i="4"/>
  <c r="D18" i="4"/>
  <c r="D22" i="4"/>
  <c r="D26" i="4"/>
  <c r="D30" i="4"/>
  <c r="D34" i="4"/>
  <c r="D38" i="4"/>
  <c r="D42" i="4"/>
  <c r="D46" i="4"/>
  <c r="D50" i="4"/>
  <c r="D54" i="4"/>
  <c r="D58" i="4"/>
  <c r="D62" i="4"/>
  <c r="D66" i="4"/>
  <c r="D70" i="4"/>
  <c r="D74" i="4"/>
  <c r="D78" i="4"/>
  <c r="D82" i="4"/>
  <c r="D86" i="4"/>
  <c r="D90" i="4"/>
  <c r="D94" i="4"/>
  <c r="D98" i="4"/>
  <c r="D102" i="4"/>
  <c r="D106" i="4"/>
  <c r="D110" i="4"/>
  <c r="D114" i="4"/>
  <c r="D118" i="4"/>
  <c r="D122" i="4"/>
  <c r="D126" i="4"/>
  <c r="D130" i="4"/>
  <c r="D134" i="4"/>
  <c r="D138" i="4"/>
  <c r="D142" i="4"/>
  <c r="D146" i="4"/>
  <c r="D150" i="4"/>
  <c r="D154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31" i="4"/>
  <c r="D335" i="4"/>
  <c r="D339" i="4"/>
  <c r="D343" i="4"/>
  <c r="D357" i="4"/>
  <c r="D327" i="4"/>
  <c r="D348" i="4"/>
  <c r="D353" i="4"/>
  <c r="D362" i="4"/>
  <c r="D366" i="4"/>
  <c r="D371" i="4"/>
  <c r="D375" i="4"/>
  <c r="D19" i="4"/>
  <c r="D23" i="4"/>
  <c r="D27" i="4"/>
  <c r="D31" i="4"/>
  <c r="D35" i="4"/>
  <c r="D39" i="4"/>
  <c r="D43" i="4"/>
  <c r="D47" i="4"/>
  <c r="D51" i="4"/>
  <c r="D55" i="4"/>
  <c r="D59" i="4"/>
  <c r="D63" i="4"/>
  <c r="D67" i="4"/>
  <c r="D71" i="4"/>
  <c r="D75" i="4"/>
  <c r="D79" i="4"/>
  <c r="D83" i="4"/>
  <c r="D87" i="4"/>
  <c r="D91" i="4"/>
  <c r="D95" i="4"/>
  <c r="D99" i="4"/>
  <c r="D103" i="4"/>
  <c r="D107" i="4"/>
  <c r="D111" i="4"/>
  <c r="D115" i="4"/>
  <c r="D119" i="4"/>
  <c r="D123" i="4"/>
  <c r="D127" i="4"/>
  <c r="D131" i="4"/>
  <c r="D135" i="4"/>
  <c r="D139" i="4"/>
  <c r="D143" i="4"/>
  <c r="D147" i="4"/>
  <c r="D151" i="4"/>
  <c r="D155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D267" i="4"/>
  <c r="D271" i="4"/>
  <c r="D275" i="4"/>
  <c r="D279" i="4"/>
  <c r="D283" i="4"/>
  <c r="D287" i="4"/>
  <c r="D291" i="4"/>
  <c r="D295" i="4"/>
  <c r="D299" i="4"/>
  <c r="D303" i="4"/>
  <c r="D307" i="4"/>
  <c r="D311" i="4"/>
  <c r="D315" i="4"/>
  <c r="D319" i="4"/>
  <c r="D323" i="4"/>
  <c r="D332" i="4"/>
  <c r="D336" i="4"/>
  <c r="D340" i="4"/>
  <c r="D344" i="4"/>
  <c r="D358" i="4"/>
  <c r="D328" i="4"/>
  <c r="D363" i="4"/>
  <c r="D367" i="4"/>
  <c r="D372" i="4"/>
  <c r="D376" i="4"/>
  <c r="C4" i="13"/>
  <c r="D16" i="4"/>
  <c r="D20" i="4"/>
  <c r="D24" i="4"/>
  <c r="D28" i="4"/>
  <c r="D32" i="4"/>
  <c r="D36" i="4"/>
  <c r="D40" i="4"/>
  <c r="D44" i="4"/>
  <c r="D48" i="4"/>
  <c r="D52" i="4"/>
  <c r="D56" i="4"/>
  <c r="D60" i="4"/>
  <c r="D64" i="4"/>
  <c r="D68" i="4"/>
  <c r="D72" i="4"/>
  <c r="D76" i="4"/>
  <c r="D80" i="4"/>
  <c r="D84" i="4"/>
  <c r="D88" i="4"/>
  <c r="D92" i="4"/>
  <c r="D96" i="4"/>
  <c r="D100" i="4"/>
  <c r="D104" i="4"/>
  <c r="D108" i="4"/>
  <c r="D112" i="4"/>
  <c r="D116" i="4"/>
  <c r="D120" i="4"/>
  <c r="D124" i="4"/>
  <c r="D128" i="4"/>
  <c r="D132" i="4"/>
  <c r="D136" i="4"/>
  <c r="D140" i="4"/>
  <c r="D144" i="4"/>
  <c r="D148" i="4"/>
  <c r="D152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33" i="4"/>
  <c r="D337" i="4"/>
  <c r="D341" i="4"/>
  <c r="D345" i="4"/>
  <c r="D355" i="4"/>
  <c r="D325" i="4"/>
  <c r="D329" i="4"/>
  <c r="D351" i="4"/>
  <c r="D360" i="4"/>
  <c r="D364" i="4"/>
  <c r="D373" i="4"/>
  <c r="D377" i="4"/>
  <c r="D381" i="4"/>
  <c r="D17" i="4"/>
  <c r="D21" i="4"/>
  <c r="D25" i="4"/>
  <c r="D29" i="4"/>
  <c r="D33" i="4"/>
  <c r="D37" i="4"/>
  <c r="D41" i="4"/>
  <c r="D45" i="4"/>
  <c r="D49" i="4"/>
  <c r="D53" i="4"/>
  <c r="D57" i="4"/>
  <c r="D61" i="4"/>
  <c r="D65" i="4"/>
  <c r="D69" i="4"/>
  <c r="D73" i="4"/>
  <c r="D77" i="4"/>
  <c r="D81" i="4"/>
  <c r="D85" i="4"/>
  <c r="D89" i="4"/>
  <c r="D93" i="4"/>
  <c r="D97" i="4"/>
  <c r="D101" i="4"/>
  <c r="D105" i="4"/>
  <c r="D109" i="4"/>
  <c r="D113" i="4"/>
  <c r="D117" i="4"/>
  <c r="D121" i="4"/>
  <c r="D125" i="4"/>
  <c r="D129" i="4"/>
  <c r="D133" i="4"/>
  <c r="D137" i="4"/>
  <c r="D141" i="4"/>
  <c r="D145" i="4"/>
  <c r="D149" i="4"/>
  <c r="D153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D265" i="4"/>
  <c r="D269" i="4"/>
  <c r="D273" i="4"/>
  <c r="D277" i="4"/>
  <c r="D281" i="4"/>
  <c r="D285" i="4"/>
  <c r="D289" i="4"/>
  <c r="D293" i="4"/>
  <c r="D297" i="4"/>
  <c r="D301" i="4"/>
  <c r="D305" i="4"/>
  <c r="D309" i="4"/>
  <c r="D313" i="4"/>
  <c r="D317" i="4"/>
  <c r="D321" i="4"/>
  <c r="D334" i="4"/>
  <c r="D338" i="4"/>
  <c r="D342" i="4"/>
  <c r="D4" i="13"/>
  <c r="I6" i="1"/>
  <c r="K6" i="1" s="1"/>
  <c r="F6" i="13"/>
  <c r="A6" i="13"/>
  <c r="A5" i="13"/>
  <c r="F4" i="13"/>
  <c r="F5" i="13"/>
  <c r="L7" i="13"/>
  <c r="A7" i="13" s="1"/>
  <c r="B6" i="13"/>
  <c r="E5" i="13"/>
  <c r="E6" i="13"/>
  <c r="R110" i="2"/>
  <c r="S110" i="2" s="1"/>
  <c r="O22" i="5"/>
  <c r="O29" i="6" s="1"/>
  <c r="J17" i="1"/>
  <c r="M8" i="2"/>
  <c r="M107" i="2"/>
  <c r="K110" i="2"/>
  <c r="K86" i="2"/>
  <c r="R95" i="2"/>
  <c r="S95" i="2" s="1"/>
  <c r="K100" i="2"/>
  <c r="I18" i="1"/>
  <c r="K18" i="1" s="1"/>
  <c r="R71" i="2"/>
  <c r="S71" i="2" s="1"/>
  <c r="M106" i="2"/>
  <c r="K112" i="2"/>
  <c r="M14" i="2"/>
  <c r="M71" i="2"/>
  <c r="F11" i="5"/>
  <c r="R68" i="2"/>
  <c r="S68" i="2" s="1"/>
  <c r="M114" i="2"/>
  <c r="S19" i="2"/>
  <c r="R56" i="2"/>
  <c r="S56" i="2" s="1"/>
  <c r="K82" i="2"/>
  <c r="M103" i="2"/>
  <c r="K102" i="2"/>
  <c r="R114" i="2"/>
  <c r="S114" i="2" s="1"/>
  <c r="K122" i="2"/>
  <c r="K128" i="2"/>
  <c r="I10" i="1"/>
  <c r="K10" i="1" s="1"/>
  <c r="M21" i="5"/>
  <c r="M28" i="6" s="1"/>
  <c r="R82" i="2"/>
  <c r="S82" i="2" s="1"/>
  <c r="R103" i="2"/>
  <c r="S103" i="2" s="1"/>
  <c r="S11" i="7"/>
  <c r="R58" i="2"/>
  <c r="S58" i="2" s="1"/>
  <c r="R78" i="2"/>
  <c r="S78" i="2" s="1"/>
  <c r="R122" i="2"/>
  <c r="S122" i="2" s="1"/>
  <c r="R128" i="2"/>
  <c r="S128" i="2" s="1"/>
  <c r="R57" i="2"/>
  <c r="S57" i="2" s="1"/>
  <c r="M130" i="2"/>
  <c r="I9" i="1"/>
  <c r="K9" i="1" s="1"/>
  <c r="V11" i="7"/>
  <c r="M50" i="2"/>
  <c r="K88" i="2"/>
  <c r="R63" i="2"/>
  <c r="S63" i="2" s="1"/>
  <c r="R64" i="2"/>
  <c r="S64" i="2" s="1"/>
  <c r="K76" i="2"/>
  <c r="R94" i="2"/>
  <c r="S94" i="2" s="1"/>
  <c r="R98" i="2"/>
  <c r="S98" i="2" s="1"/>
  <c r="R106" i="2"/>
  <c r="S106" i="2" s="1"/>
  <c r="I14" i="1"/>
  <c r="K14" i="1" s="1"/>
  <c r="E13" i="5"/>
  <c r="E18" i="6" s="1"/>
  <c r="R127" i="2"/>
  <c r="S127" i="2" s="1"/>
  <c r="E16" i="5"/>
  <c r="E23" i="6" s="1"/>
  <c r="K68" i="2"/>
  <c r="K78" i="2"/>
  <c r="R87" i="2"/>
  <c r="S87" i="2" s="1"/>
  <c r="M123" i="2"/>
  <c r="I22" i="1"/>
  <c r="K22" i="1" s="1"/>
  <c r="M23" i="5"/>
  <c r="M30" i="6" s="1"/>
  <c r="M63" i="2"/>
  <c r="K64" i="2"/>
  <c r="R72" i="2"/>
  <c r="S72" i="2" s="1"/>
  <c r="R86" i="2"/>
  <c r="S86" i="2" s="1"/>
  <c r="R96" i="2"/>
  <c r="S96" i="2" s="1"/>
  <c r="R100" i="2"/>
  <c r="S100" i="2" s="1"/>
  <c r="K107" i="2"/>
  <c r="R112" i="2"/>
  <c r="S112" i="2" s="1"/>
  <c r="M8" i="7"/>
  <c r="M7" i="7"/>
  <c r="H6" i="4"/>
  <c r="C7" i="1"/>
  <c r="J4" i="2"/>
  <c r="J5" i="2" s="1"/>
  <c r="S26" i="2"/>
  <c r="R55" i="2"/>
  <c r="S55" i="2" s="1"/>
  <c r="R66" i="2"/>
  <c r="S66" i="2" s="1"/>
  <c r="K74" i="2"/>
  <c r="K75" i="2"/>
  <c r="K80" i="2"/>
  <c r="K90" i="2"/>
  <c r="K91" i="2"/>
  <c r="K92" i="2"/>
  <c r="K119" i="2"/>
  <c r="K120" i="2"/>
  <c r="I12" i="1"/>
  <c r="K12" i="1" s="1"/>
  <c r="I17" i="1"/>
  <c r="K17" i="1" s="1"/>
  <c r="I11" i="5"/>
  <c r="I16" i="5"/>
  <c r="I23" i="6" s="1"/>
  <c r="I25" i="5"/>
  <c r="I32" i="6" s="1"/>
  <c r="M26" i="2"/>
  <c r="K58" i="2"/>
  <c r="R60" i="2"/>
  <c r="S60" i="2" s="1"/>
  <c r="R70" i="2"/>
  <c r="S70" i="2" s="1"/>
  <c r="M74" i="2"/>
  <c r="M75" i="2"/>
  <c r="M79" i="2"/>
  <c r="M90" i="2"/>
  <c r="M91" i="2"/>
  <c r="K98" i="2"/>
  <c r="K99" i="2"/>
  <c r="K104" i="2"/>
  <c r="R111" i="2"/>
  <c r="S111" i="2" s="1"/>
  <c r="M119" i="2"/>
  <c r="R124" i="2"/>
  <c r="S124" i="2" s="1"/>
  <c r="K127" i="2"/>
  <c r="N11" i="5"/>
  <c r="I17" i="5"/>
  <c r="I24" i="6" s="1"/>
  <c r="I27" i="5"/>
  <c r="I34" i="6" s="1"/>
  <c r="C20" i="1"/>
  <c r="R49" i="2"/>
  <c r="S49" i="2" s="1"/>
  <c r="R50" i="2"/>
  <c r="S50" i="2" s="1"/>
  <c r="R54" i="2"/>
  <c r="S54" i="2" s="1"/>
  <c r="R130" i="2"/>
  <c r="S130" i="2" s="1"/>
  <c r="I18" i="5"/>
  <c r="I25" i="6" s="1"/>
  <c r="T11" i="7"/>
  <c r="R80" i="2"/>
  <c r="S80" i="2" s="1"/>
  <c r="R92" i="2"/>
  <c r="S92" i="2" s="1"/>
  <c r="R120" i="2"/>
  <c r="S120" i="2" s="1"/>
  <c r="H13" i="5"/>
  <c r="H18" i="6" s="1"/>
  <c r="I19" i="5"/>
  <c r="I26" i="6" s="1"/>
  <c r="K56" i="2"/>
  <c r="K66" i="2"/>
  <c r="K67" i="2"/>
  <c r="K72" i="2"/>
  <c r="R79" i="2"/>
  <c r="S79" i="2" s="1"/>
  <c r="M87" i="2"/>
  <c r="K94" i="2"/>
  <c r="M95" i="2"/>
  <c r="K96" i="2"/>
  <c r="R104" i="2"/>
  <c r="S104" i="2" s="1"/>
  <c r="K108" i="2"/>
  <c r="R118" i="2"/>
  <c r="S118" i="2" s="1"/>
  <c r="R126" i="2"/>
  <c r="S126" i="2" s="1"/>
  <c r="I13" i="5"/>
  <c r="I18" i="6" s="1"/>
  <c r="R4" i="7"/>
  <c r="C21" i="1"/>
  <c r="R52" i="2"/>
  <c r="S52" i="2" s="1"/>
  <c r="K70" i="2"/>
  <c r="R88" i="2"/>
  <c r="S88" i="2" s="1"/>
  <c r="R102" i="2"/>
  <c r="S102" i="2" s="1"/>
  <c r="M111" i="2"/>
  <c r="K123" i="2"/>
  <c r="K124" i="2"/>
  <c r="M131" i="2"/>
  <c r="I16" i="1"/>
  <c r="K16" i="1" s="1"/>
  <c r="D17" i="1" s="1"/>
  <c r="J19" i="1"/>
  <c r="C5" i="1"/>
  <c r="C12" i="1" s="1"/>
  <c r="F15" i="5"/>
  <c r="F9" i="6" s="1"/>
  <c r="C19" i="1"/>
  <c r="D5" i="13"/>
  <c r="M10" i="2"/>
  <c r="D354" i="4"/>
  <c r="D6" i="13"/>
  <c r="M15" i="2"/>
  <c r="M5" i="2"/>
  <c r="D359" i="4"/>
  <c r="D349" i="4"/>
  <c r="M13" i="2"/>
  <c r="D368" i="4"/>
  <c r="M18" i="2"/>
  <c r="M62" i="2"/>
  <c r="K62" i="2"/>
  <c r="K73" i="2"/>
  <c r="R73" i="2"/>
  <c r="S73" i="2" s="1"/>
  <c r="K105" i="2"/>
  <c r="R105" i="2"/>
  <c r="S105" i="2" s="1"/>
  <c r="I8" i="1"/>
  <c r="K8" i="1" s="1"/>
  <c r="J15" i="1"/>
  <c r="I15" i="1"/>
  <c r="K15" i="1" s="1"/>
  <c r="S9" i="2"/>
  <c r="M23" i="2"/>
  <c r="R61" i="2"/>
  <c r="S61" i="2" s="1"/>
  <c r="M61" i="2"/>
  <c r="M73" i="2"/>
  <c r="K83" i="2"/>
  <c r="K84" i="2"/>
  <c r="R93" i="2"/>
  <c r="S93" i="2" s="1"/>
  <c r="M93" i="2"/>
  <c r="K93" i="2"/>
  <c r="M105" i="2"/>
  <c r="K115" i="2"/>
  <c r="K116" i="2"/>
  <c r="R132" i="2"/>
  <c r="S132" i="2" s="1"/>
  <c r="J13" i="1"/>
  <c r="S27" i="2"/>
  <c r="S28" i="2"/>
  <c r="S38" i="2"/>
  <c r="M49" i="2"/>
  <c r="K51" i="2"/>
  <c r="K52" i="2"/>
  <c r="K53" i="2"/>
  <c r="K54" i="2"/>
  <c r="M55" i="2"/>
  <c r="M57" i="2"/>
  <c r="K59" i="2"/>
  <c r="K60" i="2"/>
  <c r="K61" i="2"/>
  <c r="R76" i="2"/>
  <c r="S76" i="2" s="1"/>
  <c r="K81" i="2"/>
  <c r="R81" i="2"/>
  <c r="S81" i="2" s="1"/>
  <c r="M83" i="2"/>
  <c r="R108" i="2"/>
  <c r="S108" i="2" s="1"/>
  <c r="K113" i="2"/>
  <c r="R113" i="2"/>
  <c r="S113" i="2" s="1"/>
  <c r="M115" i="2"/>
  <c r="R125" i="2"/>
  <c r="S125" i="2" s="1"/>
  <c r="M125" i="2"/>
  <c r="K125" i="2"/>
  <c r="C6" i="13"/>
  <c r="I9" i="5"/>
  <c r="N9" i="5"/>
  <c r="F9" i="5"/>
  <c r="M9" i="5"/>
  <c r="E9" i="5"/>
  <c r="S18" i="2"/>
  <c r="M20" i="2"/>
  <c r="M27" i="2"/>
  <c r="M38" i="2"/>
  <c r="M51" i="2"/>
  <c r="M53" i="2"/>
  <c r="M59" i="2"/>
  <c r="R62" i="2"/>
  <c r="S62" i="2" s="1"/>
  <c r="R69" i="2"/>
  <c r="S69" i="2" s="1"/>
  <c r="M69" i="2"/>
  <c r="K69" i="2"/>
  <c r="R101" i="2"/>
  <c r="S101" i="2" s="1"/>
  <c r="M101" i="2"/>
  <c r="K101" i="2"/>
  <c r="I4" i="1"/>
  <c r="J11" i="1"/>
  <c r="I11" i="1"/>
  <c r="K11" i="1" s="1"/>
  <c r="J3" i="2"/>
  <c r="R84" i="2"/>
  <c r="S84" i="2" s="1"/>
  <c r="K89" i="2"/>
  <c r="R89" i="2"/>
  <c r="S89" i="2" s="1"/>
  <c r="R116" i="2"/>
  <c r="S116" i="2" s="1"/>
  <c r="K121" i="2"/>
  <c r="R121" i="2"/>
  <c r="S121" i="2" s="1"/>
  <c r="R133" i="2"/>
  <c r="S133" i="2" s="1"/>
  <c r="M133" i="2"/>
  <c r="K133" i="2"/>
  <c r="H4" i="4"/>
  <c r="M14" i="5"/>
  <c r="M19" i="6" s="1"/>
  <c r="H14" i="5"/>
  <c r="H19" i="6" s="1"/>
  <c r="R77" i="2"/>
  <c r="S77" i="2" s="1"/>
  <c r="M77" i="2"/>
  <c r="K77" i="2"/>
  <c r="R109" i="2"/>
  <c r="S109" i="2" s="1"/>
  <c r="M109" i="2"/>
  <c r="K109" i="2"/>
  <c r="I5" i="1"/>
  <c r="K5" i="1" s="1"/>
  <c r="I7" i="1"/>
  <c r="K7" i="1" s="1"/>
  <c r="J9" i="1"/>
  <c r="C5" i="13"/>
  <c r="M9" i="2"/>
  <c r="K65" i="2"/>
  <c r="R65" i="2"/>
  <c r="S65" i="2" s="1"/>
  <c r="M67" i="2"/>
  <c r="K97" i="2"/>
  <c r="R97" i="2"/>
  <c r="S97" i="2" s="1"/>
  <c r="M99" i="2"/>
  <c r="K131" i="2"/>
  <c r="K132" i="2"/>
  <c r="R85" i="2"/>
  <c r="S85" i="2" s="1"/>
  <c r="M85" i="2"/>
  <c r="K85" i="2"/>
  <c r="R117" i="2"/>
  <c r="S117" i="2" s="1"/>
  <c r="M117" i="2"/>
  <c r="K117" i="2"/>
  <c r="K129" i="2"/>
  <c r="R129" i="2"/>
  <c r="S129" i="2" s="1"/>
  <c r="J21" i="1"/>
  <c r="I21" i="1"/>
  <c r="K21" i="1" s="1"/>
  <c r="K118" i="2"/>
  <c r="K126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O11" i="5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M11" i="5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J6" i="1" l="1"/>
  <c r="D380" i="4"/>
  <c r="K10" i="4"/>
  <c r="D379" i="4"/>
  <c r="K3" i="2"/>
  <c r="D350" i="4"/>
  <c r="C3" i="4"/>
  <c r="F4" i="2" s="1"/>
  <c r="S20" i="2"/>
  <c r="D346" i="4"/>
  <c r="M3" i="2"/>
  <c r="N7" i="5"/>
  <c r="N30" i="5" s="1"/>
  <c r="N31" i="5" s="1"/>
  <c r="O7" i="5"/>
  <c r="O30" i="5" s="1"/>
  <c r="O31" i="5" s="1"/>
  <c r="H7" i="5"/>
  <c r="G7" i="5"/>
  <c r="G30" i="5" s="1"/>
  <c r="L7" i="5"/>
  <c r="L30" i="5" s="1"/>
  <c r="K7" i="5"/>
  <c r="K30" i="5" s="1"/>
  <c r="M7" i="5"/>
  <c r="M30" i="5" s="1"/>
  <c r="M31" i="5" s="1"/>
  <c r="F7" i="5"/>
  <c r="F30" i="5" s="1"/>
  <c r="F31" i="5" s="1"/>
  <c r="E7" i="5"/>
  <c r="E30" i="5" s="1"/>
  <c r="E31" i="5" s="1"/>
  <c r="J7" i="5"/>
  <c r="J30" i="5" s="1"/>
  <c r="I7" i="5"/>
  <c r="D7" i="5"/>
  <c r="D30" i="5" s="1"/>
  <c r="D31" i="5" s="1"/>
  <c r="G4" i="13"/>
  <c r="J4" i="13" s="1"/>
  <c r="K4" i="13" s="1"/>
  <c r="L16" i="6"/>
  <c r="I16" i="6"/>
  <c r="O16" i="6"/>
  <c r="N16" i="6"/>
  <c r="H16" i="6"/>
  <c r="G16" i="6"/>
  <c r="K16" i="6"/>
  <c r="F16" i="6"/>
  <c r="M16" i="6"/>
  <c r="E16" i="6"/>
  <c r="J16" i="6"/>
  <c r="J5" i="1"/>
  <c r="G5" i="13"/>
  <c r="J5" i="13" s="1"/>
  <c r="G6" i="13"/>
  <c r="J6" i="13" s="1"/>
  <c r="F7" i="13"/>
  <c r="B7" i="13"/>
  <c r="D7" i="13"/>
  <c r="L8" i="13"/>
  <c r="A8" i="13" s="1"/>
  <c r="E7" i="13"/>
  <c r="C7" i="13"/>
  <c r="S8" i="2"/>
  <c r="D330" i="4"/>
  <c r="D369" i="4"/>
  <c r="J7" i="1"/>
  <c r="M4" i="2"/>
  <c r="S12" i="2"/>
  <c r="K4" i="2"/>
  <c r="E13" i="4" s="1"/>
  <c r="D13" i="4" s="1"/>
  <c r="S17" i="2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14" i="6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D324" i="4"/>
  <c r="K5" i="2"/>
  <c r="P3" i="2"/>
  <c r="O14" i="6"/>
  <c r="O33" i="5"/>
  <c r="D32" i="6"/>
  <c r="C32" i="6" s="1"/>
  <c r="C25" i="5"/>
  <c r="D14" i="6"/>
  <c r="D33" i="5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F28" i="6"/>
  <c r="M24" i="6"/>
  <c r="M22" i="6" s="1"/>
  <c r="M37" i="5"/>
  <c r="D24" i="6"/>
  <c r="D37" i="5"/>
  <c r="C17" i="5"/>
  <c r="K14" i="6"/>
  <c r="K33" i="5"/>
  <c r="C27" i="5"/>
  <c r="D34" i="6"/>
  <c r="C34" i="6" s="1"/>
  <c r="D27" i="7"/>
  <c r="E27" i="7" s="1"/>
  <c r="C3" i="7" s="1"/>
  <c r="E3" i="7"/>
  <c r="E14" i="6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33" i="5"/>
  <c r="O6" i="6"/>
  <c r="O10" i="6"/>
  <c r="O8" i="6" s="1"/>
  <c r="O12" i="6" s="1"/>
  <c r="J10" i="6"/>
  <c r="J8" i="6" s="1"/>
  <c r="J12" i="6" s="1"/>
  <c r="J6" i="6"/>
  <c r="D16" i="6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33" i="5"/>
  <c r="S15" i="2"/>
  <c r="S10" i="2"/>
  <c r="H33" i="5"/>
  <c r="H14" i="6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33" i="5"/>
  <c r="D14" i="1"/>
  <c r="I33" i="5"/>
  <c r="I14" i="6"/>
  <c r="D16" i="1"/>
  <c r="S23" i="2"/>
  <c r="H4" i="13" l="1"/>
  <c r="I4" i="13" s="1"/>
  <c r="H13" i="6"/>
  <c r="H20" i="6" s="1"/>
  <c r="L3" i="2"/>
  <c r="L13" i="6"/>
  <c r="L20" i="6" s="1"/>
  <c r="L21" i="6" s="1"/>
  <c r="M13" i="6"/>
  <c r="M20" i="6" s="1"/>
  <c r="M36" i="6" s="1"/>
  <c r="E13" i="6"/>
  <c r="E20" i="6" s="1"/>
  <c r="E36" i="6" s="1"/>
  <c r="J13" i="6"/>
  <c r="J20" i="6" s="1"/>
  <c r="N13" i="6"/>
  <c r="N20" i="6" s="1"/>
  <c r="N21" i="6" s="1"/>
  <c r="O13" i="6"/>
  <c r="O20" i="6" s="1"/>
  <c r="O21" i="6" s="1"/>
  <c r="G13" i="6"/>
  <c r="G20" i="6" s="1"/>
  <c r="G21" i="6" s="1"/>
  <c r="I13" i="6"/>
  <c r="I20" i="6" s="1"/>
  <c r="I36" i="6" s="1"/>
  <c r="I37" i="6" s="1"/>
  <c r="K13" i="6"/>
  <c r="K20" i="6" s="1"/>
  <c r="K21" i="6" s="1"/>
  <c r="F13" i="6"/>
  <c r="F20" i="6" s="1"/>
  <c r="C16" i="6"/>
  <c r="D13" i="6"/>
  <c r="H5" i="13"/>
  <c r="H6" i="13"/>
  <c r="K6" i="13"/>
  <c r="K5" i="13"/>
  <c r="G7" i="13"/>
  <c r="J7" i="13" s="1"/>
  <c r="F8" i="13"/>
  <c r="E8" i="13"/>
  <c r="B8" i="13"/>
  <c r="D8" i="13"/>
  <c r="L9" i="13"/>
  <c r="A9" i="13" s="1"/>
  <c r="C8" i="13"/>
  <c r="J2" i="1"/>
  <c r="G22" i="6"/>
  <c r="D9" i="1"/>
  <c r="L4" i="2"/>
  <c r="O22" i="6"/>
  <c r="F22" i="6"/>
  <c r="L22" i="6"/>
  <c r="H22" i="6"/>
  <c r="J22" i="6"/>
  <c r="N22" i="6"/>
  <c r="C33" i="5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4" i="5"/>
  <c r="E7" i="7"/>
  <c r="I11" i="7"/>
  <c r="E6" i="7"/>
  <c r="E8" i="7"/>
  <c r="E5" i="7"/>
  <c r="D19" i="1"/>
  <c r="L4" i="5"/>
  <c r="L31" i="5" s="1"/>
  <c r="K31" i="5" l="1"/>
  <c r="C13" i="6"/>
  <c r="I6" i="13"/>
  <c r="I5" i="13"/>
  <c r="H7" i="13"/>
  <c r="K7" i="13"/>
  <c r="G8" i="13"/>
  <c r="J8" i="13" s="1"/>
  <c r="K8" i="13" s="1"/>
  <c r="F9" i="13"/>
  <c r="B9" i="13"/>
  <c r="D9" i="13"/>
  <c r="L10" i="13"/>
  <c r="A10" i="13" s="1"/>
  <c r="E9" i="13"/>
  <c r="C9" i="13"/>
  <c r="G31" i="5"/>
  <c r="G36" i="6"/>
  <c r="O36" i="6"/>
  <c r="K34" i="5"/>
  <c r="K36" i="6"/>
  <c r="K37" i="6" s="1"/>
  <c r="F36" i="6"/>
  <c r="N36" i="6"/>
  <c r="G34" i="5"/>
  <c r="J36" i="6"/>
  <c r="J37" i="6" s="1"/>
  <c r="H36" i="6"/>
  <c r="F21" i="6"/>
  <c r="L36" i="6"/>
  <c r="L37" i="6" s="1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I7" i="13" l="1"/>
  <c r="H8" i="13"/>
  <c r="G9" i="13"/>
  <c r="J9" i="13" s="1"/>
  <c r="F10" i="13"/>
  <c r="E10" i="13"/>
  <c r="D10" i="13"/>
  <c r="B10" i="13"/>
  <c r="C10" i="13"/>
  <c r="L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8" i="13" l="1"/>
  <c r="H9" i="13"/>
  <c r="K9" i="13"/>
  <c r="G10" i="13"/>
  <c r="J10" i="13" s="1"/>
  <c r="F11" i="13"/>
  <c r="L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9" i="13" l="1"/>
  <c r="H10" i="13"/>
  <c r="I10" i="13" s="1"/>
  <c r="K10" i="13"/>
  <c r="G11" i="13"/>
  <c r="J11" i="13" s="1"/>
  <c r="K11" i="13" s="1"/>
  <c r="F12" i="13"/>
  <c r="C12" i="13"/>
  <c r="L13" i="13"/>
  <c r="B12" i="13"/>
  <c r="D12" i="13"/>
  <c r="E12" i="13"/>
  <c r="N5" i="7"/>
  <c r="N6" i="7"/>
  <c r="N7" i="7"/>
  <c r="N8" i="7"/>
  <c r="D9" i="4"/>
  <c r="C9" i="4"/>
  <c r="E10" i="4"/>
  <c r="H11" i="13" l="1"/>
  <c r="I11" i="13" s="1"/>
  <c r="B13" i="13"/>
  <c r="A13" i="13"/>
  <c r="C13" i="13"/>
  <c r="E13" i="13"/>
  <c r="G12" i="13"/>
  <c r="J12" i="13" s="1"/>
  <c r="K12" i="13" s="1"/>
  <c r="D13" i="13"/>
  <c r="F13" i="13"/>
  <c r="L14" i="13"/>
  <c r="A14" i="13" s="1"/>
  <c r="C10" i="4"/>
  <c r="D10" i="4"/>
  <c r="H12" i="13" l="1"/>
  <c r="I12" i="13" s="1"/>
  <c r="C14" i="13"/>
  <c r="E14" i="13"/>
  <c r="G13" i="13"/>
  <c r="J13" i="13" s="1"/>
  <c r="K13" i="13" s="1"/>
  <c r="L15" i="13"/>
  <c r="A15" i="13" s="1"/>
  <c r="F14" i="13"/>
  <c r="B14" i="13"/>
  <c r="D14" i="13"/>
  <c r="H13" i="13" l="1"/>
  <c r="I13" i="13" s="1"/>
  <c r="G14" i="13"/>
  <c r="J14" i="13" s="1"/>
  <c r="K14" i="13" s="1"/>
  <c r="E15" i="13"/>
  <c r="L16" i="13"/>
  <c r="A16" i="13" s="1"/>
  <c r="D15" i="13"/>
  <c r="B15" i="13"/>
  <c r="C15" i="13"/>
  <c r="F15" i="13"/>
  <c r="H14" i="13" l="1"/>
  <c r="I14" i="13" s="1"/>
  <c r="C16" i="13"/>
  <c r="L17" i="13"/>
  <c r="A17" i="13" s="1"/>
  <c r="B16" i="13"/>
  <c r="D16" i="13"/>
  <c r="E16" i="13"/>
  <c r="F16" i="13"/>
  <c r="G15" i="13"/>
  <c r="J15" i="13" s="1"/>
  <c r="K15" i="13" s="1"/>
  <c r="H15" i="13" l="1"/>
  <c r="I15" i="13" s="1"/>
  <c r="E17" i="13"/>
  <c r="D17" i="13"/>
  <c r="L18" i="13"/>
  <c r="A18" i="13" s="1"/>
  <c r="F17" i="13"/>
  <c r="B17" i="13"/>
  <c r="C17" i="13"/>
  <c r="G16" i="13"/>
  <c r="J16" i="13" s="1"/>
  <c r="K16" i="13" s="1"/>
  <c r="H16" i="13" l="1"/>
  <c r="I16" i="13" s="1"/>
  <c r="G17" i="13"/>
  <c r="J17" i="13" s="1"/>
  <c r="K17" i="13" s="1"/>
  <c r="E18" i="13"/>
  <c r="B18" i="13"/>
  <c r="F18" i="13"/>
  <c r="L19" i="13"/>
  <c r="D18" i="13"/>
  <c r="C18" i="13"/>
  <c r="H17" i="13" l="1"/>
  <c r="I17" i="13" s="1"/>
  <c r="B19" i="13"/>
  <c r="A19" i="13"/>
  <c r="C19" i="13"/>
  <c r="F19" i="13"/>
  <c r="D19" i="13"/>
  <c r="G18" i="13"/>
  <c r="J18" i="13" s="1"/>
  <c r="K18" i="13" s="1"/>
  <c r="E19" i="13"/>
  <c r="L20" i="13"/>
  <c r="H18" i="13" l="1"/>
  <c r="I18" i="13" s="1"/>
  <c r="F20" i="13"/>
  <c r="A20" i="13"/>
  <c r="C20" i="13"/>
  <c r="G19" i="13"/>
  <c r="J19" i="13" s="1"/>
  <c r="K19" i="13" s="1"/>
  <c r="L21" i="13"/>
  <c r="D20" i="13"/>
  <c r="B20" i="13"/>
  <c r="E20" i="13"/>
  <c r="H19" i="13" l="1"/>
  <c r="I19" i="13" s="1"/>
  <c r="G20" i="13"/>
  <c r="J20" i="13" s="1"/>
  <c r="K20" i="13" s="1"/>
  <c r="F21" i="13"/>
  <c r="A21" i="13"/>
  <c r="D21" i="13"/>
  <c r="B21" i="13"/>
  <c r="L22" i="13"/>
  <c r="A22" i="13" s="1"/>
  <c r="C21" i="13"/>
  <c r="E21" i="13"/>
  <c r="H20" i="13" l="1"/>
  <c r="I20" i="13" s="1"/>
  <c r="E22" i="13"/>
  <c r="C22" i="13"/>
  <c r="F22" i="13"/>
  <c r="G21" i="13"/>
  <c r="J21" i="13" s="1"/>
  <c r="K21" i="13" s="1"/>
  <c r="B22" i="13"/>
  <c r="D22" i="13"/>
  <c r="L23" i="13"/>
  <c r="A23" i="13" s="1"/>
  <c r="H21" i="13" l="1"/>
  <c r="I21" i="13" s="1"/>
  <c r="G22" i="13"/>
  <c r="J22" i="13" s="1"/>
  <c r="K22" i="13" s="1"/>
  <c r="E23" i="13"/>
  <c r="F23" i="13"/>
  <c r="L24" i="13"/>
  <c r="A24" i="13" s="1"/>
  <c r="D23" i="13"/>
  <c r="B23" i="13"/>
  <c r="C23" i="13"/>
  <c r="H22" i="13" l="1"/>
  <c r="I22" i="13" s="1"/>
  <c r="C24" i="13"/>
  <c r="D24" i="13"/>
  <c r="F24" i="13"/>
  <c r="L25" i="13"/>
  <c r="A25" i="13" s="1"/>
  <c r="E24" i="13"/>
  <c r="B24" i="13"/>
  <c r="G23" i="13"/>
  <c r="J23" i="13" s="1"/>
  <c r="K23" i="13" s="1"/>
  <c r="H23" i="13" l="1"/>
  <c r="I23" i="13" s="1"/>
  <c r="D25" i="13"/>
  <c r="B25" i="13"/>
  <c r="G24" i="13"/>
  <c r="J24" i="13" s="1"/>
  <c r="K24" i="13" s="1"/>
  <c r="L26" i="13"/>
  <c r="A26" i="13" s="1"/>
  <c r="E25" i="13"/>
  <c r="F25" i="13"/>
  <c r="C25" i="13"/>
  <c r="H24" i="13" l="1"/>
  <c r="I24" i="13" s="1"/>
  <c r="G25" i="13"/>
  <c r="J25" i="13" s="1"/>
  <c r="K25" i="13" s="1"/>
  <c r="D26" i="13"/>
  <c r="B26" i="13"/>
  <c r="L27" i="13"/>
  <c r="A27" i="13" s="1"/>
  <c r="C26" i="13"/>
  <c r="E26" i="13"/>
  <c r="F26" i="13"/>
  <c r="H25" i="13" l="1"/>
  <c r="I25" i="13" s="1"/>
  <c r="G26" i="13"/>
  <c r="J26" i="13" s="1"/>
  <c r="K26" i="13" s="1"/>
  <c r="D27" i="13"/>
  <c r="D29" i="13" s="1"/>
  <c r="F27" i="13"/>
  <c r="B27" i="13"/>
  <c r="C27" i="13"/>
  <c r="C29" i="13" s="1"/>
  <c r="E27" i="13"/>
  <c r="E29" i="13" s="1"/>
  <c r="H26" i="13" l="1"/>
  <c r="I26" i="13" s="1"/>
  <c r="B29" i="13"/>
  <c r="G27" i="13"/>
  <c r="J27" i="13" s="1"/>
  <c r="K27" i="13" s="1"/>
  <c r="H27" i="13" l="1"/>
  <c r="I27" i="13" s="1"/>
  <c r="J29" i="13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<sst xmlns="http://schemas.openxmlformats.org/spreadsheetml/2006/main" count="498" uniqueCount="264">
  <si>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</si>
  <si>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</si>
  <si>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</si>
  <si>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</si>
  <si>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</si>
  <si>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</si>
  <si>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</si>
  <si>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</si>
  <si>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</si>
  <si>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</si>
  <si>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</si>
  <si>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</si>
  <si>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</si>
  <si>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</si>
  <si>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</si>
  <si>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</si>
  <si>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</si>
  <si>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</si>
  <si>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</si>
  <si>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</si>
  <si>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</si>
  <si>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</si>
  <si>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</si>
  <si>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</si>
  <si>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</si>
  <si>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</si>
  <si>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</si>
  <si>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</si>
  <si>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</si>
  <si>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</si>
  <si>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</si>
  <si>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</si>
  <si>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</si>
  <si>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</si>
  <si>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</si>
  <si>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</si>
  <si>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</si>
  <si>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</si>
  <si>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</si>
  <si>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</si>
  <si>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</si>
  <si>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</si>
  <si>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</si>
  <si>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</si>
  <si>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</si>
  <si>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</si>
  <si>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</si>
  <si>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</si>
  <si>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</si>
  <si>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</si>
  <si>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</si>
  <si>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</si>
  <si>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</si>
  <si>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</si>
  <si>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</si>
  <si>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</si>
  <si>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</si>
  <si>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</si>
  <si>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</si>
  <si>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</si>
  <si>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</si>
  <si>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</si>
  <si>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</si>
  <si>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</si>
  <si>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</si>
  <si>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</si>
  <si>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</si>
  <si>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</si>
  <si>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</si>
  <si>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</si>
  <si>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</si>
  <si>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</si>
  <si>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</si>
  <si>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</si>
  <si>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</si>
  <si>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</si>
  <si>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</si>
  <si>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</si>
  <si>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</si>
  <si>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</si>
  <si>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</si>
  <si>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</si>
  <si>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</si>
  <si>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</si>
  <si>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</si>
  <si>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</si>
  <si>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</si>
  <si>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</si>
  <si>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</si>
  <si>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</si>
  <si>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</si>
  <si>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</si>
  <si>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</si>
  <si>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</si>
  <si>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</si>
  <si>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</si>
  <si>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</si>
  <si>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</si>
  <si>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</si>
  <si>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</si>
  <si>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</si>
  <si>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</si>
  <si>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</si>
  <si>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</si>
  <si>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</si>
  <si>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</si>
  <si>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</si>
  <si>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</si>
  <si>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</si>
  <si>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</si>
  <si>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</si>
  <si>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</si>
  <si>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</si>
  <si>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</si>
  <si>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</si>
  <si>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</si>
  <si>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</si>
  <si>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</si>
  <si>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</si>
  <si>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</si>
  <si>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</si>
  <si>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</si>
  <si>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</si>
  <si>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</si>
  <si>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</si>
  <si>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</si>
  <si>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</si>
  <si>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</si>
  <si>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</si>
  <si>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</si>
  <si>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</si>
  <si>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</si>
  <si>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</si>
  <si>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</si>
  <si>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</si>
  <si>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</si>
  <si>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</si>
  <si>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</si>
  <si>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</si>
  <si>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</si>
  <si>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</si>
  <si>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</si>
  <si>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</si>
  <si>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</si>
  <si>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</si>
  <si>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</si>
  <si>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</si>
  <si>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</si>
  <si>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</si>
  <si>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</si>
  <si>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</si>
  <si>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</si>
  <si>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</si>
  <si>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</si>
  <si>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</si>
  <si>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</si>
  <si>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</si>
  <si>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</si>
  <si>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</si>
  <si>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</si>
  <si>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</si>
  <si>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</si>
  <si>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</si>
  <si>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</si>
  <si>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</si>
  <si>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</si>
  <si>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</si>
  <si>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</si>
  <si>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</si>
  <si>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</si>
  <si>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</si>
  <si>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</si>
  <si>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</si>
  <si>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</si>
  <si>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</si>
  <si>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</si>
  <si>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</si>
  <si>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</si>
  <si>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</si>
  <si>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</si>
  <si>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</si>
  <si>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</si>
  <si>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</si>
  <si>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</si>
  <si>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</si>
  <si>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</si>
  <si>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</si>
  <si>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</si>
  <si>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</si>
  <si>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</si>
  <si>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</si>
  <si>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</si>
  <si>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</si>
  <si>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</si>
  <si>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</si>
  <si>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</si>
  <si>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</si>
  <si>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</si>
  <si>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</si>
  <si>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</si>
  <si>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</si>
  <si>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</si>
  <si>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</si>
  <si>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</si>
  <si>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</si>
  <si>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</si>
  <si>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</si>
  <si>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</si>
  <si>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</si>
  <si>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</si>
  <si>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</si>
  <si>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</si>
  <si>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</si>
  <si>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</si>
  <si>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</si>
  <si>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</si>
  <si>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</si>
  <si>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</si>
  <si>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</si>
  <si>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</si>
  <si>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</si>
  <si>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</si>
  <si>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</si>
  <si>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</si>
  <si>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</si>
  <si>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</si>
  <si>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</si>
  <si>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</si>
  <si>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</si>
  <si>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</si>
  <si>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</si>
  <si>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</si>
  <si>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</si>
  <si>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</si>
  <si>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</si>
  <si>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</si>
  <si>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</si>
  <si>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</si>
  <si>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</si>
  <si>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</si>
  <si>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</si>
  <si>
    <t>Resultado L/P Mês</t>
  </si>
  <si>
    <t>EXTRATO APÓS RETIRADA</t>
  </si>
  <si>
    <t>EXTRATO SEM RETIRADA</t>
  </si>
  <si>
    <t>MATERIAL DE ESCRITÓRIO</t>
  </si>
  <si>
    <t>MERCADO LIVRE</t>
  </si>
  <si>
    <t>Nota Fiscal</t>
  </si>
  <si>
    <t>CARMELO</t>
  </si>
  <si>
    <t>Totalizado</t>
  </si>
  <si>
    <t>PROLABORE jun/26 1/12</t>
  </si>
  <si>
    <t>PROLABORE jun/26 2/2</t>
  </si>
  <si>
    <t>MATERIAL DE ESCRITORIO</t>
  </si>
  <si>
    <t>DECATLHON</t>
  </si>
  <si>
    <t>SUPERMERCADO</t>
  </si>
  <si>
    <t>RESTAURANTE TRADIÇÃO</t>
  </si>
  <si>
    <t>MATERIAL DE EXPEDIENTE</t>
  </si>
  <si>
    <t>DISTRIBUIÇÃO DE LUCRO</t>
  </si>
  <si>
    <t>REPARO DO CARRO</t>
  </si>
  <si>
    <t>MECANICA CAETANO</t>
  </si>
  <si>
    <t>PAPELARIA</t>
  </si>
  <si>
    <t>SHOPPING</t>
  </si>
  <si>
    <t>COMBUSTIVEL</t>
  </si>
  <si>
    <t>POSTO ALDO</t>
  </si>
  <si>
    <t xml:space="preserve">DEVOLUÇÃO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</si>
</sst>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5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i/>
      <sz val="14"/>
      <color rgb="FFFF0000"/>
      <name val="Calibri"/>
      <family val="2"/>
    </font>
    <font>
      <b/>
      <sz val="16"/>
      <color rgb="FF000000"/>
      <name val="Calibri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1"/>
        <bgColor rgb="FFF3F3F3"/>
      </patternFill>
    </fill>
    <fill>
      <patternFill patternType="solid">
        <fgColor rgb="FFFF00FF"/>
        <bgColor indexed="64"/>
      </patternFill>
    </fill>
    <fill>
      <patternFill patternType="solid">
        <fgColor rgb="FF00FF99"/>
        <bgColor indexed="64"/>
      </patternFill>
    </fill>
  </fills>
  <borders count="124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93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14" fontId="88" fillId="12" borderId="0" xfId="0" applyNumberFormat="1" applyFont="1" applyFill="1"/>
    <xf numFmtId="0" fontId="88" fillId="12" borderId="0" xfId="0" applyFont="1" applyFill="1"/>
    <xf numFmtId="4" fontId="88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0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4" fillId="41" borderId="66" xfId="0" applyNumberFormat="1" applyFont="1" applyFill="1" applyBorder="1" applyAlignment="1">
      <alignment horizontal="center" vertical="center"/>
    </xf>
    <xf numFmtId="164" fontId="93" fillId="41" borderId="66" xfId="0" applyNumberFormat="1" applyFont="1" applyFill="1" applyBorder="1" applyAlignment="1">
      <alignment horizontal="center"/>
    </xf>
    <xf numFmtId="166" fontId="93" fillId="41" borderId="98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4" fillId="41" borderId="66" xfId="0" applyNumberFormat="1" applyFont="1" applyFill="1" applyBorder="1" applyAlignment="1">
      <alignment horizontal="center" vertical="center"/>
    </xf>
    <xf numFmtId="4" fontId="26" fillId="12" borderId="99" xfId="0" applyNumberFormat="1" applyFont="1" applyFill="1" applyBorder="1" applyAlignment="1">
      <alignment horizontal="center" vertical="center"/>
    </xf>
    <xf numFmtId="0" fontId="4" fillId="12" borderId="99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0" xfId="0" applyNumberFormat="1" applyFont="1" applyFill="1" applyBorder="1" applyAlignment="1">
      <alignment horizontal="center" vertical="center"/>
    </xf>
    <xf numFmtId="166" fontId="91" fillId="37" borderId="101" xfId="0" applyNumberFormat="1" applyFont="1" applyFill="1" applyBorder="1" applyAlignment="1">
      <alignment horizontal="center" vertical="center"/>
    </xf>
    <xf numFmtId="4" fontId="95" fillId="40" borderId="66" xfId="0" applyNumberFormat="1" applyFont="1" applyFill="1" applyBorder="1" applyAlignment="1">
      <alignment horizontal="center" vertical="center"/>
    </xf>
    <xf numFmtId="166" fontId="96" fillId="40" borderId="66" xfId="0" applyNumberFormat="1" applyFont="1" applyFill="1" applyBorder="1" applyAlignment="1">
      <alignment horizontal="center" vertical="center"/>
    </xf>
    <xf numFmtId="0" fontId="96" fillId="40" borderId="66" xfId="0" applyFont="1" applyFill="1" applyBorder="1" applyAlignment="1">
      <alignment horizontal="center"/>
    </xf>
    <xf numFmtId="166" fontId="96" fillId="42" borderId="98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3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4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98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8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3" xfId="0" applyNumberFormat="1" applyFont="1" applyFill="1" applyBorder="1" applyAlignment="1">
      <alignment horizontal="center" vertical="center"/>
    </xf>
    <xf numFmtId="10" fontId="4" fillId="4" borderId="104" xfId="0" applyNumberFormat="1" applyFont="1" applyFill="1" applyBorder="1" applyAlignment="1">
      <alignment horizontal="center" vertical="center"/>
    </xf>
    <xf numFmtId="0" fontId="100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89" fillId="2" borderId="102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1" fillId="0" borderId="64" xfId="0" applyFont="1" applyBorder="1" applyAlignment="1">
      <alignment horizontal="center"/>
    </xf>
    <xf numFmtId="4" fontId="101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88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2" fillId="36" borderId="0" xfId="0" applyFont="1" applyFill="1"/>
    <xf numFmtId="0" fontId="88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3" fillId="36" borderId="0" xfId="0" applyFont="1" applyFill="1" applyAlignment="1">
      <alignment horizontal="center"/>
    </xf>
    <xf numFmtId="0" fontId="1" fillId="45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4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7" fillId="39" borderId="64" xfId="0" applyNumberFormat="1" applyFont="1" applyFill="1" applyBorder="1" applyAlignment="1">
      <alignment horizontal="left"/>
    </xf>
    <xf numFmtId="4" fontId="88" fillId="36" borderId="0" xfId="0" applyNumberFormat="1" applyFont="1" applyFill="1"/>
    <xf numFmtId="4" fontId="0" fillId="0" borderId="107" xfId="0" applyNumberFormat="1" applyBorder="1"/>
    <xf numFmtId="4" fontId="0" fillId="0" borderId="108" xfId="0" applyNumberFormat="1" applyBorder="1"/>
    <xf numFmtId="4" fontId="101" fillId="0" borderId="108" xfId="0" applyNumberFormat="1" applyFont="1" applyBorder="1"/>
    <xf numFmtId="0" fontId="1" fillId="38" borderId="0" xfId="0" applyFont="1" applyFill="1"/>
    <xf numFmtId="4" fontId="0" fillId="0" borderId="109" xfId="0" applyNumberFormat="1" applyBorder="1"/>
    <xf numFmtId="0" fontId="47" fillId="10" borderId="110" xfId="0" applyFont="1" applyFill="1" applyBorder="1"/>
    <xf numFmtId="172" fontId="47" fillId="10" borderId="111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7" fillId="48" borderId="64" xfId="0" applyNumberFormat="1" applyFont="1" applyFill="1" applyBorder="1" applyAlignment="1">
      <alignment vertical="center"/>
    </xf>
    <xf numFmtId="164" fontId="107" fillId="48" borderId="64" xfId="0" applyNumberFormat="1" applyFont="1" applyFill="1" applyBorder="1" applyAlignment="1">
      <alignment horizontal="center" vertical="center"/>
    </xf>
    <xf numFmtId="9" fontId="107" fillId="48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6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09" fillId="30" borderId="62" xfId="0" applyFont="1" applyFill="1" applyBorder="1"/>
    <xf numFmtId="172" fontId="110" fillId="30" borderId="63" xfId="0" applyNumberFormat="1" applyFont="1" applyFill="1" applyBorder="1" applyAlignment="1">
      <alignment horizontal="center"/>
    </xf>
    <xf numFmtId="172" fontId="110" fillId="30" borderId="0" xfId="0" applyNumberFormat="1" applyFont="1" applyFill="1" applyAlignment="1">
      <alignment horizontal="center"/>
    </xf>
    <xf numFmtId="172" fontId="110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1" fillId="49" borderId="0" xfId="0" applyFont="1" applyFill="1"/>
    <xf numFmtId="0" fontId="112" fillId="49" borderId="0" xfId="0" applyFont="1" applyFill="1"/>
    <xf numFmtId="0" fontId="112" fillId="49" borderId="64" xfId="0" applyFont="1" applyFill="1" applyBorder="1"/>
    <xf numFmtId="14" fontId="113" fillId="49" borderId="0" xfId="0" applyNumberFormat="1" applyFont="1" applyFill="1"/>
    <xf numFmtId="4" fontId="114" fillId="49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3" fillId="41" borderId="68" xfId="0" applyNumberFormat="1" applyFont="1" applyFill="1" applyBorder="1" applyAlignment="1">
      <alignment horizontal="center"/>
    </xf>
    <xf numFmtId="4" fontId="92" fillId="40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5" fillId="50" borderId="39" xfId="0" applyFont="1" applyFill="1" applyBorder="1" applyAlignment="1">
      <alignment horizontal="center"/>
    </xf>
    <xf numFmtId="167" fontId="82" fillId="51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18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19" fillId="2" borderId="0" xfId="0" applyFont="1" applyFill="1" applyAlignment="1">
      <alignment horizontal="left" vertical="center"/>
    </xf>
    <xf numFmtId="172" fontId="119" fillId="2" borderId="0" xfId="0" applyNumberFormat="1" applyFont="1" applyFill="1" applyAlignment="1">
      <alignment horizontal="center"/>
    </xf>
    <xf numFmtId="0" fontId="120" fillId="2" borderId="0" xfId="0" applyFont="1" applyFill="1" applyAlignment="1">
      <alignment horizontal="left" vertical="center"/>
    </xf>
    <xf numFmtId="172" fontId="120" fillId="2" borderId="0" xfId="0" applyNumberFormat="1" applyFont="1" applyFill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/>
    </xf>
    <xf numFmtId="172" fontId="123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2" fillId="2" borderId="50" xfId="0" applyNumberFormat="1" applyFont="1" applyFill="1" applyBorder="1" applyAlignment="1">
      <alignment horizontal="center"/>
    </xf>
    <xf numFmtId="172" fontId="122" fillId="2" borderId="64" xfId="0" applyNumberFormat="1" applyFont="1" applyFill="1" applyBorder="1" applyAlignment="1">
      <alignment horizontal="center"/>
    </xf>
    <xf numFmtId="0" fontId="108" fillId="2" borderId="50" xfId="0" applyFont="1" applyFill="1" applyBorder="1" applyAlignment="1">
      <alignment horizontal="left"/>
    </xf>
    <xf numFmtId="10" fontId="108" fillId="2" borderId="50" xfId="0" applyNumberFormat="1" applyFont="1" applyFill="1" applyBorder="1" applyAlignment="1">
      <alignment horizontal="center"/>
    </xf>
    <xf numFmtId="0" fontId="122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2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4" fillId="2" borderId="0" xfId="0" applyFont="1" applyFill="1"/>
    <xf numFmtId="0" fontId="126" fillId="53" borderId="0" xfId="0" applyFont="1" applyFill="1" applyAlignment="1">
      <alignment horizontal="left"/>
    </xf>
    <xf numFmtId="172" fontId="126" fillId="53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2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2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7" fillId="30" borderId="62" xfId="0" applyFont="1" applyFill="1" applyBorder="1"/>
    <xf numFmtId="172" fontId="128" fillId="30" borderId="63" xfId="0" applyNumberFormat="1" applyFont="1" applyFill="1" applyBorder="1" applyAlignment="1">
      <alignment horizontal="center"/>
    </xf>
    <xf numFmtId="0" fontId="129" fillId="10" borderId="62" xfId="0" applyFont="1" applyFill="1" applyBorder="1"/>
    <xf numFmtId="172" fontId="129" fillId="10" borderId="63" xfId="0" applyNumberFormat="1" applyFont="1" applyFill="1" applyBorder="1" applyAlignment="1">
      <alignment horizontal="center"/>
    </xf>
    <xf numFmtId="172" fontId="129" fillId="10" borderId="64" xfId="0" applyNumberFormat="1" applyFont="1" applyFill="1" applyBorder="1" applyAlignment="1">
      <alignment horizontal="center"/>
    </xf>
    <xf numFmtId="172" fontId="129" fillId="10" borderId="65" xfId="0" applyNumberFormat="1" applyFont="1" applyFill="1" applyBorder="1" applyAlignment="1">
      <alignment horizontal="center"/>
    </xf>
    <xf numFmtId="0" fontId="130" fillId="46" borderId="62" xfId="0" applyFont="1" applyFill="1" applyBorder="1"/>
    <xf numFmtId="172" fontId="125" fillId="46" borderId="63" xfId="0" applyNumberFormat="1" applyFont="1" applyFill="1" applyBorder="1" applyAlignment="1">
      <alignment horizontal="center"/>
    </xf>
    <xf numFmtId="172" fontId="125" fillId="46" borderId="0" xfId="0" applyNumberFormat="1" applyFont="1" applyFill="1" applyAlignment="1">
      <alignment horizontal="center"/>
    </xf>
    <xf numFmtId="172" fontId="125" fillId="46" borderId="65" xfId="0" applyNumberFormat="1" applyFont="1" applyFill="1" applyBorder="1" applyAlignment="1">
      <alignment horizontal="center"/>
    </xf>
    <xf numFmtId="0" fontId="131" fillId="54" borderId="112" xfId="0" applyFont="1" applyFill="1" applyBorder="1"/>
    <xf numFmtId="172" fontId="132" fillId="55" borderId="113" xfId="0" applyNumberFormat="1" applyFont="1" applyFill="1" applyBorder="1" applyAlignment="1">
      <alignment horizontal="center"/>
    </xf>
    <xf numFmtId="172" fontId="132" fillId="55" borderId="114" xfId="0" applyNumberFormat="1" applyFont="1" applyFill="1" applyBorder="1" applyAlignment="1">
      <alignment horizontal="center"/>
    </xf>
    <xf numFmtId="172" fontId="133" fillId="2" borderId="63" xfId="0" applyNumberFormat="1" applyFont="1" applyFill="1" applyBorder="1" applyAlignment="1">
      <alignment horizontal="center"/>
    </xf>
    <xf numFmtId="172" fontId="133" fillId="2" borderId="0" xfId="0" applyNumberFormat="1" applyFont="1" applyFill="1" applyAlignment="1">
      <alignment horizontal="center"/>
    </xf>
    <xf numFmtId="172" fontId="133" fillId="2" borderId="65" xfId="0" applyNumberFormat="1" applyFont="1" applyFill="1" applyBorder="1" applyAlignment="1">
      <alignment horizontal="center"/>
    </xf>
    <xf numFmtId="0" fontId="116" fillId="2" borderId="62" xfId="0" applyFont="1" applyFill="1" applyBorder="1"/>
    <xf numFmtId="0" fontId="134" fillId="10" borderId="59" xfId="0" applyFont="1" applyFill="1" applyBorder="1"/>
    <xf numFmtId="10" fontId="134" fillId="10" borderId="60" xfId="0" applyNumberFormat="1" applyFont="1" applyFill="1" applyBorder="1" applyAlignment="1">
      <alignment horizontal="center"/>
    </xf>
    <xf numFmtId="10" fontId="134" fillId="10" borderId="39" xfId="0" applyNumberFormat="1" applyFont="1" applyFill="1" applyBorder="1" applyAlignment="1">
      <alignment horizontal="center"/>
    </xf>
    <xf numFmtId="10" fontId="134" fillId="10" borderId="61" xfId="0" applyNumberFormat="1" applyFont="1" applyFill="1" applyBorder="1" applyAlignment="1">
      <alignment horizontal="center"/>
    </xf>
    <xf numFmtId="0" fontId="135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6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7" borderId="50" xfId="0" applyFont="1" applyFill="1" applyBorder="1" applyAlignment="1">
      <alignment horizontal="left"/>
    </xf>
    <xf numFmtId="0" fontId="35" fillId="56" borderId="39" xfId="0" applyFont="1" applyFill="1" applyBorder="1" applyAlignment="1">
      <alignment horizontal="left"/>
    </xf>
    <xf numFmtId="10" fontId="35" fillId="56" borderId="39" xfId="0" applyNumberFormat="1" applyFont="1" applyFill="1" applyBorder="1" applyAlignment="1">
      <alignment horizontal="center"/>
    </xf>
    <xf numFmtId="10" fontId="86" fillId="47" borderId="50" xfId="0" applyNumberFormat="1" applyFont="1" applyFill="1" applyBorder="1" applyAlignment="1">
      <alignment horizontal="center"/>
    </xf>
    <xf numFmtId="0" fontId="138" fillId="53" borderId="50" xfId="0" applyFont="1" applyFill="1" applyBorder="1" applyAlignment="1">
      <alignment horizontal="left" vertical="center"/>
    </xf>
    <xf numFmtId="172" fontId="138" fillId="53" borderId="50" xfId="0" applyNumberFormat="1" applyFont="1" applyFill="1" applyBorder="1" applyAlignment="1">
      <alignment horizontal="center"/>
    </xf>
    <xf numFmtId="0" fontId="139" fillId="0" borderId="64" xfId="0" applyFont="1" applyBorder="1" applyAlignment="1">
      <alignment horizontal="center" vertical="center"/>
    </xf>
    <xf numFmtId="166" fontId="30" fillId="57" borderId="0" xfId="0" applyNumberFormat="1" applyFont="1" applyFill="1" applyAlignment="1">
      <alignment horizontal="center"/>
    </xf>
    <xf numFmtId="166" fontId="30" fillId="58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5" xfId="0" applyNumberFormat="1" applyBorder="1" applyAlignment="1">
      <alignment horizontal="right" vertical="center"/>
    </xf>
    <xf numFmtId="170" fontId="142" fillId="61" borderId="115" xfId="0" applyNumberFormat="1" applyFont="1" applyFill="1" applyBorder="1" applyAlignment="1">
      <alignment horizontal="right" vertical="center"/>
    </xf>
    <xf numFmtId="174" fontId="0" fillId="0" borderId="117" xfId="0" applyNumberFormat="1" applyBorder="1" applyAlignment="1">
      <alignment horizontal="center" vertical="center"/>
    </xf>
    <xf numFmtId="0" fontId="141" fillId="60" borderId="120" xfId="0" applyFont="1" applyFill="1" applyBorder="1" applyAlignment="1">
      <alignment horizontal="center" vertical="center" wrapText="1"/>
    </xf>
    <xf numFmtId="170" fontId="0" fillId="0" borderId="121" xfId="0" applyNumberFormat="1" applyBorder="1" applyAlignment="1">
      <alignment horizontal="right" vertical="center"/>
    </xf>
    <xf numFmtId="0" fontId="33" fillId="60" borderId="118" xfId="0" applyFont="1" applyFill="1" applyBorder="1" applyAlignment="1">
      <alignment horizontal="center" vertical="center" wrapText="1"/>
    </xf>
    <xf numFmtId="0" fontId="33" fillId="60" borderId="119" xfId="0" applyFont="1" applyFill="1" applyBorder="1" applyAlignment="1">
      <alignment horizontal="center" vertical="center" wrapText="1"/>
    </xf>
    <xf numFmtId="170" fontId="83" fillId="0" borderId="115" xfId="0" applyNumberFormat="1" applyFont="1" applyBorder="1" applyAlignment="1">
      <alignment horizontal="right" vertical="center"/>
    </xf>
    <xf numFmtId="170" fontId="83" fillId="0" borderId="121" xfId="0" applyNumberFormat="1" applyFont="1" applyBorder="1" applyAlignment="1">
      <alignment horizontal="right" vertical="center"/>
    </xf>
    <xf numFmtId="170" fontId="85" fillId="0" borderId="115" xfId="0" applyNumberFormat="1" applyFont="1" applyBorder="1" applyAlignment="1">
      <alignment horizontal="right" vertical="center"/>
    </xf>
    <xf numFmtId="170" fontId="35" fillId="61" borderId="115" xfId="0" applyNumberFormat="1" applyFont="1" applyFill="1" applyBorder="1" applyAlignment="1">
      <alignment horizontal="right" vertical="center"/>
    </xf>
    <xf numFmtId="174" fontId="85" fillId="0" borderId="116" xfId="0" applyNumberFormat="1" applyFont="1" applyBorder="1" applyAlignment="1">
      <alignment horizontal="center" vertical="center"/>
    </xf>
    <xf numFmtId="0" fontId="33" fillId="60" borderId="120" xfId="0" applyFont="1" applyFill="1" applyBorder="1" applyAlignment="1">
      <alignment horizontal="center" vertical="center" wrapText="1"/>
    </xf>
    <xf numFmtId="0" fontId="34" fillId="40" borderId="119" xfId="0" applyFont="1" applyFill="1" applyBorder="1" applyAlignment="1">
      <alignment horizontal="center" vertical="center" wrapText="1"/>
    </xf>
    <xf numFmtId="0" fontId="34" fillId="62" borderId="0" xfId="0" applyFont="1" applyFill="1" applyAlignment="1">
      <alignment horizontal="left"/>
    </xf>
    <xf numFmtId="172" fontId="34" fillId="62" borderId="0" xfId="0" applyNumberFormat="1" applyFont="1" applyFill="1" applyAlignment="1">
      <alignment horizontal="center"/>
    </xf>
    <xf numFmtId="172" fontId="143" fillId="62" borderId="63" xfId="0" applyNumberFormat="1" applyFont="1" applyFill="1" applyBorder="1" applyAlignment="1">
      <alignment horizontal="center"/>
    </xf>
    <xf numFmtId="172" fontId="143" fillId="62" borderId="0" xfId="0" applyNumberFormat="1" applyFont="1" applyFill="1" applyAlignment="1">
      <alignment horizontal="center"/>
    </xf>
    <xf numFmtId="172" fontId="143" fillId="62" borderId="65" xfId="0" applyNumberFormat="1" applyFont="1" applyFill="1" applyBorder="1" applyAlignment="1">
      <alignment horizontal="center"/>
    </xf>
    <xf numFmtId="3" fontId="0" fillId="0" borderId="0" xfId="0" applyNumberFormat="1"/>
    <xf numFmtId="170" fontId="144" fillId="0" borderId="117" xfId="0" applyNumberFormat="1" applyFont="1" applyBorder="1" applyAlignment="1">
      <alignment horizontal="right" vertical="center"/>
    </xf>
    <xf numFmtId="170" fontId="144" fillId="0" borderId="122" xfId="0" applyNumberFormat="1" applyFont="1" applyBorder="1" applyAlignment="1">
      <alignment horizontal="right" vertical="center"/>
    </xf>
    <xf numFmtId="14" fontId="71" fillId="63" borderId="0" xfId="0" applyNumberFormat="1" applyFont="1" applyFill="1"/>
    <xf numFmtId="14" fontId="0" fillId="63" borderId="0" xfId="0" applyNumberFormat="1" applyFill="1"/>
    <xf numFmtId="14" fontId="71" fillId="64" borderId="0" xfId="0" applyNumberFormat="1" applyFont="1" applyFill="1"/>
    <xf numFmtId="14" fontId="0" fillId="64" borderId="0" xfId="0" applyNumberFormat="1" applyFill="1"/>
    <xf numFmtId="0" fontId="140" fillId="59" borderId="123" xfId="0" applyFont="1" applyFill="1" applyBorder="1" applyAlignment="1">
      <alignment horizontal="center" vertical="center"/>
    </xf>
    <xf numFmtId="0" fontId="140" fillId="59" borderId="64" xfId="0" applyFont="1" applyFill="1" applyBorder="1" applyAlignment="1">
      <alignment horizontal="center" vertical="center"/>
    </xf>
    <xf numFmtId="0" fontId="33" fillId="60" borderId="117" xfId="0" applyFont="1" applyFill="1" applyBorder="1" applyAlignment="1">
      <alignment horizontal="center" vertical="center" wrapText="1"/>
    </xf>
    <xf numFmtId="0" fontId="33" fillId="60" borderId="116" xfId="0" applyFont="1" applyFill="1" applyBorder="1" applyAlignment="1">
      <alignment horizontal="center" vertical="center" wrapText="1"/>
    </xf>
    <xf numFmtId="0" fontId="34" fillId="40" borderId="117" xfId="0" applyFont="1" applyFill="1" applyBorder="1" applyAlignment="1">
      <alignment horizontal="center" vertical="center" wrapText="1"/>
    </xf>
    <xf numFmtId="0" fontId="34" fillId="40" borderId="11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99" fillId="2" borderId="70" xfId="0" applyFont="1" applyFill="1" applyBorder="1" applyAlignment="1">
      <alignment horizontal="center" vertical="center" wrapText="1"/>
    </xf>
    <xf numFmtId="0" fontId="99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97" fillId="0" borderId="29" xfId="0" applyFont="1" applyBorder="1" applyAlignment="1">
      <alignment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5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7" fillId="0" borderId="0" xfId="0" applyFont="1"/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</cellXfs>
  <cellStyles count="1">
    <cellStyle name="Normal" xfId="0" builtinId="0"/>
  </cellStyles>
  <dxfs count="64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</font>
      <fill>
        <patternFill>
          <bgColor rgb="FF00FF99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00FF99"/>
      <color rgb="FFFF00FF"/>
      <color rgb="FF66FF33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5475.48</c:v>
                </c:pt>
                <c:pt idx="6">
                  <c:v>4260.1499999999996</c:v>
                </c:pt>
                <c:pt idx="7">
                  <c:v>3456.54</c:v>
                </c:pt>
                <c:pt idx="8">
                  <c:v>5810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0.52147428571428567</c:v>
                </c:pt>
                <c:pt idx="6">
                  <c:v>0.42601499999999998</c:v>
                </c:pt>
                <c:pt idx="7">
                  <c:v>0.34565400000000002</c:v>
                </c:pt>
                <c:pt idx="8">
                  <c:v>0.58099999999999996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3952.92</c:v>
                </c:pt>
                <c:pt idx="6">
                  <c:v>5250</c:v>
                </c:pt>
                <c:pt idx="7">
                  <c:v>3590</c:v>
                </c:pt>
                <c:pt idx="8">
                  <c:v>3590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1162703</xdr:colOff>
      <xdr:row>5</xdr:row>
      <xdr:rowOff>22437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1.520,00</a:t>
          </a:fld>
          <a:endParaRPr lang="pt-BR" sz="2000"/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endParaRPr lang="pt-BR" sz="1200" b="1" baseline="0"/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R$18.423,27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R$16.903,27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171450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L27" totalsRowShown="0" headerRowDxfId="63" dataDxfId="61" headerRowBorderDxfId="62" tableBorderDxfId="60" totalsRowBorderDxfId="59">
  <tableColumns count="12">
    <tableColumn id="1" xr3:uid="{49E6F9FE-A713-4C99-8B64-74D3124E300F}" name="Competência" dataDxfId="58">
      <calculatedColumnFormula>CHOOSE(MONTH($L4),"JAN","FEV","MAR","ABR","MAI","JUN","JUL","AGO","SET","OUT","NOV","DEZ")&amp;"/"&amp;TEXT($L4,"AA")</calculatedColumnFormula>
    </tableColumn>
    <tableColumn id="2" xr3:uid="{AA842246-0B63-4943-A09B-D4FF83B4D890}" name="Faturamento" dataDxfId="57">
      <calculatedColumnFormula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calculatedColumnFormula>
    </tableColumn>
    <tableColumn id="3" xr3:uid="{E1EC1505-5F68-439B-B35E-1103E3A845B1}" name="INSS" dataDxfId="56">
      <calculatedColumnFormula>SUMIFS('📋 Despesas'!$J:$J,'📋 Despesas'!$B:$B,"&gt;="&amp;$L4,'📋 Despesas'!$B:$B,"&lt;"&amp;EDATE($L4,1),'📋 Despesas'!$E:$E,"*INSS*")</calculatedColumnFormula>
    </tableColumn>
    <tableColumn id="4" xr3:uid="{D0B1CFFC-B88F-4DB5-A456-41246D945239}" name="Pró-labore" dataDxfId="55">
      <calculatedColumnFormula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calculatedColumnFormula>
    </tableColumn>
    <tableColumn id="5" xr3:uid="{77727A5A-FA1D-4D71-96B7-6DAED548D0B1}" name="DAS" dataDxfId="54">
      <calculatedColumnFormula>SUMIFS('📋 Despesas'!$J:$J,'📋 Despesas'!$B:$B,"&gt;="&amp;$L4,'📋 Despesas'!$B:$B,"&lt;"&amp;EDATE($L4,1),'📋 Despesas'!$E:$E,"*DAS*")</calculatedColumnFormula>
    </tableColumn>
    <tableColumn id="9" xr3:uid="{D50E7F7D-C2A9-4468-9E54-5A7774964C52}" name="DL Pagos" dataDxfId="53">
      <calculatedColumnFormula>SUMIFS('📋 Despesas'!$J:$J,'📋 Despesas'!$B:$B,"&gt;="&amp;$L4,'📋 Despesas'!$B:$B,"&lt;"&amp;EDATE($L4,1),'📋 Despesas'!$E:$E,"*LUCRO*")</calculatedColumnFormula>
    </tableColumn>
    <tableColumn id="6" xr3:uid="{B2330911-A231-447F-AE80-EEF885E9F629}" name="Demais gastos" dataDxfId="52">
      <calculatedColumnFormula>SUMIFS('📋 Despesas'!$J:$J,'📋 Despesas'!$B:$B,"&gt;="&amp;$L4,'📋 Despesas'!$B:$B,"&lt;"&amp;EDATE($L4,1))-C4-D4-E4-F4</calculatedColumnFormula>
    </tableColumn>
    <tableColumn id="10" xr3:uid="{F4CE84D7-31D6-4991-811A-31BB620A4F56}" name="Resultado L/P Mês" dataDxfId="51">
      <calculatedColumnFormula>B4-C4-D4-E4-G4</calculatedColumnFormula>
    </tableColumn>
    <tableColumn id="12" xr3:uid="{73E7129E-A4F7-43C1-B497-7FB732F881D6}" name="Totalizado" dataDxfId="50">
      <calculatedColumnFormula>SUM($H$4:H4)</calculatedColumnFormula>
    </tableColumn>
    <tableColumn id="7" xr3:uid="{623B1D79-AA67-4233-8FEA-95CED91E7329}" name="Saldo" dataDxfId="49">
      <calculatedColumnFormula>B4-C4-D4-E4-G4-Tabela2[[#This Row],[DL Pagos]]</calculatedColumnFormula>
    </tableColumn>
    <tableColumn id="11" xr3:uid="{A493229A-E374-44D1-B73C-8F00A779F13E}" name="Acumulado" dataDxfId="48">
      <calculatedColumnFormula>SUM($J$4:J4)</calculatedColumnFormula>
    </tableColumn>
    <tableColumn id="8" xr3:uid="{D6A0AD79-E866-4923-A13D-C2CC8A2C9DE6}" name="Data base" dataDxfId="47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6">
  <autoFilter ref="G2:G33" xr:uid="{9FB9B7D2-0F7C-4CD2-9F22-4122B7DAD9DC}"/>
  <tableColumns count="1">
    <tableColumn id="1" xr3:uid="{5683796C-C110-4EC9-9665-6268F3588A24}" name="data" dataDxfId="4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43CB27B2-0C53-4658-815A-315035983DB4}">
  <we:reference id="wa200010215" version="2.0.0.0" store="pt-BR" storeType="OMEX"/>
  <we:alternateReferences>
    <we:reference id="wa200010215" version="2.0.0.0" store="WA200010215" storeType="OMEX"/>
  </we:alternateReferences>
  <we:properties>
    <we:property name="bps.codex_control.document_id" value="&quot;15769a08-4f4c-4143-8c1c-ccbdc3f0b52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H25" sqref="H25"/>
    </sheetView>
  </sheetViews>
  <sheetFormatPr defaultColWidth="11.25" defaultRowHeight="15" customHeight="1"/>
  <cols>
    <col min="1" max="1" width="1.25" customWidth="1"/>
    <col min="2" max="2" width="23.5" customWidth="1"/>
    <col min="3" max="3" width="21.375" customWidth="1"/>
    <col min="4" max="4" width="17.125" customWidth="1"/>
    <col min="5" max="5" width="9.75" customWidth="1"/>
    <col min="6" max="6" width="4.625" customWidth="1"/>
    <col min="7" max="7" width="4.25" customWidth="1"/>
    <col min="8" max="8" width="21.625" customWidth="1"/>
    <col min="9" max="9" width="19.25" customWidth="1"/>
    <col min="10" max="10" width="25.25" customWidth="1"/>
    <col min="11" max="11" width="18.25" customWidth="1"/>
    <col min="12" max="12" width="16.25" customWidth="1"/>
    <col min="13" max="13" width="2.25" customWidth="1"/>
    <col min="14" max="14" width="3.125" customWidth="1"/>
  </cols>
  <sheetData>
    <row r="1" spans="1:15" ht="6.75" customHeight="1">
      <c r="A1" s="1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</row>
    <row r="2" spans="1:15" ht="22.5" customHeight="1">
      <c r="A2" s="362"/>
      <c r="B2" s="2" t="s">
        <v>1</v>
      </c>
      <c r="C2" s="3" t="s">
        <v>2</v>
      </c>
      <c r="D2" s="362"/>
      <c r="E2" s="362"/>
      <c r="F2" s="362"/>
      <c r="G2" s="362"/>
      <c r="H2" s="210" t="s">
        <v>3</v>
      </c>
      <c r="I2" s="211">
        <f t="shared" ref="I2:L2" si="0">SUM(I4:I22)</f>
        <v>7399.85</v>
      </c>
      <c r="J2" s="212">
        <f t="shared" si="0"/>
        <v>830</v>
      </c>
      <c r="K2" s="213">
        <f t="shared" si="0"/>
        <v>7399.85</v>
      </c>
      <c r="L2" s="4">
        <f t="shared" si="0"/>
        <v>0.79055656533578378</v>
      </c>
      <c r="M2" s="5"/>
      <c r="N2" s="362"/>
      <c r="O2" s="362"/>
    </row>
    <row r="3" spans="1:15" ht="18.75" customHeight="1">
      <c r="A3" s="362"/>
      <c r="B3" s="6" t="s">
        <v>5</v>
      </c>
      <c r="C3" s="7">
        <v>2026</v>
      </c>
      <c r="D3" s="319"/>
      <c r="E3" s="319"/>
      <c r="F3" s="319"/>
      <c r="G3" s="362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2"/>
      <c r="O3" s="362"/>
    </row>
    <row r="4" spans="1:15" ht="21">
      <c r="A4" s="362"/>
      <c r="B4" s="13"/>
      <c r="C4" s="345"/>
      <c r="D4" s="344" t="s">
        <v>11</v>
      </c>
      <c r="E4" s="356">
        <f>(C7-C20)/C7</f>
        <v>0.84501499999999996</v>
      </c>
      <c r="F4" s="357"/>
      <c r="G4" s="564" t="s">
        <v>12</v>
      </c>
      <c r="H4" s="15" t="str">
        <f>'📈Det. Resultados'!B9</f>
        <v>PROLABORE</v>
      </c>
      <c r="I4" s="314">
        <f>SUMIFS('📋 Despesas'!$J$7:$J$17833,'📋 Despesas'!$F$7:$F$17833,H4,'📋 Despesas'!$C$7:$C$17833,$B$3,'📋 Despesas'!$D$7:$D$17833,$C$3)</f>
        <v>2670</v>
      </c>
      <c r="J4" s="209">
        <f>SUMIFS('📋 Despesas'!$K$7:$K$17833,'📋 Despesas'!$F$7:$F$17833,H4,'📋 Despesas'!$C$7:$C$17833,$B$3,'📋 Despesas'!$D$7:$D$17833,$C$3)</f>
        <v>0</v>
      </c>
      <c r="K4" s="16">
        <f>I4</f>
        <v>2670</v>
      </c>
      <c r="L4" s="17">
        <f>IFERROR((K4/$K$2),0)</f>
        <v>0.3608181246917167</v>
      </c>
      <c r="M4" s="5"/>
      <c r="N4" s="362"/>
      <c r="O4" s="362"/>
    </row>
    <row r="5" spans="1:15" ht="17.25">
      <c r="A5" s="362"/>
      <c r="B5" s="18" t="s">
        <v>13</v>
      </c>
      <c r="C5" s="353">
        <f>SUMIFS('💸  Receitas'!$I$5:$I$1127,'💸  Receitas'!$C$5:$C$1127,$C$3,'💸  Receitas'!$D$5:$D$1127,$B$3)</f>
        <v>10000</v>
      </c>
      <c r="D5" s="355" t="s">
        <v>14</v>
      </c>
      <c r="E5" s="319"/>
      <c r="F5" s="350"/>
      <c r="G5" s="565"/>
      <c r="H5" s="15" t="str">
        <f>'📈Det. Resultados'!B10</f>
        <v>INSS</v>
      </c>
      <c r="I5" s="314">
        <f>SUMIFS('📋 Despesas'!$J$7:$J$17833,'📋 Despesas'!$F$7:$F$17833,H5,'📋 Despesas'!$C$7:$C$17833,$B$3,'📋 Despesas'!$D$7:$D$17833,$C$3)</f>
        <v>330</v>
      </c>
      <c r="J5" s="209">
        <f>SUMIFS('📋 Despesas'!$K$7:$K$17833,'📋 Despesas'!$F$7:$F$17833,H5,'📋 Despesas'!$C$7:$C$17833,$B$3,'📋 Despesas'!$D$7:$D$17833,$C$3)</f>
        <v>0</v>
      </c>
      <c r="K5" s="16">
        <f t="shared" ref="K5:K21" si="1">I5</f>
        <v>330</v>
      </c>
      <c r="L5" s="17">
        <f t="shared" ref="L5:L22" si="2">IFERROR((K5/$K$2),0)</f>
        <v>4.459549855740319E-2</v>
      </c>
      <c r="M5" s="5"/>
      <c r="N5" s="362"/>
      <c r="O5" s="362"/>
    </row>
    <row r="6" spans="1:15" ht="21" customHeight="1">
      <c r="A6" s="362"/>
      <c r="B6" s="19" t="s">
        <v>211</v>
      </c>
      <c r="C6" s="342">
        <f>C7-C5</f>
        <v>0</v>
      </c>
      <c r="D6" s="351" t="s">
        <v>15</v>
      </c>
      <c r="E6" s="319"/>
      <c r="F6" s="350"/>
      <c r="G6" s="565"/>
      <c r="H6" s="15" t="str">
        <f>'📈Det. Resultados'!B11</f>
        <v>DL</v>
      </c>
      <c r="I6" s="314">
        <f>SUMIFS('📋 Despesas'!$J$7:$J$17833,'📋 Despesas'!$F$7:$F$17833,H6,'📋 Despesas'!$C$7:$C$17833,$B$3,'📋 Despesas'!$D$7:$D$17833,$C$3)</f>
        <v>1660</v>
      </c>
      <c r="J6" s="209">
        <f>SUMIFS('📋 Despesas'!$K$7:$K$17833,'📋 Despesas'!$F$7:$F$17833,H6,'📋 Despesas'!$C$7:$C$17833,$B$3,'📋 Despesas'!$D$7:$D$17833,$C$3)</f>
        <v>830</v>
      </c>
      <c r="K6" s="16">
        <f t="shared" si="1"/>
        <v>1660</v>
      </c>
      <c r="L6" s="17">
        <f>IFERROR((K6/$K$2),0)</f>
        <v>0.22432887153117967</v>
      </c>
      <c r="M6" s="5"/>
      <c r="N6" s="362"/>
      <c r="O6" s="362"/>
    </row>
    <row r="7" spans="1:15" ht="17.25">
      <c r="A7" s="362"/>
      <c r="B7" s="20" t="s">
        <v>16</v>
      </c>
      <c r="C7" s="349">
        <f>SUMIFS('💸  Receitas'!$J$7:$J$681,'💸  Receitas'!$C$7:$C$681,$C$3,'💸  Receitas'!$D$7:$D$681,$B$3)</f>
        <v>10000</v>
      </c>
      <c r="D7" s="352" t="s">
        <v>17</v>
      </c>
      <c r="E7" s="319"/>
      <c r="F7" s="350"/>
      <c r="G7" s="565"/>
      <c r="H7" s="15" t="str">
        <f>'📈Det. Resultados'!B12</f>
        <v>CONTABILIDADE</v>
      </c>
      <c r="I7" s="314">
        <f>SUMIFS('📋 Despesas'!$J$7:$J$17833,'📋 Despesas'!$F$7:$F$17833,H7,'📋 Despesas'!$C$7:$C$17833,$B$3,'📋 Despesas'!$D$7:$D$17833,$C$3)</f>
        <v>590</v>
      </c>
      <c r="J7" s="209">
        <f>SUMIFS('📋 Despesas'!$K$7:$K$17833,'📋 Despesas'!$F$7:$F$17833,H7,'📋 Despesas'!$C$7:$C$17833,$B$3,'📋 Despesas'!$D$7:$D$17833,$C$3)</f>
        <v>0</v>
      </c>
      <c r="K7" s="16">
        <f t="shared" si="1"/>
        <v>590</v>
      </c>
      <c r="L7" s="17">
        <f t="shared" si="2"/>
        <v>7.973134590566025E-2</v>
      </c>
      <c r="M7" s="5"/>
      <c r="N7" s="362"/>
      <c r="O7" s="362"/>
    </row>
    <row r="8" spans="1:15" ht="17.25">
      <c r="A8" s="362"/>
      <c r="B8" s="19" t="s">
        <v>18</v>
      </c>
      <c r="C8" s="342">
        <f>-K2</f>
        <v>-7399.85</v>
      </c>
      <c r="D8" s="346"/>
      <c r="E8" s="347"/>
      <c r="F8" s="348"/>
      <c r="G8" s="565"/>
      <c r="H8" s="15" t="str">
        <f>'📈Det. Resultados'!B13</f>
        <v>OUTROS</v>
      </c>
      <c r="I8" s="441">
        <f>SUMIFS('📋 Despesas'!$J$7:$J$17833,'📋 Despesas'!$F$7:$F$17833,H8,'📋 Despesas'!$C$7:$C$17833,$B$3,'📋 Despesas'!$D$7:$D$17833,$C$3)</f>
        <v>0</v>
      </c>
      <c r="J8" s="209">
        <f>SUMIFS('📋 Despesas'!$K$7:$K$17833,'📋 Despesas'!$F$7:$F$17833,H8,'📋 Despesas'!$C$7:$C$17833,$B$3,'📋 Despesas'!$D$7:$D$17833,$C$3)</f>
        <v>0</v>
      </c>
      <c r="K8" s="16">
        <f t="shared" si="1"/>
        <v>0</v>
      </c>
      <c r="L8" s="17">
        <f t="shared" si="2"/>
        <v>0</v>
      </c>
      <c r="M8" s="5"/>
      <c r="N8" s="362"/>
      <c r="O8" s="362"/>
    </row>
    <row r="9" spans="1:15" ht="17.25">
      <c r="A9" s="362"/>
      <c r="B9" s="21" t="s">
        <v>19</v>
      </c>
      <c r="C9" s="349">
        <f>C7+C8</f>
        <v>2600.1499999999996</v>
      </c>
      <c r="D9" s="574">
        <f>(C7*E4)-(C19+C21)</f>
        <v>2600.1499999999996</v>
      </c>
      <c r="E9" s="575"/>
      <c r="F9" s="576"/>
      <c r="G9" s="566"/>
      <c r="H9" s="15" t="str">
        <f>'📈Det. Resultados'!B14</f>
        <v>ADM</v>
      </c>
      <c r="I9" s="441">
        <f>SUMIFS('📋 Despesas'!$J$7:$J$17833,'📋 Despesas'!$F$7:$F$17833,H9,'📋 Despesas'!$C$7:$C$17833,$B$3,'📋 Despesas'!$D$7:$D$17833,$C$3)</f>
        <v>1549.85</v>
      </c>
      <c r="J9" s="209">
        <f>SUMIFS('📋 Despesas'!$K$7:$K$17833,'📋 Despesas'!$F$7:$F$17833,H9,'📋 Despesas'!$C$7:$C$17833,$B$3,'📋 Despesas'!$D$7:$D$17833,$C$3)</f>
        <v>0</v>
      </c>
      <c r="K9" s="16">
        <f t="shared" si="1"/>
        <v>1549.85</v>
      </c>
      <c r="L9" s="17"/>
      <c r="M9" s="5"/>
      <c r="N9" s="362"/>
      <c r="O9" s="362"/>
    </row>
    <row r="10" spans="1:15" ht="18.75">
      <c r="A10" s="362"/>
      <c r="B10" s="22" t="s">
        <v>20</v>
      </c>
      <c r="C10" s="354">
        <f>IFERROR((C9/C5),0)</f>
        <v>0.26001499999999994</v>
      </c>
      <c r="D10" s="358">
        <f>(C19+C21)/E4</f>
        <v>6922.9540304018274</v>
      </c>
      <c r="E10" s="572" t="s">
        <v>21</v>
      </c>
      <c r="F10" s="573"/>
      <c r="G10" s="341"/>
      <c r="H10" s="15">
        <f>'📈Det. Resultados'!B15</f>
        <v>0</v>
      </c>
      <c r="I10" s="314">
        <f>SUMIFS('📋 Despesas'!$J$7:$J$17833,'📋 Despesas'!$F$7:$F$17833,H10,'📋 Despesas'!$C$7:$C$17833,$B$3,'📋 Despesas'!$D$7:$D$17833,$C$3)</f>
        <v>0</v>
      </c>
      <c r="J10" s="209">
        <f>SUMIFS('📋 Despesas'!$K$7:$K$17833,'📋 Despesas'!$F$7:$F$17833,H10,'📋 Despesas'!$C$7:$C$17833,$B$3,'📋 Despesas'!$D$7:$D$17833,$C$3)</f>
        <v>0</v>
      </c>
      <c r="K10" s="16">
        <f t="shared" si="1"/>
        <v>0</v>
      </c>
      <c r="L10" s="208">
        <f t="shared" si="2"/>
        <v>0</v>
      </c>
      <c r="M10" s="5"/>
      <c r="N10" s="362"/>
      <c r="O10" s="362"/>
    </row>
    <row r="11" spans="1:15" ht="15.75">
      <c r="A11" s="362"/>
      <c r="B11" s="14"/>
      <c r="C11" s="14"/>
      <c r="D11" s="343"/>
      <c r="E11" s="341"/>
      <c r="F11" s="341"/>
      <c r="G11" s="362"/>
      <c r="H11" s="15">
        <f>'📈Det. Resultados'!B16</f>
        <v>0</v>
      </c>
      <c r="I11" s="314">
        <f>SUMIFS('📋 Despesas'!$J$7:$J$17833,'📋 Despesas'!$F$7:$F$17833,H11,'📋 Despesas'!$C$7:$C$17833,$B$3,'📋 Despesas'!$D$7:$D$17833,$C$3)</f>
        <v>0</v>
      </c>
      <c r="J11" s="209">
        <f>SUMIFS('📋 Despesas'!$K$7:$K$17833,'📋 Despesas'!$F$7:$F$17833,H11,'📋 Despesas'!$C$7:$C$17833,$B$3,'📋 Despesas'!$D$7:$D$17833,$C$3)</f>
        <v>0</v>
      </c>
      <c r="K11" s="16">
        <f t="shared" si="1"/>
        <v>0</v>
      </c>
      <c r="L11" s="208">
        <f t="shared" si="2"/>
        <v>0</v>
      </c>
      <c r="M11" s="5"/>
      <c r="N11" s="362"/>
      <c r="O11" s="23"/>
    </row>
    <row r="12" spans="1:15" ht="15.75">
      <c r="A12" s="362"/>
      <c r="B12" s="24" t="s">
        <v>22</v>
      </c>
      <c r="C12" s="230">
        <f>IFERROR((#REF!/C5),0)</f>
        <v>0</v>
      </c>
      <c r="D12" s="231">
        <f>SUM(K4:K9)</f>
        <v>6799.85</v>
      </c>
      <c r="E12" s="362"/>
      <c r="F12" s="567"/>
      <c r="G12" s="569" t="s">
        <v>23</v>
      </c>
      <c r="H12" s="15">
        <f>'📈Det. Resultados'!B17</f>
        <v>0</v>
      </c>
      <c r="I12" s="314">
        <f>SUMIFS('📋 Despesas'!$J$7:$J$17833,'📋 Despesas'!$F$7:$F$17833,H12,'📋 Despesas'!$C$7:$C$17833,$B$3,'📋 Despesas'!$D$7:$D$17833,$C$3)</f>
        <v>0</v>
      </c>
      <c r="J12" s="209">
        <f>SUMIFS('📋 Despesas'!$K$7:$K$17833,'📋 Despesas'!$F$7:$F$17833,H12,'📋 Despesas'!$C$7:$C$17833,$B$3,'📋 Despesas'!$D$7:$D$17833,$C$3)</f>
        <v>0</v>
      </c>
      <c r="K12" s="16">
        <f t="shared" si="1"/>
        <v>0</v>
      </c>
      <c r="L12" s="208">
        <f t="shared" si="2"/>
        <v>0</v>
      </c>
      <c r="M12" s="5"/>
      <c r="N12" s="362"/>
      <c r="O12" s="362"/>
    </row>
    <row r="13" spans="1:15" ht="15.75">
      <c r="A13" s="362"/>
      <c r="B13" s="14"/>
      <c r="C13" s="14"/>
      <c r="D13" s="14"/>
      <c r="E13" s="362"/>
      <c r="F13" s="568"/>
      <c r="G13" s="570"/>
      <c r="H13" s="15">
        <f>'📈Det. Resultados'!B18</f>
        <v>0</v>
      </c>
      <c r="I13" s="314">
        <f>SUMIFS('📋 Despesas'!$J$7:$J$17833,'📋 Despesas'!$F$7:$F$17833,H13,'📋 Despesas'!$C$7:$C$17833,$B$3,'📋 Despesas'!$D$7:$D$17833,$C$3)</f>
        <v>0</v>
      </c>
      <c r="J13" s="209">
        <f>SUMIFS('📋 Despesas'!$K$7:$K$17833,'📋 Despesas'!$F$7:$F$17833,H13,'📋 Despesas'!$C$7:$C$17833,$B$3,'📋 Despesas'!$D$7:$D$17833,$C$3)</f>
        <v>0</v>
      </c>
      <c r="K13" s="16">
        <f t="shared" si="1"/>
        <v>0</v>
      </c>
      <c r="L13" s="208">
        <f t="shared" si="2"/>
        <v>0</v>
      </c>
      <c r="M13" s="5"/>
      <c r="N13" s="362"/>
      <c r="O13" s="362"/>
    </row>
    <row r="14" spans="1:15" ht="15.75">
      <c r="A14" s="362"/>
      <c r="B14" s="25" t="s">
        <v>25</v>
      </c>
      <c r="C14" s="232">
        <f>IFERROR(SUM(K11:K21)/C7,0)</f>
        <v>0.06</v>
      </c>
      <c r="D14" s="233">
        <f>SUM(K11:K21)</f>
        <v>600</v>
      </c>
      <c r="E14" s="362"/>
      <c r="F14" s="568"/>
      <c r="G14" s="570"/>
      <c r="H14" s="15">
        <f>'📈Det. Resultados'!B19</f>
        <v>0</v>
      </c>
      <c r="I14" s="314">
        <f>SUMIFS('📋 Despesas'!$J$7:$J$17833,'📋 Despesas'!$F$7:$F$17833,H14,'📋 Despesas'!$C$7:$C$17833,$B$3,'📋 Despesas'!$D$7:$D$17833,$C$3)</f>
        <v>0</v>
      </c>
      <c r="J14" s="209">
        <f>SUMIFS('📋 Despesas'!$K$7:$K$17833,'📋 Despesas'!$F$7:$F$17833,H14,'📋 Despesas'!$C$7:$C$17833,$B$3,'📋 Despesas'!$D$7:$D$17833,$C$3)</f>
        <v>0</v>
      </c>
      <c r="K14" s="16">
        <f t="shared" si="1"/>
        <v>0</v>
      </c>
      <c r="L14" s="208">
        <f t="shared" si="2"/>
        <v>0</v>
      </c>
      <c r="M14" s="5"/>
      <c r="N14" s="362"/>
      <c r="O14" s="362"/>
    </row>
    <row r="15" spans="1:15" ht="15.75">
      <c r="A15" s="362"/>
      <c r="B15" s="14"/>
      <c r="C15" s="14"/>
      <c r="D15" s="14"/>
      <c r="E15" s="362"/>
      <c r="F15" s="568"/>
      <c r="G15" s="570"/>
      <c r="H15" s="15">
        <f>'📈Det. Resultados'!B20</f>
        <v>0</v>
      </c>
      <c r="I15" s="314">
        <f>SUMIFS('📋 Despesas'!$J$7:$J$17833,'📋 Despesas'!$F$7:$F$17833,H15,'📋 Despesas'!$C$7:$C$17833,$B$3,'📋 Despesas'!$D$7:$D$17833,$C$3)</f>
        <v>0</v>
      </c>
      <c r="J15" s="209">
        <f>SUMIFS('📋 Despesas'!$K$7:$K$17833,'📋 Despesas'!$F$7:$F$17833,H15,'📋 Despesas'!$C$7:$C$17833,$B$3,'📋 Despesas'!$D$7:$D$17833,$C$3)</f>
        <v>0</v>
      </c>
      <c r="K15" s="16">
        <f t="shared" si="1"/>
        <v>0</v>
      </c>
      <c r="L15" s="208">
        <f t="shared" si="2"/>
        <v>0</v>
      </c>
      <c r="M15" s="5"/>
      <c r="N15" s="362"/>
      <c r="O15" s="362"/>
    </row>
    <row r="16" spans="1:15" ht="15.75">
      <c r="A16" s="362"/>
      <c r="B16" s="26" t="s">
        <v>26</v>
      </c>
      <c r="C16" s="27">
        <f>IFERROR((K12/C5),0)</f>
        <v>0</v>
      </c>
      <c r="D16" s="28">
        <f>IFERROR((C5/(K12+K11)),)</f>
        <v>0</v>
      </c>
      <c r="E16" s="362"/>
      <c r="F16" s="568"/>
      <c r="G16" s="570"/>
      <c r="H16" s="15">
        <f>'📈Det. Resultados'!B21</f>
        <v>0</v>
      </c>
      <c r="I16" s="314">
        <f>SUMIFS('📋 Despesas'!$J$7:$J$17833,'📋 Despesas'!$F$7:$F$17833,H16,'📋 Despesas'!$C$7:$C$17833,$B$3,'📋 Despesas'!$D$7:$D$17833,$C$3)</f>
        <v>0</v>
      </c>
      <c r="J16" s="209">
        <f>SUMIFS('📋 Despesas'!$K$7:$K$17833,'📋 Despesas'!$F$7:$F$17833,H16,'📋 Despesas'!$C$7:$C$17833,$B$3,'📋 Despesas'!$D$7:$D$17833,$C$3)</f>
        <v>0</v>
      </c>
      <c r="K16" s="16">
        <f t="shared" si="1"/>
        <v>0</v>
      </c>
      <c r="L16" s="208">
        <f t="shared" si="2"/>
        <v>0</v>
      </c>
      <c r="M16" s="340"/>
      <c r="N16" s="341"/>
      <c r="O16" s="362"/>
    </row>
    <row r="17" spans="1:15" ht="15.75">
      <c r="A17" s="362"/>
      <c r="B17" s="29" t="s">
        <v>27</v>
      </c>
      <c r="C17" s="339">
        <f>IFERROR((D17/C5),0)</f>
        <v>0</v>
      </c>
      <c r="D17" s="234">
        <f>K16</f>
        <v>0</v>
      </c>
      <c r="E17" s="362"/>
      <c r="F17" s="568"/>
      <c r="G17" s="570"/>
      <c r="H17" s="15" t="str">
        <f>'📈Det. Resultados'!B22</f>
        <v>DAS</v>
      </c>
      <c r="I17" s="314">
        <f>SUMIFS('📋 Despesas'!$J$7:$J$17833,'📋 Despesas'!$F$7:$F$17833,H17,'📋 Despesas'!$C$7:$C$17833,$B$3,'📋 Despesas'!$D$7:$D$17833,$C$3)</f>
        <v>600</v>
      </c>
      <c r="J17" s="209">
        <f>SUMIFS('📋 Despesas'!$K$7:$K$17833,'📋 Despesas'!$F$7:$F$17833,H17,'📋 Despesas'!$C$7:$C$17833,$B$3,'📋 Despesas'!$D$7:$D$17833,$C$3)</f>
        <v>0</v>
      </c>
      <c r="K17" s="16">
        <f t="shared" si="1"/>
        <v>600</v>
      </c>
      <c r="L17" s="208">
        <f t="shared" si="2"/>
        <v>8.1082724649823981E-2</v>
      </c>
      <c r="M17" s="340"/>
      <c r="N17" s="341"/>
      <c r="O17" s="362"/>
    </row>
    <row r="18" spans="1:15" ht="15.75">
      <c r="A18" s="362"/>
      <c r="B18" s="14"/>
      <c r="C18" s="14"/>
      <c r="D18" s="14"/>
      <c r="E18" s="362"/>
      <c r="F18" s="568"/>
      <c r="G18" s="570"/>
      <c r="H18" s="15" t="str">
        <f>'📈Det. Resultados'!B23</f>
        <v>TAXAS</v>
      </c>
      <c r="I18" s="314">
        <f>SUMIFS('📋 Despesas'!$J$7:$J$17833,'📋 Despesas'!$F$7:$F$17833,H18,'📋 Despesas'!$C$7:$C$17833,$B$3,'📋 Despesas'!$D$7:$D$17833,$C$3)</f>
        <v>0</v>
      </c>
      <c r="J18" s="209">
        <f>SUMIFS('📋 Despesas'!$K$7:$K$17833,'📋 Despesas'!$F$7:$F$17833,H18,'📋 Despesas'!$C$7:$C$17833,$B$3,'📋 Despesas'!$D$7:$D$17833,$C$3)</f>
        <v>0</v>
      </c>
      <c r="K18" s="16">
        <f t="shared" si="1"/>
        <v>0</v>
      </c>
      <c r="L18" s="208">
        <f t="shared" si="2"/>
        <v>0</v>
      </c>
      <c r="M18" s="340"/>
      <c r="N18" s="341"/>
      <c r="O18" s="362"/>
    </row>
    <row r="19" spans="1:15" ht="15.75">
      <c r="A19" s="362"/>
      <c r="B19" s="193" t="s">
        <v>29</v>
      </c>
      <c r="C19" s="215">
        <f>SUMIFS('📋 Despesas'!$J$7:$J$18174,'📋 Despesas'!$H$7:$H$18174,B19,'📋 Despesas'!$C$7:$C$18174,$B$3,'📋 Despesas'!$D$7:$D$18174,$C$3)</f>
        <v>4190</v>
      </c>
      <c r="D19" s="30">
        <f t="shared" ref="D19:D21" si="3">C19/$C$22</f>
        <v>0.56622769380460414</v>
      </c>
      <c r="E19" s="362"/>
      <c r="F19" s="568"/>
      <c r="G19" s="570"/>
      <c r="H19" s="15">
        <f>'📈Det. Resultados'!B24</f>
        <v>0</v>
      </c>
      <c r="I19" s="314">
        <f>SUMIFS('📋 Despesas'!$J$7:$J$17833,'📋 Despesas'!$F$7:$F$17833,H19,'📋 Despesas'!$C$7:$C$17833,$B$3,'📋 Despesas'!$D$7:$D$17833,$C$3)</f>
        <v>0</v>
      </c>
      <c r="J19" s="209">
        <f>SUMIFS('📋 Despesas'!$K$7:$K$17833,'📋 Despesas'!$F$7:$F$17833,H19,'📋 Despesas'!$C$7:$C$17833,$B$3,'📋 Despesas'!$D$7:$D$17833,$C$3)</f>
        <v>0</v>
      </c>
      <c r="K19" s="16">
        <f t="shared" si="1"/>
        <v>0</v>
      </c>
      <c r="L19" s="208">
        <f t="shared" si="2"/>
        <v>0</v>
      </c>
      <c r="M19" s="340"/>
      <c r="N19" s="341"/>
      <c r="O19" s="362"/>
    </row>
    <row r="20" spans="1:15" ht="15.75">
      <c r="A20" s="362"/>
      <c r="B20" s="193" t="s">
        <v>30</v>
      </c>
      <c r="C20" s="215">
        <f>SUMIFS('📋 Despesas'!$J$7:$J$18174,'📋 Despesas'!$H$7:$H$18174,B20,'📋 Despesas'!$C$7:$C$18174,$B$3,'📋 Despesas'!$D$7:$D$18174,$C$3)</f>
        <v>1549.85</v>
      </c>
      <c r="D20" s="31">
        <f t="shared" si="3"/>
        <v>0.20944343466421614</v>
      </c>
      <c r="E20" s="362"/>
      <c r="F20" s="568"/>
      <c r="G20" s="570"/>
      <c r="H20" s="15">
        <f>'📈Det. Resultados'!B25</f>
        <v>0</v>
      </c>
      <c r="I20" s="314">
        <f>SUMIFS('📋 Despesas'!$J$7:$J$17833,'📋 Despesas'!$F$7:$F$17833,H20,'📋 Despesas'!$C$7:$C$17833,$B$3,'📋 Despesas'!$D$7:$D$17833,$C$3)</f>
        <v>0</v>
      </c>
      <c r="J20" s="209">
        <f>SUMIFS('📋 Despesas'!$K$7:$K$17833,'📋 Despesas'!$F$7:$F$17833,H20,'📋 Despesas'!$C$7:$C$17833,$B$3,'📋 Despesas'!$D$7:$D$17833,$C$3)</f>
        <v>0</v>
      </c>
      <c r="K20" s="16">
        <f t="shared" si="1"/>
        <v>0</v>
      </c>
      <c r="L20" s="208">
        <f t="shared" si="2"/>
        <v>0</v>
      </c>
      <c r="M20" s="340"/>
      <c r="N20" s="341"/>
      <c r="O20" s="362"/>
    </row>
    <row r="21" spans="1:15" ht="15.75" customHeight="1">
      <c r="A21" s="362"/>
      <c r="B21" s="193" t="s">
        <v>32</v>
      </c>
      <c r="C21" s="215">
        <f>SUMIFS('📋 Despesas'!$J$7:$J$18174,'📋 Despesas'!$H$7:$H$18174,B21,'📋 Despesas'!$C$7:$C$18174,$B$3,'📋 Despesas'!$D$7:$D$18174,$C$3)</f>
        <v>1660</v>
      </c>
      <c r="D21" s="31">
        <f t="shared" si="3"/>
        <v>0.22432887153117967</v>
      </c>
      <c r="E21" s="362"/>
      <c r="F21" s="568"/>
      <c r="G21" s="570"/>
      <c r="H21" s="15">
        <f>'📈Det. Resultados'!B26</f>
        <v>0</v>
      </c>
      <c r="I21" s="314">
        <f>SUMIFS('📋 Despesas'!$J$7:$J$17833,'📋 Despesas'!$F$7:$F$17833,H21,'📋 Despesas'!$C$7:$C$17833,$B$3,'📋 Despesas'!$D$7:$D$17833,$C$3)</f>
        <v>0</v>
      </c>
      <c r="J21" s="209">
        <f>SUMIFS('📋 Despesas'!$K$7:$K$17833,'📋 Despesas'!$F$7:$F$17833,H21,'📋 Despesas'!$C$7:$C$17833,$B$3,'📋 Despesas'!$D$7:$D$17833,$C$3)</f>
        <v>0</v>
      </c>
      <c r="K21" s="16">
        <f t="shared" si="1"/>
        <v>0</v>
      </c>
      <c r="L21" s="208">
        <f t="shared" si="2"/>
        <v>0</v>
      </c>
      <c r="M21" s="340"/>
      <c r="N21" s="341"/>
      <c r="O21" s="362"/>
    </row>
    <row r="22" spans="1:15" ht="15.75" customHeight="1">
      <c r="A22" s="362"/>
      <c r="B22" s="414" t="s">
        <v>4</v>
      </c>
      <c r="C22" s="415">
        <f>SUM(C19:C21)</f>
        <v>7399.85</v>
      </c>
      <c r="D22" s="416">
        <f t="shared" ref="D22" si="4">SUM(D19:D21)</f>
        <v>0.99999999999999989</v>
      </c>
      <c r="E22" s="32"/>
      <c r="F22" s="568"/>
      <c r="G22" s="571"/>
      <c r="H22" s="15">
        <f>'📈Det. Resultados'!B27</f>
        <v>0</v>
      </c>
      <c r="I22" s="314">
        <f>SUMIFS('📋 Despesas'!$J$7:$J$17833,'📋 Despesas'!$F$7:$F$17833,H22,'📋 Despesas'!$C$7:$C$17833,$B$3,'📋 Despesas'!$D$7:$D$17833,$C$3)</f>
        <v>0</v>
      </c>
      <c r="J22" s="209">
        <f>SUMIFS('📋 Despesas'!$K$7:$K$17833,'📋 Despesas'!$F$7:$F$17833,H22,'📋 Despesas'!$C$7:$C$17833,$B$3,'📋 Despesas'!$D$7:$D$17833,$C$3)</f>
        <v>0</v>
      </c>
      <c r="K22" s="207">
        <f t="shared" ref="K22" si="5">I22</f>
        <v>0</v>
      </c>
      <c r="L22" s="208">
        <f t="shared" si="2"/>
        <v>0</v>
      </c>
      <c r="M22" s="340"/>
      <c r="N22" s="341"/>
      <c r="O22" s="362" t="s">
        <v>34</v>
      </c>
    </row>
    <row r="23" spans="1:15" ht="15.75" customHeight="1">
      <c r="A23" s="362"/>
      <c r="B23" s="411" t="s">
        <v>196</v>
      </c>
      <c r="C23" s="412">
        <f>C19+C21</f>
        <v>5850</v>
      </c>
      <c r="D23" s="413">
        <f>C23/C7</f>
        <v>0.58499999999999996</v>
      </c>
      <c r="E23" s="32"/>
      <c r="G23" s="406"/>
      <c r="H23" s="407"/>
      <c r="I23" s="408"/>
      <c r="J23" s="315"/>
      <c r="K23" s="409"/>
      <c r="L23" s="410"/>
      <c r="M23" s="340"/>
      <c r="N23" s="341"/>
      <c r="O23" s="362"/>
    </row>
    <row r="24" spans="1:15" ht="15.75" customHeight="1">
      <c r="A24" s="362"/>
      <c r="B24" s="362"/>
      <c r="C24" s="362"/>
      <c r="D24" s="362"/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</row>
    <row r="25" spans="1:15" ht="15.75" customHeight="1">
      <c r="A25" s="362"/>
      <c r="B25" s="362"/>
      <c r="C25" s="362"/>
      <c r="D25" s="362"/>
      <c r="E25" s="362"/>
      <c r="F25" s="362"/>
      <c r="G25" s="362"/>
      <c r="H25" s="362"/>
      <c r="I25" s="362"/>
      <c r="J25" s="362"/>
      <c r="K25" s="362"/>
      <c r="L25" s="362"/>
      <c r="M25" s="362"/>
      <c r="N25" s="362"/>
      <c r="O25" s="362"/>
    </row>
    <row r="26" spans="1:15" ht="15.75" customHeight="1">
      <c r="A26" s="362"/>
      <c r="B26" s="362"/>
      <c r="C26" s="362"/>
      <c r="D26" s="362"/>
      <c r="E26" s="362"/>
      <c r="F26" s="362">
        <v>1</v>
      </c>
      <c r="G26" s="362"/>
      <c r="H26" s="362"/>
      <c r="I26" s="362"/>
      <c r="J26" s="362"/>
      <c r="K26" s="362"/>
      <c r="L26" s="362"/>
      <c r="M26" s="362"/>
      <c r="N26" s="362"/>
      <c r="O26" s="362"/>
    </row>
    <row r="27" spans="1:15" ht="15.75" customHeight="1">
      <c r="A27" s="362"/>
      <c r="B27" s="362"/>
      <c r="C27" s="362"/>
      <c r="D27" s="362"/>
      <c r="E27" s="362"/>
      <c r="F27" s="362"/>
      <c r="G27" s="362"/>
      <c r="H27" s="362"/>
      <c r="I27" s="362"/>
      <c r="J27" s="362"/>
      <c r="K27" s="362"/>
      <c r="L27" s="362"/>
      <c r="M27" s="362"/>
      <c r="N27" s="362"/>
      <c r="O27" s="362"/>
    </row>
    <row r="28" spans="1:15" ht="15.75" customHeight="1">
      <c r="A28" s="362"/>
      <c r="B28" s="362"/>
      <c r="C28" s="362"/>
      <c r="D28" s="362"/>
      <c r="E28" s="362"/>
      <c r="F28" s="362"/>
      <c r="G28" s="362"/>
      <c r="H28" s="362"/>
      <c r="I28" s="362"/>
      <c r="J28" s="362"/>
      <c r="K28" s="362"/>
      <c r="L28" s="362"/>
      <c r="M28" s="362"/>
      <c r="N28" s="362"/>
      <c r="O28" s="362"/>
    </row>
    <row r="29" spans="1:15" ht="15.75" customHeight="1">
      <c r="A29" s="362"/>
      <c r="B29" s="362"/>
      <c r="C29" s="362"/>
      <c r="D29" s="362"/>
      <c r="E29" s="362"/>
      <c r="F29" s="362"/>
      <c r="G29" s="362"/>
      <c r="H29" s="362"/>
      <c r="I29" s="362"/>
      <c r="J29" s="362"/>
      <c r="K29" s="362"/>
      <c r="L29" s="362"/>
      <c r="M29" s="362"/>
      <c r="N29" s="362"/>
      <c r="O29" s="362"/>
    </row>
    <row r="30" spans="1:15" ht="15.75" customHeight="1">
      <c r="A30" s="362"/>
      <c r="B30" s="362"/>
      <c r="C30" s="362"/>
      <c r="D30" s="362"/>
      <c r="E30" s="362"/>
      <c r="F30" s="362"/>
      <c r="G30" s="362"/>
      <c r="H30" s="362"/>
      <c r="I30" s="362"/>
      <c r="J30" s="362"/>
      <c r="K30" s="362"/>
      <c r="L30" s="362"/>
      <c r="M30" s="362"/>
      <c r="N30" s="362"/>
      <c r="O30" s="362"/>
    </row>
    <row r="31" spans="1:15" ht="15.75" customHeight="1">
      <c r="A31" s="362"/>
      <c r="B31" s="362"/>
      <c r="C31" s="362"/>
      <c r="D31" s="362"/>
      <c r="E31" s="362"/>
      <c r="F31" s="362"/>
      <c r="G31" s="362"/>
      <c r="H31" s="362"/>
      <c r="I31" s="362"/>
      <c r="J31" s="362"/>
      <c r="K31" s="362"/>
      <c r="L31" s="362"/>
      <c r="M31" s="362"/>
      <c r="N31" s="362"/>
      <c r="O31" s="362"/>
    </row>
    <row r="32" spans="1:15" ht="15.75" customHeight="1">
      <c r="A32" s="362"/>
      <c r="B32" s="362"/>
      <c r="C32" s="362"/>
      <c r="D32" s="362"/>
      <c r="E32" s="362"/>
      <c r="F32" s="362"/>
      <c r="G32" s="362"/>
      <c r="H32" s="362"/>
      <c r="I32" s="362"/>
      <c r="J32" s="362"/>
      <c r="K32" s="362"/>
      <c r="L32" s="362"/>
      <c r="M32" s="362"/>
      <c r="N32" s="362"/>
      <c r="O32" s="362"/>
    </row>
    <row r="33" spans="1:15" ht="15.75" customHeight="1">
      <c r="A33" s="362"/>
      <c r="B33" s="362"/>
      <c r="C33" s="362"/>
      <c r="D33" s="362"/>
      <c r="E33" s="362"/>
      <c r="F33" s="362"/>
      <c r="G33" s="362"/>
      <c r="H33" s="362"/>
      <c r="I33" s="362"/>
      <c r="J33" s="362"/>
      <c r="K33" s="362"/>
      <c r="L33" s="362"/>
      <c r="M33" s="362"/>
      <c r="N33" s="362"/>
      <c r="O33" s="362"/>
    </row>
    <row r="34" spans="1:15" ht="15.75" customHeight="1">
      <c r="A34" s="362"/>
      <c r="B34" s="362"/>
      <c r="C34" s="362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2"/>
      <c r="O34" s="362"/>
    </row>
    <row r="35" spans="1:15" ht="15.75" customHeight="1">
      <c r="A35" s="362"/>
      <c r="B35" s="362"/>
      <c r="C35" s="362"/>
      <c r="D35" s="362"/>
      <c r="E35" s="362"/>
      <c r="F35" s="362"/>
      <c r="G35" s="362"/>
      <c r="H35" s="362"/>
      <c r="I35" s="362"/>
      <c r="J35" s="362"/>
      <c r="K35" s="362"/>
      <c r="L35" s="362"/>
      <c r="M35" s="362"/>
      <c r="N35" s="362"/>
      <c r="O35" s="362"/>
    </row>
    <row r="36" spans="1:15" ht="15.75" customHeight="1">
      <c r="A36" s="362"/>
      <c r="B36" s="362"/>
      <c r="C36" s="362"/>
      <c r="D36" s="362"/>
      <c r="E36" s="362"/>
      <c r="F36" s="362"/>
      <c r="G36" s="362"/>
      <c r="H36" s="362"/>
      <c r="I36" s="362"/>
      <c r="J36" s="362"/>
      <c r="K36" s="362"/>
      <c r="L36" s="362"/>
      <c r="M36" s="362"/>
      <c r="N36" s="362"/>
      <c r="O36" s="362"/>
    </row>
    <row r="37" spans="1:15" ht="15.75" customHeight="1">
      <c r="A37" s="362"/>
      <c r="B37" s="362"/>
      <c r="C37" s="362"/>
      <c r="D37" s="362"/>
      <c r="E37" s="362"/>
      <c r="F37" s="362"/>
      <c r="G37" s="362"/>
      <c r="H37" s="362"/>
      <c r="I37" s="362"/>
      <c r="J37" s="362"/>
      <c r="K37" s="362"/>
      <c r="L37" s="362"/>
      <c r="M37" s="362"/>
      <c r="N37" s="362"/>
      <c r="O37" s="362"/>
    </row>
    <row r="38" spans="1:15" ht="15.75" customHeight="1">
      <c r="A38" s="362"/>
      <c r="B38" s="362"/>
      <c r="C38" s="362"/>
      <c r="D38" s="362"/>
      <c r="E38" s="362"/>
      <c r="F38" s="362"/>
      <c r="G38" s="362"/>
      <c r="H38" s="362"/>
      <c r="I38" s="362"/>
      <c r="J38" s="362"/>
      <c r="K38" s="362"/>
      <c r="L38" s="362"/>
      <c r="M38" s="362"/>
      <c r="N38" s="362"/>
      <c r="O38" s="362"/>
    </row>
    <row r="39" spans="1:15" ht="15.75" customHeight="1">
      <c r="A39" s="362"/>
      <c r="B39" s="362"/>
      <c r="C39" s="362"/>
      <c r="D39" s="362"/>
      <c r="E39" s="362"/>
      <c r="F39" s="362"/>
      <c r="G39" s="362"/>
      <c r="H39" s="362"/>
      <c r="I39" s="362"/>
      <c r="J39" s="362"/>
      <c r="K39" s="362"/>
      <c r="L39" s="362"/>
      <c r="M39" s="362"/>
      <c r="N39" s="362"/>
      <c r="O39" s="362"/>
    </row>
    <row r="40" spans="1:15" ht="15.75" customHeight="1">
      <c r="A40" s="362"/>
      <c r="B40" s="362"/>
      <c r="C40" s="362"/>
      <c r="D40" s="362"/>
      <c r="E40" s="362"/>
      <c r="F40" s="362"/>
      <c r="G40" s="362"/>
      <c r="H40" s="362"/>
      <c r="I40" s="362"/>
      <c r="J40" s="362"/>
      <c r="K40" s="362"/>
      <c r="L40" s="362"/>
      <c r="M40" s="362"/>
      <c r="N40" s="362"/>
      <c r="O40" s="362"/>
    </row>
    <row r="41" spans="1:15" ht="15.75" customHeight="1">
      <c r="A41" s="362"/>
      <c r="B41" s="362"/>
      <c r="C41" s="362"/>
      <c r="D41" s="362"/>
      <c r="E41" s="362"/>
      <c r="F41" s="362"/>
      <c r="G41" s="362"/>
      <c r="H41" s="362"/>
      <c r="I41" s="362"/>
      <c r="J41" s="362"/>
      <c r="K41" s="362"/>
      <c r="L41" s="362"/>
      <c r="M41" s="362"/>
      <c r="N41" s="362"/>
      <c r="O41" s="362"/>
    </row>
    <row r="42" spans="1:15" ht="15.75" customHeight="1">
      <c r="A42" s="362"/>
      <c r="B42" s="362"/>
      <c r="C42" s="362"/>
      <c r="D42" s="362"/>
      <c r="E42" s="362"/>
      <c r="F42" s="362"/>
      <c r="G42" s="362"/>
      <c r="H42" s="362"/>
      <c r="I42" s="362"/>
      <c r="J42" s="362"/>
      <c r="K42" s="362"/>
      <c r="L42" s="362"/>
      <c r="M42" s="362"/>
      <c r="N42" s="362"/>
      <c r="O42" s="362"/>
    </row>
    <row r="43" spans="1:15" ht="15.75" customHeight="1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  <c r="L43" s="362"/>
      <c r="M43" s="362"/>
      <c r="N43" s="362"/>
      <c r="O43" s="362"/>
    </row>
    <row r="44" spans="1:15" ht="15.75" customHeight="1">
      <c r="A44" s="362"/>
      <c r="B44" s="362"/>
      <c r="C44" s="362"/>
      <c r="D44" s="362"/>
      <c r="E44" s="362"/>
      <c r="F44" s="362"/>
      <c r="G44" s="362"/>
      <c r="H44" s="362"/>
      <c r="I44" s="362"/>
      <c r="J44" s="362"/>
      <c r="K44" s="362"/>
      <c r="L44" s="362"/>
      <c r="M44" s="362"/>
      <c r="N44" s="362"/>
      <c r="O44" s="362"/>
    </row>
    <row r="45" spans="1:15" ht="15.75" customHeight="1">
      <c r="A45" s="362"/>
      <c r="B45" s="362"/>
      <c r="C45" s="362"/>
      <c r="D45" s="362"/>
      <c r="E45" s="362"/>
      <c r="F45" s="362"/>
      <c r="G45" s="362"/>
      <c r="H45" s="362"/>
      <c r="I45" s="362"/>
      <c r="J45" s="362"/>
      <c r="K45" s="362"/>
      <c r="L45" s="362"/>
      <c r="M45" s="362"/>
      <c r="N45" s="362"/>
      <c r="O45" s="362"/>
    </row>
    <row r="46" spans="1:15" ht="15.75" customHeight="1">
      <c r="A46" s="362"/>
      <c r="B46" s="362"/>
      <c r="C46" s="362"/>
      <c r="D46" s="362"/>
      <c r="E46" s="362"/>
      <c r="F46" s="362"/>
      <c r="G46" s="362"/>
      <c r="H46" s="362"/>
      <c r="I46" s="362"/>
      <c r="J46" s="362"/>
      <c r="K46" s="362"/>
      <c r="L46" s="362"/>
      <c r="M46" s="362"/>
      <c r="N46" s="362"/>
      <c r="O46" s="362"/>
    </row>
    <row r="47" spans="1:15" ht="15.75" customHeight="1">
      <c r="A47" s="362"/>
      <c r="B47" s="362"/>
      <c r="C47" s="362"/>
      <c r="D47" s="362"/>
      <c r="E47" s="362"/>
      <c r="F47" s="362"/>
      <c r="G47" s="362"/>
      <c r="H47" s="362"/>
      <c r="I47" s="362"/>
      <c r="J47" s="362"/>
      <c r="K47" s="362"/>
      <c r="L47" s="362"/>
      <c r="M47" s="362"/>
      <c r="N47" s="362"/>
      <c r="O47" s="362"/>
    </row>
    <row r="48" spans="1:15" ht="15.75" customHeight="1">
      <c r="A48" s="362"/>
      <c r="B48" s="362"/>
      <c r="C48" s="362"/>
      <c r="D48" s="362"/>
      <c r="E48" s="362"/>
      <c r="F48" s="362"/>
      <c r="G48" s="362"/>
      <c r="H48" s="362"/>
      <c r="I48" s="362"/>
      <c r="J48" s="362"/>
      <c r="K48" s="362"/>
      <c r="L48" s="362"/>
      <c r="M48" s="362"/>
      <c r="N48" s="362"/>
      <c r="O48" s="362"/>
    </row>
    <row r="49" spans="1:15" ht="15.75" customHeight="1">
      <c r="A49" s="362"/>
      <c r="B49" s="362"/>
      <c r="C49" s="362"/>
      <c r="D49" s="362"/>
      <c r="E49" s="362"/>
      <c r="F49" s="362"/>
      <c r="G49" s="362"/>
      <c r="H49" s="362"/>
      <c r="I49" s="362"/>
      <c r="J49" s="362"/>
      <c r="K49" s="362"/>
      <c r="L49" s="362"/>
      <c r="M49" s="362"/>
      <c r="N49" s="362"/>
      <c r="O49" s="362"/>
    </row>
    <row r="50" spans="1:15" ht="15.75" customHeight="1">
      <c r="A50" s="362"/>
      <c r="B50" s="362"/>
      <c r="C50" s="362"/>
      <c r="D50" s="362"/>
      <c r="E50" s="362"/>
      <c r="F50" s="362"/>
      <c r="G50" s="362"/>
      <c r="H50" s="362"/>
      <c r="I50" s="362"/>
      <c r="J50" s="362"/>
      <c r="K50" s="362"/>
      <c r="L50" s="362"/>
      <c r="M50" s="362"/>
      <c r="N50" s="362"/>
      <c r="O50" s="362"/>
    </row>
    <row r="51" spans="1:15" ht="15.75" customHeight="1">
      <c r="A51" s="362"/>
      <c r="B51" s="362"/>
      <c r="C51" s="362"/>
      <c r="D51" s="362"/>
      <c r="E51" s="362"/>
      <c r="F51" s="362"/>
      <c r="G51" s="362"/>
      <c r="H51" s="362"/>
      <c r="I51" s="362"/>
      <c r="J51" s="362"/>
      <c r="K51" s="362"/>
      <c r="L51" s="362"/>
      <c r="M51" s="362"/>
      <c r="N51" s="362"/>
      <c r="O51" s="362"/>
    </row>
    <row r="52" spans="1:15" ht="15.75" customHeight="1">
      <c r="A52" s="362"/>
      <c r="B52" s="362"/>
      <c r="C52" s="362"/>
      <c r="D52" s="362"/>
      <c r="E52" s="362"/>
      <c r="F52" s="362"/>
      <c r="G52" s="362"/>
      <c r="H52" s="362"/>
      <c r="I52" s="362"/>
      <c r="J52" s="362"/>
      <c r="K52" s="362"/>
      <c r="L52" s="362"/>
      <c r="M52" s="362"/>
      <c r="N52" s="362"/>
      <c r="O52" s="362"/>
    </row>
    <row r="53" spans="1:15" ht="15.75" customHeight="1">
      <c r="A53" s="362"/>
      <c r="B53" s="362"/>
      <c r="C53" s="362"/>
      <c r="D53" s="362"/>
      <c r="E53" s="362"/>
      <c r="F53" s="362"/>
      <c r="G53" s="362"/>
      <c r="H53" s="362"/>
      <c r="I53" s="362"/>
      <c r="J53" s="362"/>
      <c r="K53" s="362"/>
      <c r="L53" s="362"/>
      <c r="M53" s="362"/>
      <c r="N53" s="362"/>
      <c r="O53" s="362"/>
    </row>
    <row r="54" spans="1:15" ht="15.75" customHeight="1">
      <c r="A54" s="362"/>
      <c r="B54" s="362"/>
      <c r="C54" s="362"/>
      <c r="D54" s="362"/>
      <c r="E54" s="362"/>
      <c r="F54" s="362"/>
      <c r="G54" s="362"/>
      <c r="H54" s="362"/>
      <c r="I54" s="362"/>
      <c r="J54" s="362"/>
      <c r="K54" s="362"/>
      <c r="L54" s="362"/>
      <c r="M54" s="362"/>
      <c r="N54" s="362"/>
      <c r="O54" s="362"/>
    </row>
    <row r="55" spans="1:15" ht="15.75" customHeight="1">
      <c r="A55" s="362"/>
      <c r="B55" s="362"/>
      <c r="C55" s="362"/>
      <c r="D55" s="362"/>
      <c r="E55" s="362"/>
      <c r="F55" s="362"/>
      <c r="G55" s="362"/>
      <c r="H55" s="362"/>
      <c r="I55" s="362"/>
      <c r="J55" s="362"/>
      <c r="K55" s="362"/>
      <c r="L55" s="362"/>
      <c r="M55" s="362"/>
      <c r="N55" s="362"/>
      <c r="O55" s="362"/>
    </row>
    <row r="56" spans="1:15" ht="15.75" customHeight="1">
      <c r="A56" s="362"/>
      <c r="B56" s="362"/>
      <c r="C56" s="362"/>
      <c r="D56" s="362"/>
      <c r="E56" s="362"/>
      <c r="F56" s="362"/>
      <c r="G56" s="362"/>
      <c r="H56" s="362"/>
      <c r="I56" s="362"/>
      <c r="J56" s="362"/>
      <c r="K56" s="362"/>
      <c r="L56" s="362"/>
      <c r="M56" s="362"/>
      <c r="N56" s="362"/>
      <c r="O56" s="362"/>
    </row>
    <row r="57" spans="1:15" ht="15.75" customHeight="1">
      <c r="A57" s="362"/>
      <c r="B57" s="362"/>
      <c r="C57" s="362"/>
      <c r="D57" s="362"/>
      <c r="E57" s="362"/>
      <c r="F57" s="362"/>
      <c r="G57" s="362"/>
      <c r="H57" s="362"/>
      <c r="I57" s="362"/>
      <c r="J57" s="362"/>
      <c r="K57" s="362"/>
      <c r="L57" s="362"/>
      <c r="M57" s="362"/>
      <c r="N57" s="362"/>
      <c r="O57" s="362"/>
    </row>
    <row r="58" spans="1:15" ht="15.75" customHeight="1">
      <c r="A58" s="362"/>
      <c r="B58" s="362"/>
      <c r="C58" s="362"/>
      <c r="D58" s="362"/>
      <c r="E58" s="362"/>
      <c r="F58" s="362"/>
      <c r="G58" s="362"/>
      <c r="H58" s="362"/>
      <c r="I58" s="362"/>
      <c r="J58" s="362"/>
      <c r="K58" s="362"/>
      <c r="L58" s="362"/>
      <c r="M58" s="362"/>
      <c r="N58" s="362"/>
      <c r="O58" s="362"/>
    </row>
    <row r="59" spans="1:15" ht="15.75" customHeight="1">
      <c r="A59" s="362"/>
      <c r="B59" s="362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</row>
    <row r="60" spans="1:15" ht="15.75" customHeight="1">
      <c r="A60" s="362"/>
      <c r="B60" s="362"/>
      <c r="C60" s="362"/>
      <c r="D60" s="362"/>
      <c r="E60" s="362"/>
      <c r="F60" s="362"/>
      <c r="G60" s="362"/>
      <c r="H60" s="362"/>
      <c r="I60" s="362"/>
      <c r="J60" s="362"/>
      <c r="K60" s="362"/>
      <c r="L60" s="362"/>
      <c r="M60" s="362"/>
      <c r="N60" s="362"/>
      <c r="O60" s="362"/>
    </row>
    <row r="61" spans="1:15" ht="15.75" customHeight="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</row>
    <row r="62" spans="1:15" ht="15.75" customHeight="1">
      <c r="A62" s="362"/>
      <c r="B62" s="362"/>
      <c r="C62" s="362"/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</row>
    <row r="63" spans="1:15" ht="15.75" customHeight="1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</row>
    <row r="64" spans="1:15" ht="15.75" customHeight="1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</row>
    <row r="65" spans="1:15" ht="15.75" customHeight="1">
      <c r="A65" s="362"/>
      <c r="B65" s="362"/>
      <c r="C65" s="362"/>
      <c r="D65" s="362"/>
      <c r="E65" s="362"/>
      <c r="F65" s="362"/>
      <c r="G65" s="362"/>
      <c r="H65" s="362"/>
      <c r="I65" s="362"/>
      <c r="J65" s="362"/>
      <c r="K65" s="362"/>
      <c r="L65" s="362"/>
      <c r="M65" s="362"/>
      <c r="N65" s="362"/>
      <c r="O65" s="362"/>
    </row>
    <row r="66" spans="1:15" ht="15.75" customHeight="1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</row>
    <row r="67" spans="1:15" ht="15.75" customHeight="1">
      <c r="A67" s="362"/>
      <c r="B67" s="362"/>
      <c r="C67" s="362"/>
      <c r="D67" s="362"/>
      <c r="E67" s="362"/>
      <c r="F67" s="362"/>
      <c r="G67" s="362"/>
      <c r="H67" s="362"/>
      <c r="I67" s="362"/>
      <c r="J67" s="362"/>
      <c r="K67" s="362"/>
      <c r="L67" s="362"/>
      <c r="M67" s="362"/>
      <c r="N67" s="362"/>
      <c r="O67" s="362"/>
    </row>
    <row r="68" spans="1:15" ht="15.75" customHeight="1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</row>
    <row r="69" spans="1:15" ht="15.75" customHeight="1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</row>
    <row r="70" spans="1:15" ht="15.75" customHeight="1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</row>
    <row r="71" spans="1:15" ht="15.75" customHeight="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</row>
    <row r="72" spans="1:15" ht="15.75" customHeight="1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</row>
    <row r="73" spans="1:15" ht="15.75" customHeight="1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</row>
    <row r="74" spans="1:15" ht="15.75" customHeight="1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</row>
    <row r="75" spans="1:15" ht="15.75" customHeight="1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</row>
    <row r="76" spans="1:15" ht="15.75" customHeight="1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</row>
    <row r="77" spans="1:15" ht="15.75" customHeight="1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</row>
    <row r="78" spans="1:15" ht="15.75" customHeight="1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</row>
    <row r="79" spans="1:15" ht="15.75" customHeight="1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</row>
    <row r="80" spans="1:15" ht="15.75" customHeight="1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</row>
    <row r="81" spans="1:15" ht="15.75" customHeight="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</row>
    <row r="82" spans="1:15" ht="15.75" customHeight="1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</row>
    <row r="83" spans="1:15" ht="15.75" customHeight="1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</row>
    <row r="84" spans="1:15" ht="15.75" customHeight="1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</row>
    <row r="85" spans="1:15" ht="15.75" customHeight="1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</row>
    <row r="86" spans="1:15" ht="15.75" customHeight="1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</row>
    <row r="87" spans="1:15" ht="15.75" customHeight="1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</row>
    <row r="88" spans="1:15" ht="15.75" customHeight="1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</row>
    <row r="89" spans="1:15" ht="15.75" customHeight="1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</row>
    <row r="90" spans="1:15" ht="15.75" customHeight="1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</row>
    <row r="91" spans="1:15" ht="15.75" customHeight="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</row>
    <row r="92" spans="1:15" ht="15.75" customHeight="1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</row>
    <row r="93" spans="1:15" ht="15.75" customHeight="1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</row>
    <row r="94" spans="1:15" ht="15.75" customHeight="1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</row>
    <row r="95" spans="1:15" ht="15.75" customHeight="1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</row>
    <row r="96" spans="1:15" ht="15.75" customHeight="1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</row>
    <row r="97" spans="1:15" ht="15.75" customHeight="1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</row>
    <row r="98" spans="1:15" ht="15.75" customHeight="1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</row>
    <row r="99" spans="1:15" ht="15.75" customHeight="1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</row>
    <row r="100" spans="1:15" ht="15.75" customHeight="1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</row>
    <row r="101" spans="1:15" ht="15.75" customHeight="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</row>
    <row r="102" spans="1:15" ht="15.75" customHeight="1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</row>
    <row r="103" spans="1:15" ht="15.75" customHeight="1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</row>
    <row r="104" spans="1:15" ht="15.75" customHeight="1">
      <c r="A104" s="362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</row>
    <row r="105" spans="1:15" ht="15.75" customHeight="1">
      <c r="A105" s="362"/>
      <c r="B105" s="362"/>
      <c r="C105" s="362"/>
      <c r="D105" s="362"/>
      <c r="E105" s="362"/>
      <c r="F105" s="362"/>
      <c r="G105" s="362"/>
      <c r="H105" s="362"/>
      <c r="I105" s="362"/>
      <c r="J105" s="362"/>
      <c r="K105" s="362"/>
      <c r="L105" s="362"/>
      <c r="M105" s="362"/>
      <c r="N105" s="362"/>
      <c r="O105" s="362"/>
    </row>
    <row r="106" spans="1:15" ht="15.75" customHeight="1">
      <c r="A106" s="362"/>
      <c r="B106" s="362"/>
      <c r="C106" s="362"/>
      <c r="D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</row>
    <row r="107" spans="1:15" ht="15.75" customHeight="1">
      <c r="A107" s="362"/>
      <c r="B107" s="362"/>
      <c r="C107" s="362"/>
      <c r="D107" s="362"/>
      <c r="E107" s="362"/>
      <c r="F107" s="362"/>
      <c r="G107" s="362"/>
      <c r="H107" s="362"/>
      <c r="I107" s="362"/>
      <c r="J107" s="362"/>
      <c r="K107" s="362"/>
      <c r="L107" s="362"/>
      <c r="M107" s="362"/>
      <c r="N107" s="362"/>
      <c r="O107" s="362"/>
    </row>
    <row r="108" spans="1:15" ht="15.75" customHeight="1">
      <c r="A108" s="362"/>
      <c r="B108" s="362"/>
      <c r="C108" s="362"/>
      <c r="D108" s="362"/>
      <c r="E108" s="362"/>
      <c r="F108" s="362"/>
      <c r="G108" s="362"/>
      <c r="H108" s="362"/>
      <c r="I108" s="362"/>
      <c r="J108" s="362"/>
      <c r="K108" s="362"/>
      <c r="L108" s="362"/>
      <c r="M108" s="362"/>
      <c r="N108" s="362"/>
      <c r="O108" s="362"/>
    </row>
    <row r="109" spans="1:15" ht="15.75" customHeight="1">
      <c r="A109" s="362"/>
      <c r="B109" s="362"/>
      <c r="C109" s="362"/>
      <c r="D109" s="362"/>
      <c r="E109" s="362"/>
      <c r="F109" s="362"/>
      <c r="G109" s="362"/>
      <c r="H109" s="362"/>
      <c r="I109" s="362"/>
      <c r="J109" s="362"/>
      <c r="K109" s="362"/>
      <c r="L109" s="362"/>
      <c r="M109" s="362"/>
      <c r="N109" s="362"/>
      <c r="O109" s="362"/>
    </row>
    <row r="110" spans="1:15" ht="15.75" customHeight="1">
      <c r="A110" s="362"/>
      <c r="B110" s="362"/>
      <c r="C110" s="362"/>
      <c r="D110" s="362"/>
      <c r="E110" s="362"/>
      <c r="F110" s="362"/>
      <c r="G110" s="362"/>
      <c r="H110" s="362"/>
      <c r="I110" s="362"/>
      <c r="J110" s="362"/>
      <c r="K110" s="362"/>
      <c r="L110" s="362"/>
      <c r="M110" s="362"/>
      <c r="N110" s="362"/>
      <c r="O110" s="362"/>
    </row>
    <row r="111" spans="1:15" ht="15.75" customHeight="1">
      <c r="A111" s="362"/>
      <c r="B111" s="362"/>
      <c r="C111" s="362"/>
      <c r="D111" s="362"/>
      <c r="E111" s="362"/>
      <c r="F111" s="362"/>
      <c r="G111" s="362"/>
      <c r="H111" s="362"/>
      <c r="I111" s="362"/>
      <c r="J111" s="362"/>
      <c r="K111" s="362"/>
      <c r="L111" s="362"/>
      <c r="M111" s="362"/>
      <c r="N111" s="362"/>
      <c r="O111" s="362"/>
    </row>
    <row r="112" spans="1:15" ht="15.75" customHeight="1">
      <c r="A112" s="362"/>
      <c r="B112" s="362"/>
      <c r="C112" s="362"/>
      <c r="D112" s="362"/>
      <c r="E112" s="362"/>
      <c r="F112" s="362"/>
      <c r="G112" s="362"/>
      <c r="H112" s="362"/>
      <c r="I112" s="362"/>
      <c r="J112" s="362"/>
      <c r="K112" s="362"/>
      <c r="L112" s="362"/>
      <c r="M112" s="362"/>
      <c r="N112" s="362"/>
      <c r="O112" s="362"/>
    </row>
    <row r="113" spans="1:15" ht="15.75" customHeight="1">
      <c r="A113" s="362"/>
      <c r="B113" s="362"/>
      <c r="C113" s="362"/>
      <c r="D113" s="362"/>
      <c r="E113" s="362"/>
      <c r="F113" s="362"/>
      <c r="G113" s="362"/>
      <c r="H113" s="362"/>
      <c r="I113" s="362"/>
      <c r="J113" s="362"/>
      <c r="K113" s="362"/>
      <c r="L113" s="362"/>
      <c r="M113" s="362"/>
      <c r="N113" s="362"/>
      <c r="O113" s="362"/>
    </row>
    <row r="114" spans="1:15" ht="15.75" customHeight="1">
      <c r="A114" s="362"/>
      <c r="B114" s="362"/>
      <c r="C114" s="362"/>
      <c r="D114" s="362"/>
      <c r="E114" s="362"/>
      <c r="F114" s="362"/>
      <c r="G114" s="362"/>
      <c r="H114" s="362"/>
      <c r="I114" s="362"/>
      <c r="J114" s="362"/>
      <c r="K114" s="362"/>
      <c r="L114" s="362"/>
      <c r="M114" s="362"/>
      <c r="N114" s="362"/>
      <c r="O114" s="362"/>
    </row>
    <row r="115" spans="1:15" ht="15.75" customHeight="1">
      <c r="A115" s="362"/>
      <c r="B115" s="362"/>
      <c r="C115" s="362"/>
      <c r="D115" s="362"/>
      <c r="E115" s="362"/>
      <c r="F115" s="362"/>
      <c r="G115" s="362"/>
      <c r="H115" s="362"/>
      <c r="I115" s="362"/>
      <c r="J115" s="362"/>
      <c r="K115" s="362"/>
      <c r="L115" s="362"/>
      <c r="M115" s="362"/>
      <c r="N115" s="362"/>
      <c r="O115" s="362"/>
    </row>
    <row r="116" spans="1:15" ht="15.75" customHeight="1">
      <c r="A116" s="362"/>
      <c r="B116" s="362"/>
      <c r="C116" s="362"/>
      <c r="D116" s="362"/>
      <c r="E116" s="362"/>
      <c r="F116" s="362"/>
      <c r="G116" s="362"/>
      <c r="H116" s="362"/>
      <c r="I116" s="362"/>
      <c r="J116" s="362"/>
      <c r="K116" s="362"/>
      <c r="L116" s="362"/>
      <c r="M116" s="362"/>
      <c r="N116" s="362"/>
      <c r="O116" s="362"/>
    </row>
    <row r="117" spans="1:15" ht="15.75" customHeight="1">
      <c r="A117" s="362"/>
      <c r="B117" s="362"/>
      <c r="C117" s="362"/>
      <c r="D117" s="362"/>
      <c r="E117" s="362"/>
      <c r="F117" s="362"/>
      <c r="G117" s="362"/>
      <c r="H117" s="362"/>
      <c r="I117" s="362"/>
      <c r="J117" s="362"/>
      <c r="K117" s="362"/>
      <c r="L117" s="362"/>
      <c r="M117" s="362"/>
      <c r="N117" s="362"/>
      <c r="O117" s="362"/>
    </row>
    <row r="118" spans="1:15" ht="15.75" customHeight="1">
      <c r="A118" s="362"/>
      <c r="B118" s="362"/>
      <c r="C118" s="362"/>
      <c r="D118" s="362"/>
      <c r="E118" s="362"/>
      <c r="F118" s="362"/>
      <c r="G118" s="362"/>
      <c r="H118" s="362"/>
      <c r="I118" s="362"/>
      <c r="J118" s="362"/>
      <c r="K118" s="362"/>
      <c r="L118" s="362"/>
      <c r="M118" s="362"/>
      <c r="N118" s="362"/>
      <c r="O118" s="362"/>
    </row>
    <row r="119" spans="1:15" ht="15.75" customHeight="1">
      <c r="A119" s="362"/>
      <c r="B119" s="362"/>
      <c r="C119" s="362"/>
      <c r="D119" s="362"/>
      <c r="E119" s="362"/>
      <c r="F119" s="362"/>
      <c r="G119" s="362"/>
      <c r="H119" s="362"/>
      <c r="I119" s="362"/>
      <c r="J119" s="362"/>
      <c r="K119" s="362"/>
      <c r="L119" s="362"/>
      <c r="M119" s="362"/>
      <c r="N119" s="362"/>
      <c r="O119" s="362"/>
    </row>
    <row r="120" spans="1:15" ht="15.75" customHeight="1">
      <c r="A120" s="362"/>
      <c r="B120" s="362"/>
      <c r="C120" s="362"/>
      <c r="D120" s="362"/>
      <c r="E120" s="362"/>
      <c r="F120" s="362"/>
      <c r="G120" s="362"/>
      <c r="H120" s="362"/>
      <c r="I120" s="362"/>
      <c r="J120" s="362"/>
      <c r="K120" s="362"/>
      <c r="L120" s="362"/>
      <c r="M120" s="362"/>
      <c r="N120" s="362"/>
      <c r="O120" s="362"/>
    </row>
    <row r="121" spans="1:15" ht="15.75" customHeight="1">
      <c r="A121" s="362"/>
      <c r="B121" s="362"/>
      <c r="C121" s="362"/>
      <c r="D121" s="362"/>
      <c r="E121" s="362"/>
      <c r="F121" s="362"/>
      <c r="G121" s="362"/>
      <c r="H121" s="362"/>
      <c r="I121" s="362"/>
      <c r="J121" s="362"/>
      <c r="K121" s="362"/>
      <c r="L121" s="362"/>
      <c r="M121" s="362"/>
      <c r="N121" s="362"/>
      <c r="O121" s="362"/>
    </row>
    <row r="122" spans="1:15" ht="15.75" customHeight="1">
      <c r="A122" s="362"/>
      <c r="B122" s="362"/>
      <c r="C122" s="362"/>
      <c r="D122" s="362"/>
      <c r="E122" s="362"/>
      <c r="F122" s="362"/>
      <c r="G122" s="362"/>
      <c r="H122" s="362"/>
      <c r="I122" s="362"/>
      <c r="J122" s="362"/>
      <c r="K122" s="362"/>
      <c r="L122" s="362"/>
      <c r="M122" s="362"/>
      <c r="N122" s="362"/>
      <c r="O122" s="362"/>
    </row>
    <row r="123" spans="1:15" ht="15.75" customHeight="1">
      <c r="A123" s="362"/>
      <c r="B123" s="362"/>
      <c r="C123" s="362"/>
      <c r="D123" s="362"/>
      <c r="E123" s="362"/>
      <c r="F123" s="362"/>
      <c r="G123" s="362"/>
      <c r="H123" s="362"/>
      <c r="I123" s="362"/>
      <c r="J123" s="362"/>
      <c r="K123" s="362"/>
      <c r="L123" s="362"/>
      <c r="M123" s="362"/>
      <c r="N123" s="362"/>
      <c r="O123" s="362"/>
    </row>
    <row r="124" spans="1:15" ht="15.75" customHeight="1">
      <c r="A124" s="362"/>
      <c r="B124" s="362"/>
      <c r="C124" s="362"/>
      <c r="D124" s="362"/>
      <c r="E124" s="362"/>
      <c r="F124" s="362"/>
      <c r="G124" s="362"/>
      <c r="H124" s="362"/>
      <c r="I124" s="362"/>
      <c r="J124" s="362"/>
      <c r="K124" s="362"/>
      <c r="L124" s="362"/>
      <c r="M124" s="362"/>
      <c r="N124" s="362"/>
      <c r="O124" s="362"/>
    </row>
    <row r="125" spans="1:15" ht="15.75" customHeight="1">
      <c r="A125" s="362"/>
      <c r="B125" s="362"/>
      <c r="C125" s="362"/>
      <c r="D125" s="362"/>
      <c r="E125" s="362"/>
      <c r="F125" s="362"/>
      <c r="G125" s="362"/>
      <c r="H125" s="362"/>
      <c r="I125" s="362"/>
      <c r="J125" s="362"/>
      <c r="K125" s="362"/>
      <c r="L125" s="362"/>
      <c r="M125" s="362"/>
      <c r="N125" s="362"/>
      <c r="O125" s="362"/>
    </row>
    <row r="126" spans="1:15" ht="15.75" customHeight="1">
      <c r="A126" s="362"/>
      <c r="B126" s="362"/>
      <c r="C126" s="362"/>
      <c r="D126" s="362"/>
      <c r="E126" s="362"/>
      <c r="F126" s="362"/>
      <c r="G126" s="362"/>
      <c r="H126" s="362"/>
      <c r="I126" s="362"/>
      <c r="J126" s="362"/>
      <c r="K126" s="362"/>
      <c r="L126" s="362"/>
      <c r="M126" s="362"/>
      <c r="N126" s="362"/>
      <c r="O126" s="362"/>
    </row>
    <row r="127" spans="1:15" ht="15.75" customHeight="1">
      <c r="A127" s="362"/>
      <c r="B127" s="362"/>
      <c r="C127" s="362"/>
      <c r="D127" s="362"/>
      <c r="E127" s="362"/>
      <c r="F127" s="362"/>
      <c r="G127" s="362"/>
      <c r="H127" s="362"/>
      <c r="I127" s="362"/>
      <c r="J127" s="362"/>
      <c r="K127" s="362"/>
      <c r="L127" s="362"/>
      <c r="M127" s="362"/>
      <c r="N127" s="362"/>
      <c r="O127" s="362"/>
    </row>
    <row r="128" spans="1:15" ht="15.75" customHeight="1">
      <c r="A128" s="362"/>
      <c r="B128" s="362"/>
      <c r="C128" s="362"/>
      <c r="D128" s="362"/>
      <c r="E128" s="362"/>
      <c r="F128" s="362"/>
      <c r="G128" s="362"/>
      <c r="H128" s="362"/>
      <c r="I128" s="362"/>
      <c r="J128" s="362"/>
      <c r="K128" s="362"/>
      <c r="L128" s="362"/>
      <c r="M128" s="362"/>
      <c r="N128" s="362"/>
      <c r="O128" s="362"/>
    </row>
    <row r="129" spans="1:15" ht="15.75" customHeight="1">
      <c r="A129" s="362"/>
      <c r="B129" s="362"/>
      <c r="C129" s="362"/>
      <c r="D129" s="362"/>
      <c r="E129" s="362"/>
      <c r="F129" s="362"/>
      <c r="G129" s="362"/>
      <c r="H129" s="362"/>
      <c r="I129" s="362"/>
      <c r="J129" s="362"/>
      <c r="K129" s="362"/>
      <c r="L129" s="362"/>
      <c r="M129" s="362"/>
      <c r="N129" s="362"/>
      <c r="O129" s="362"/>
    </row>
    <row r="130" spans="1:15" ht="15.75" customHeight="1">
      <c r="A130" s="362"/>
      <c r="B130" s="362"/>
      <c r="C130" s="362"/>
      <c r="D130" s="362"/>
      <c r="E130" s="362"/>
      <c r="F130" s="362"/>
      <c r="G130" s="362"/>
      <c r="H130" s="362"/>
      <c r="I130" s="362"/>
      <c r="J130" s="362"/>
      <c r="K130" s="362"/>
      <c r="L130" s="362"/>
      <c r="M130" s="362"/>
      <c r="N130" s="362"/>
      <c r="O130" s="362"/>
    </row>
    <row r="131" spans="1:15" ht="15.75" customHeight="1">
      <c r="A131" s="362"/>
      <c r="B131" s="362"/>
      <c r="C131" s="362"/>
      <c r="D131" s="362"/>
      <c r="E131" s="362"/>
      <c r="F131" s="362"/>
      <c r="G131" s="362"/>
      <c r="H131" s="362"/>
      <c r="I131" s="362"/>
      <c r="J131" s="362"/>
      <c r="K131" s="362"/>
      <c r="L131" s="362"/>
      <c r="M131" s="362"/>
      <c r="N131" s="362"/>
      <c r="O131" s="362"/>
    </row>
    <row r="132" spans="1:15" ht="15.75" customHeight="1">
      <c r="A132" s="362"/>
      <c r="B132" s="362"/>
      <c r="C132" s="362"/>
      <c r="D132" s="362"/>
      <c r="E132" s="362"/>
      <c r="F132" s="362"/>
      <c r="G132" s="362"/>
      <c r="H132" s="362"/>
      <c r="I132" s="362"/>
      <c r="J132" s="362"/>
      <c r="K132" s="362"/>
      <c r="L132" s="362"/>
      <c r="M132" s="362"/>
      <c r="N132" s="362"/>
      <c r="O132" s="362"/>
    </row>
    <row r="133" spans="1:15" ht="15.75" customHeight="1">
      <c r="A133" s="362"/>
      <c r="B133" s="362"/>
      <c r="C133" s="362"/>
      <c r="D133" s="362"/>
      <c r="E133" s="362"/>
      <c r="F133" s="362"/>
      <c r="G133" s="362"/>
      <c r="H133" s="362"/>
      <c r="I133" s="362"/>
      <c r="J133" s="362"/>
      <c r="K133" s="362"/>
      <c r="L133" s="362"/>
      <c r="M133" s="362"/>
      <c r="N133" s="362"/>
      <c r="O133" s="362"/>
    </row>
    <row r="134" spans="1:15" ht="15.75" customHeight="1">
      <c r="A134" s="362"/>
      <c r="B134" s="362"/>
      <c r="C134" s="362"/>
      <c r="D134" s="362"/>
      <c r="E134" s="362"/>
      <c r="F134" s="362"/>
      <c r="G134" s="362"/>
      <c r="H134" s="362"/>
      <c r="I134" s="362"/>
      <c r="J134" s="362"/>
      <c r="K134" s="362"/>
      <c r="L134" s="362"/>
      <c r="M134" s="362"/>
      <c r="N134" s="362"/>
      <c r="O134" s="362"/>
    </row>
    <row r="135" spans="1:15" ht="15.75" customHeight="1">
      <c r="A135" s="362"/>
      <c r="B135" s="362"/>
      <c r="C135" s="362"/>
      <c r="D135" s="362"/>
      <c r="E135" s="362"/>
      <c r="F135" s="362"/>
      <c r="G135" s="362"/>
      <c r="H135" s="362"/>
      <c r="I135" s="362"/>
      <c r="J135" s="362"/>
      <c r="K135" s="362"/>
      <c r="L135" s="362"/>
      <c r="M135" s="362"/>
      <c r="N135" s="362"/>
      <c r="O135" s="362"/>
    </row>
    <row r="136" spans="1:15" ht="15.75" customHeight="1">
      <c r="A136" s="362"/>
      <c r="B136" s="362"/>
      <c r="C136" s="362"/>
      <c r="D136" s="362"/>
      <c r="E136" s="362"/>
      <c r="F136" s="362"/>
      <c r="G136" s="362"/>
      <c r="H136" s="362"/>
      <c r="I136" s="362"/>
      <c r="J136" s="362"/>
      <c r="K136" s="362"/>
      <c r="L136" s="362"/>
      <c r="M136" s="362"/>
      <c r="N136" s="362"/>
      <c r="O136" s="362"/>
    </row>
    <row r="137" spans="1:15" ht="15.75" customHeight="1">
      <c r="A137" s="362"/>
      <c r="B137" s="362"/>
      <c r="C137" s="362"/>
      <c r="D137" s="362"/>
      <c r="E137" s="362"/>
      <c r="F137" s="362"/>
      <c r="G137" s="362"/>
      <c r="H137" s="362"/>
      <c r="I137" s="362"/>
      <c r="J137" s="362"/>
      <c r="K137" s="362"/>
      <c r="L137" s="362"/>
      <c r="M137" s="362"/>
      <c r="N137" s="362"/>
      <c r="O137" s="362"/>
    </row>
    <row r="138" spans="1:15" ht="15.75" customHeight="1">
      <c r="A138" s="362"/>
      <c r="B138" s="362"/>
      <c r="C138" s="362"/>
      <c r="D138" s="362"/>
      <c r="E138" s="362"/>
      <c r="F138" s="362"/>
      <c r="G138" s="362"/>
      <c r="H138" s="362"/>
      <c r="I138" s="362"/>
      <c r="J138" s="362"/>
      <c r="K138" s="362"/>
      <c r="L138" s="362"/>
      <c r="M138" s="362"/>
      <c r="N138" s="362"/>
      <c r="O138" s="362"/>
    </row>
    <row r="139" spans="1:15" ht="15.75" customHeight="1">
      <c r="A139" s="362"/>
      <c r="B139" s="362"/>
      <c r="C139" s="362"/>
      <c r="D139" s="362"/>
      <c r="E139" s="362"/>
      <c r="F139" s="362"/>
      <c r="G139" s="362"/>
      <c r="H139" s="362"/>
      <c r="I139" s="362"/>
      <c r="J139" s="362"/>
      <c r="K139" s="362"/>
      <c r="L139" s="362"/>
      <c r="M139" s="362"/>
      <c r="N139" s="362"/>
      <c r="O139" s="362"/>
    </row>
    <row r="140" spans="1:15" ht="15.75" customHeight="1">
      <c r="A140" s="362"/>
      <c r="B140" s="362"/>
      <c r="C140" s="362"/>
      <c r="D140" s="362"/>
      <c r="E140" s="362"/>
      <c r="F140" s="362"/>
      <c r="G140" s="362"/>
      <c r="H140" s="362"/>
      <c r="I140" s="362"/>
      <c r="J140" s="362"/>
      <c r="K140" s="362"/>
      <c r="L140" s="362"/>
      <c r="M140" s="362"/>
      <c r="N140" s="362"/>
      <c r="O140" s="362"/>
    </row>
    <row r="141" spans="1:15" ht="15.75" customHeight="1">
      <c r="A141" s="362"/>
      <c r="B141" s="362"/>
      <c r="C141" s="362"/>
      <c r="D141" s="362"/>
      <c r="E141" s="362"/>
      <c r="F141" s="362"/>
      <c r="G141" s="362"/>
      <c r="H141" s="362"/>
      <c r="I141" s="362"/>
      <c r="J141" s="362"/>
      <c r="K141" s="362"/>
      <c r="L141" s="362"/>
      <c r="M141" s="362"/>
      <c r="N141" s="362"/>
      <c r="O141" s="362"/>
    </row>
    <row r="142" spans="1:15" ht="15.75" customHeight="1">
      <c r="A142" s="362"/>
      <c r="B142" s="362"/>
      <c r="C142" s="362"/>
      <c r="D142" s="362"/>
      <c r="E142" s="362"/>
      <c r="F142" s="362"/>
      <c r="G142" s="362"/>
      <c r="H142" s="362"/>
      <c r="I142" s="362"/>
      <c r="J142" s="362"/>
      <c r="K142" s="362"/>
      <c r="L142" s="362"/>
      <c r="M142" s="362"/>
      <c r="N142" s="362"/>
      <c r="O142" s="362"/>
    </row>
    <row r="143" spans="1:15" ht="15.75" customHeight="1">
      <c r="A143" s="362"/>
      <c r="B143" s="362"/>
      <c r="C143" s="362"/>
      <c r="D143" s="362"/>
      <c r="E143" s="362"/>
      <c r="F143" s="362"/>
      <c r="G143" s="362"/>
      <c r="H143" s="362"/>
      <c r="I143" s="362"/>
      <c r="J143" s="362"/>
      <c r="K143" s="362"/>
      <c r="L143" s="362"/>
      <c r="M143" s="362"/>
      <c r="N143" s="362"/>
      <c r="O143" s="362"/>
    </row>
    <row r="144" spans="1:15" ht="15.75" customHeight="1">
      <c r="A144" s="362"/>
      <c r="B144" s="362"/>
      <c r="C144" s="362"/>
      <c r="D144" s="362"/>
      <c r="E144" s="362"/>
      <c r="F144" s="362"/>
      <c r="G144" s="362"/>
      <c r="H144" s="362"/>
      <c r="I144" s="362"/>
      <c r="J144" s="362"/>
      <c r="K144" s="362"/>
      <c r="L144" s="362"/>
      <c r="M144" s="362"/>
      <c r="N144" s="362"/>
      <c r="O144" s="362"/>
    </row>
    <row r="145" spans="1:15" ht="15.75" customHeight="1">
      <c r="A145" s="362"/>
      <c r="B145" s="362"/>
      <c r="C145" s="362"/>
      <c r="D145" s="362"/>
      <c r="E145" s="362"/>
      <c r="F145" s="362"/>
      <c r="G145" s="362"/>
      <c r="H145" s="362"/>
      <c r="I145" s="362"/>
      <c r="J145" s="362"/>
      <c r="K145" s="362"/>
      <c r="L145" s="362"/>
      <c r="M145" s="362"/>
      <c r="N145" s="362"/>
      <c r="O145" s="362"/>
    </row>
    <row r="146" spans="1:15" ht="15.75" customHeight="1">
      <c r="A146" s="362"/>
      <c r="B146" s="362"/>
      <c r="C146" s="362"/>
      <c r="D146" s="362"/>
      <c r="E146" s="362"/>
      <c r="F146" s="362"/>
      <c r="G146" s="362"/>
      <c r="H146" s="362"/>
      <c r="I146" s="362"/>
      <c r="J146" s="362"/>
      <c r="K146" s="362"/>
      <c r="L146" s="362"/>
      <c r="M146" s="362"/>
      <c r="N146" s="362"/>
      <c r="O146" s="362"/>
    </row>
    <row r="147" spans="1:15" ht="15.75" customHeight="1">
      <c r="A147" s="362"/>
      <c r="B147" s="362"/>
      <c r="C147" s="362"/>
      <c r="D147" s="362"/>
      <c r="E147" s="362"/>
      <c r="F147" s="362"/>
      <c r="G147" s="362"/>
      <c r="H147" s="362"/>
      <c r="I147" s="362"/>
      <c r="J147" s="362"/>
      <c r="K147" s="362"/>
      <c r="L147" s="362"/>
      <c r="M147" s="362"/>
      <c r="N147" s="362"/>
      <c r="O147" s="362"/>
    </row>
    <row r="148" spans="1:15" ht="15.75" customHeight="1">
      <c r="A148" s="362"/>
      <c r="B148" s="362"/>
      <c r="C148" s="362"/>
      <c r="D148" s="362"/>
      <c r="E148" s="362"/>
      <c r="F148" s="362"/>
      <c r="G148" s="362"/>
      <c r="H148" s="362"/>
      <c r="I148" s="362"/>
      <c r="J148" s="362"/>
      <c r="K148" s="362"/>
      <c r="L148" s="362"/>
      <c r="M148" s="362"/>
      <c r="N148" s="362"/>
      <c r="O148" s="362"/>
    </row>
    <row r="149" spans="1:15" ht="15.75" customHeight="1">
      <c r="A149" s="362"/>
      <c r="B149" s="362"/>
      <c r="C149" s="362"/>
      <c r="D149" s="362"/>
      <c r="E149" s="362"/>
      <c r="F149" s="362"/>
      <c r="G149" s="362"/>
      <c r="H149" s="362"/>
      <c r="I149" s="362"/>
      <c r="J149" s="362"/>
      <c r="K149" s="362"/>
      <c r="L149" s="362"/>
      <c r="M149" s="362"/>
      <c r="N149" s="362"/>
      <c r="O149" s="362"/>
    </row>
    <row r="150" spans="1:15" ht="15.75" customHeight="1">
      <c r="A150" s="362"/>
      <c r="B150" s="362"/>
      <c r="C150" s="362"/>
      <c r="D150" s="362"/>
      <c r="E150" s="362"/>
      <c r="F150" s="362"/>
      <c r="G150" s="362"/>
      <c r="H150" s="362"/>
      <c r="I150" s="362"/>
      <c r="J150" s="362"/>
      <c r="K150" s="362"/>
      <c r="L150" s="362"/>
      <c r="M150" s="362"/>
      <c r="N150" s="362"/>
      <c r="O150" s="362"/>
    </row>
    <row r="151" spans="1:15" ht="15.75" customHeight="1">
      <c r="A151" s="362"/>
      <c r="B151" s="362"/>
      <c r="C151" s="362"/>
      <c r="D151" s="362"/>
      <c r="E151" s="362"/>
      <c r="F151" s="362"/>
      <c r="G151" s="362"/>
      <c r="H151" s="362"/>
      <c r="I151" s="362"/>
      <c r="J151" s="362"/>
      <c r="K151" s="362"/>
      <c r="L151" s="362"/>
      <c r="M151" s="362"/>
      <c r="N151" s="362"/>
      <c r="O151" s="362"/>
    </row>
    <row r="152" spans="1:15" ht="15.75" customHeight="1">
      <c r="A152" s="362"/>
      <c r="B152" s="362"/>
      <c r="C152" s="362"/>
      <c r="D152" s="362"/>
      <c r="E152" s="362"/>
      <c r="F152" s="362"/>
      <c r="G152" s="362"/>
      <c r="H152" s="362"/>
      <c r="I152" s="362"/>
      <c r="J152" s="362"/>
      <c r="K152" s="362"/>
      <c r="L152" s="362"/>
      <c r="M152" s="362"/>
      <c r="N152" s="362"/>
      <c r="O152" s="362"/>
    </row>
    <row r="153" spans="1:15" ht="15.75" customHeight="1">
      <c r="A153" s="362"/>
      <c r="B153" s="362"/>
      <c r="C153" s="362"/>
      <c r="D153" s="362"/>
      <c r="E153" s="362"/>
      <c r="F153" s="362"/>
      <c r="G153" s="362"/>
      <c r="H153" s="362"/>
      <c r="I153" s="362"/>
      <c r="J153" s="362"/>
      <c r="K153" s="362"/>
      <c r="L153" s="362"/>
      <c r="M153" s="362"/>
      <c r="N153" s="362"/>
      <c r="O153" s="362"/>
    </row>
    <row r="154" spans="1:15" ht="15.75" customHeight="1">
      <c r="A154" s="362"/>
      <c r="B154" s="362"/>
      <c r="C154" s="362"/>
      <c r="D154" s="362"/>
      <c r="E154" s="362"/>
      <c r="F154" s="362"/>
      <c r="G154" s="362"/>
      <c r="H154" s="362"/>
      <c r="I154" s="362"/>
      <c r="J154" s="362"/>
      <c r="K154" s="362"/>
      <c r="L154" s="362"/>
      <c r="M154" s="362"/>
      <c r="N154" s="362"/>
      <c r="O154" s="362"/>
    </row>
    <row r="155" spans="1:15" ht="15.75" customHeight="1">
      <c r="A155" s="362"/>
      <c r="B155" s="362"/>
      <c r="C155" s="362"/>
      <c r="D155" s="362"/>
      <c r="E155" s="362"/>
      <c r="F155" s="362"/>
      <c r="G155" s="362"/>
      <c r="H155" s="362"/>
      <c r="I155" s="362"/>
      <c r="J155" s="362"/>
      <c r="K155" s="362"/>
      <c r="L155" s="362"/>
      <c r="M155" s="362"/>
      <c r="N155" s="362"/>
      <c r="O155" s="362"/>
    </row>
    <row r="156" spans="1:15" ht="15.75" customHeight="1">
      <c r="A156" s="362"/>
      <c r="B156" s="362"/>
      <c r="C156" s="362"/>
      <c r="D156" s="362"/>
      <c r="E156" s="362"/>
      <c r="F156" s="362"/>
      <c r="G156" s="362"/>
      <c r="H156" s="362"/>
      <c r="I156" s="362"/>
      <c r="J156" s="362"/>
      <c r="K156" s="362"/>
      <c r="L156" s="362"/>
      <c r="M156" s="362"/>
      <c r="N156" s="362"/>
      <c r="O156" s="362"/>
    </row>
    <row r="157" spans="1:15" ht="15.75" customHeight="1">
      <c r="A157" s="362"/>
      <c r="B157" s="362"/>
      <c r="C157" s="362"/>
      <c r="D157" s="362"/>
      <c r="E157" s="362"/>
      <c r="F157" s="362"/>
      <c r="G157" s="362"/>
      <c r="H157" s="362"/>
      <c r="I157" s="362"/>
      <c r="J157" s="362"/>
      <c r="K157" s="362"/>
      <c r="L157" s="362"/>
      <c r="M157" s="362"/>
      <c r="N157" s="362"/>
      <c r="O157" s="362"/>
    </row>
    <row r="158" spans="1:15" ht="15.75" customHeight="1">
      <c r="A158" s="362"/>
      <c r="B158" s="362"/>
      <c r="C158" s="362"/>
      <c r="D158" s="362"/>
      <c r="E158" s="362"/>
      <c r="F158" s="362"/>
      <c r="G158" s="362"/>
      <c r="H158" s="362"/>
      <c r="I158" s="362"/>
      <c r="J158" s="362"/>
      <c r="K158" s="362"/>
      <c r="L158" s="362"/>
      <c r="M158" s="362"/>
      <c r="N158" s="362"/>
      <c r="O158" s="362"/>
    </row>
    <row r="159" spans="1:15" ht="15.75" customHeight="1">
      <c r="A159" s="362"/>
      <c r="B159" s="362"/>
      <c r="C159" s="362"/>
      <c r="D159" s="362"/>
      <c r="E159" s="362"/>
      <c r="F159" s="362"/>
      <c r="G159" s="362"/>
      <c r="H159" s="362"/>
      <c r="I159" s="362"/>
      <c r="J159" s="362"/>
      <c r="K159" s="362"/>
      <c r="L159" s="362"/>
      <c r="M159" s="362"/>
      <c r="N159" s="362"/>
      <c r="O159" s="362"/>
    </row>
    <row r="160" spans="1:15" ht="15.75" customHeight="1">
      <c r="A160" s="362"/>
      <c r="B160" s="362"/>
      <c r="C160" s="362"/>
      <c r="D160" s="362"/>
      <c r="E160" s="362"/>
      <c r="F160" s="362"/>
      <c r="G160" s="362"/>
      <c r="H160" s="362"/>
      <c r="I160" s="362"/>
      <c r="J160" s="362"/>
      <c r="K160" s="362"/>
      <c r="L160" s="362"/>
      <c r="M160" s="362"/>
      <c r="N160" s="362"/>
      <c r="O160" s="362"/>
    </row>
    <row r="161" spans="1:15" ht="15.75" customHeight="1">
      <c r="A161" s="362"/>
      <c r="B161" s="362"/>
      <c r="C161" s="362"/>
      <c r="D161" s="362"/>
      <c r="E161" s="362"/>
      <c r="F161" s="362"/>
      <c r="G161" s="362"/>
      <c r="H161" s="362"/>
      <c r="I161" s="362"/>
      <c r="J161" s="362"/>
      <c r="K161" s="362"/>
      <c r="L161" s="362"/>
      <c r="M161" s="362"/>
      <c r="N161" s="362"/>
      <c r="O161" s="362"/>
    </row>
    <row r="162" spans="1:15" ht="15.75" customHeight="1">
      <c r="A162" s="362"/>
      <c r="B162" s="362"/>
      <c r="C162" s="362"/>
      <c r="D162" s="362"/>
      <c r="E162" s="362"/>
      <c r="F162" s="362"/>
      <c r="G162" s="362"/>
      <c r="H162" s="362"/>
      <c r="I162" s="362"/>
      <c r="J162" s="362"/>
      <c r="K162" s="362"/>
      <c r="L162" s="362"/>
      <c r="M162" s="362"/>
      <c r="N162" s="362"/>
      <c r="O162" s="362"/>
    </row>
    <row r="163" spans="1:15" ht="15.75" customHeight="1">
      <c r="A163" s="362"/>
      <c r="B163" s="362"/>
      <c r="C163" s="362"/>
      <c r="D163" s="362"/>
      <c r="E163" s="362"/>
      <c r="F163" s="362"/>
      <c r="G163" s="362"/>
      <c r="H163" s="362"/>
      <c r="I163" s="362"/>
      <c r="J163" s="362"/>
      <c r="K163" s="362"/>
      <c r="L163" s="362"/>
      <c r="M163" s="362"/>
      <c r="N163" s="362"/>
      <c r="O163" s="362"/>
    </row>
    <row r="164" spans="1:15" ht="15.75" customHeight="1">
      <c r="A164" s="362"/>
      <c r="B164" s="362"/>
      <c r="C164" s="362"/>
      <c r="D164" s="362"/>
      <c r="E164" s="362"/>
      <c r="F164" s="362"/>
      <c r="G164" s="362"/>
      <c r="H164" s="362"/>
      <c r="I164" s="362"/>
      <c r="J164" s="362"/>
      <c r="K164" s="362"/>
      <c r="L164" s="362"/>
      <c r="M164" s="362"/>
      <c r="N164" s="362"/>
      <c r="O164" s="362"/>
    </row>
    <row r="165" spans="1:15" ht="15.75" customHeight="1">
      <c r="A165" s="362"/>
      <c r="B165" s="362"/>
      <c r="C165" s="362"/>
      <c r="D165" s="362"/>
      <c r="E165" s="362"/>
      <c r="F165" s="362"/>
      <c r="G165" s="362"/>
      <c r="H165" s="362"/>
      <c r="I165" s="362"/>
      <c r="J165" s="362"/>
      <c r="K165" s="362"/>
      <c r="L165" s="362"/>
      <c r="M165" s="362"/>
      <c r="N165" s="362"/>
      <c r="O165" s="362"/>
    </row>
    <row r="166" spans="1:15" ht="15.75" customHeight="1">
      <c r="A166" s="362"/>
      <c r="B166" s="362"/>
      <c r="C166" s="362"/>
      <c r="D166" s="362"/>
      <c r="E166" s="362"/>
      <c r="F166" s="362"/>
      <c r="G166" s="362"/>
      <c r="H166" s="362"/>
      <c r="I166" s="362"/>
      <c r="J166" s="362"/>
      <c r="K166" s="362"/>
      <c r="L166" s="362"/>
      <c r="M166" s="362"/>
      <c r="N166" s="362"/>
      <c r="O166" s="362"/>
    </row>
    <row r="167" spans="1:15" ht="15.75" customHeight="1">
      <c r="A167" s="362"/>
      <c r="B167" s="362"/>
      <c r="C167" s="362"/>
      <c r="D167" s="362"/>
      <c r="E167" s="362"/>
      <c r="F167" s="362"/>
      <c r="G167" s="362"/>
      <c r="H167" s="362"/>
      <c r="I167" s="362"/>
      <c r="J167" s="362"/>
      <c r="K167" s="362"/>
      <c r="L167" s="362"/>
      <c r="M167" s="362"/>
      <c r="N167" s="362"/>
      <c r="O167" s="362"/>
    </row>
    <row r="168" spans="1:15" ht="15.75" customHeight="1">
      <c r="A168" s="362"/>
      <c r="B168" s="362"/>
      <c r="C168" s="362"/>
      <c r="D168" s="362"/>
      <c r="E168" s="362"/>
      <c r="F168" s="362"/>
      <c r="G168" s="362"/>
      <c r="H168" s="362"/>
      <c r="I168" s="362"/>
      <c r="J168" s="362"/>
      <c r="K168" s="362"/>
      <c r="L168" s="362"/>
      <c r="M168" s="362"/>
      <c r="N168" s="362"/>
      <c r="O168" s="362"/>
    </row>
    <row r="169" spans="1:15" ht="15.75" customHeight="1">
      <c r="A169" s="362"/>
      <c r="B169" s="362"/>
      <c r="C169" s="362"/>
      <c r="D169" s="362"/>
      <c r="E169" s="362"/>
      <c r="F169" s="362"/>
      <c r="G169" s="362"/>
      <c r="H169" s="362"/>
      <c r="I169" s="362"/>
      <c r="J169" s="362"/>
      <c r="K169" s="362"/>
      <c r="L169" s="362"/>
      <c r="M169" s="362"/>
      <c r="N169" s="362"/>
      <c r="O169" s="362"/>
    </row>
    <row r="170" spans="1:15" ht="15.75" customHeight="1">
      <c r="A170" s="362"/>
      <c r="B170" s="362"/>
      <c r="C170" s="362"/>
      <c r="D170" s="362"/>
      <c r="E170" s="362"/>
      <c r="F170" s="362"/>
      <c r="G170" s="362"/>
      <c r="H170" s="362"/>
      <c r="I170" s="362"/>
      <c r="J170" s="362"/>
      <c r="K170" s="362"/>
      <c r="L170" s="362"/>
      <c r="M170" s="362"/>
      <c r="N170" s="362"/>
      <c r="O170" s="362"/>
    </row>
    <row r="171" spans="1:15" ht="15.75" customHeight="1">
      <c r="A171" s="362"/>
      <c r="B171" s="362"/>
      <c r="C171" s="362"/>
      <c r="D171" s="362"/>
      <c r="E171" s="362"/>
      <c r="F171" s="362"/>
      <c r="G171" s="362"/>
      <c r="H171" s="362"/>
      <c r="I171" s="362"/>
      <c r="J171" s="362"/>
      <c r="K171" s="362"/>
      <c r="L171" s="362"/>
      <c r="M171" s="362"/>
      <c r="N171" s="362"/>
      <c r="O171" s="362"/>
    </row>
    <row r="172" spans="1:15" ht="15.75" customHeight="1">
      <c r="A172" s="362"/>
      <c r="B172" s="362"/>
      <c r="C172" s="362"/>
      <c r="D172" s="362"/>
      <c r="E172" s="362"/>
      <c r="F172" s="362"/>
      <c r="G172" s="362"/>
      <c r="H172" s="362"/>
      <c r="I172" s="362"/>
      <c r="J172" s="362"/>
      <c r="K172" s="362"/>
      <c r="L172" s="362"/>
      <c r="M172" s="362"/>
      <c r="N172" s="362"/>
      <c r="O172" s="362"/>
    </row>
    <row r="173" spans="1:15" ht="15.75" customHeight="1">
      <c r="A173" s="362"/>
      <c r="B173" s="362"/>
      <c r="C173" s="362"/>
      <c r="D173" s="362"/>
      <c r="E173" s="362"/>
      <c r="F173" s="362"/>
      <c r="G173" s="362"/>
      <c r="H173" s="362"/>
      <c r="I173" s="362"/>
      <c r="J173" s="362"/>
      <c r="K173" s="362"/>
      <c r="L173" s="362"/>
      <c r="M173" s="362"/>
      <c r="N173" s="362"/>
      <c r="O173" s="362"/>
    </row>
    <row r="174" spans="1:15" ht="15.75" customHeight="1">
      <c r="A174" s="362"/>
      <c r="B174" s="362"/>
      <c r="C174" s="362"/>
      <c r="D174" s="362"/>
      <c r="E174" s="362"/>
      <c r="F174" s="362"/>
      <c r="G174" s="362"/>
      <c r="H174" s="362"/>
      <c r="I174" s="362"/>
      <c r="J174" s="362"/>
      <c r="K174" s="362"/>
      <c r="L174" s="362"/>
      <c r="M174" s="362"/>
      <c r="N174" s="362"/>
      <c r="O174" s="362"/>
    </row>
    <row r="175" spans="1:15" ht="15.75" customHeight="1">
      <c r="A175" s="362"/>
      <c r="B175" s="362"/>
      <c r="C175" s="362"/>
      <c r="D175" s="362"/>
      <c r="E175" s="362"/>
      <c r="F175" s="362"/>
      <c r="G175" s="362"/>
      <c r="H175" s="362"/>
      <c r="I175" s="362"/>
      <c r="J175" s="362"/>
      <c r="K175" s="362"/>
      <c r="L175" s="362"/>
      <c r="M175" s="362"/>
      <c r="N175" s="362"/>
      <c r="O175" s="362"/>
    </row>
    <row r="176" spans="1:15" ht="15.75" customHeight="1">
      <c r="A176" s="362"/>
      <c r="B176" s="362"/>
      <c r="C176" s="362"/>
      <c r="D176" s="362"/>
      <c r="E176" s="362"/>
      <c r="F176" s="362"/>
      <c r="G176" s="362"/>
      <c r="H176" s="362"/>
      <c r="I176" s="362"/>
      <c r="J176" s="362"/>
      <c r="K176" s="362"/>
      <c r="L176" s="362"/>
      <c r="M176" s="362"/>
      <c r="N176" s="362"/>
      <c r="O176" s="362"/>
    </row>
    <row r="177" spans="1:15" ht="15.75" customHeight="1">
      <c r="A177" s="362"/>
      <c r="B177" s="362"/>
      <c r="C177" s="362"/>
      <c r="D177" s="362"/>
      <c r="E177" s="362"/>
      <c r="F177" s="362"/>
      <c r="G177" s="362"/>
      <c r="H177" s="362"/>
      <c r="I177" s="362"/>
      <c r="J177" s="362"/>
      <c r="K177" s="362"/>
      <c r="L177" s="362"/>
      <c r="M177" s="362"/>
      <c r="N177" s="362"/>
      <c r="O177" s="362"/>
    </row>
    <row r="178" spans="1:15" ht="15.75" customHeight="1">
      <c r="A178" s="362"/>
      <c r="B178" s="362"/>
      <c r="C178" s="362"/>
      <c r="D178" s="362"/>
      <c r="E178" s="362"/>
      <c r="F178" s="362"/>
      <c r="G178" s="362"/>
      <c r="H178" s="362"/>
      <c r="I178" s="362"/>
      <c r="J178" s="362"/>
      <c r="K178" s="362"/>
      <c r="L178" s="362"/>
      <c r="M178" s="362"/>
      <c r="N178" s="362"/>
      <c r="O178" s="362"/>
    </row>
    <row r="179" spans="1:15" ht="15.75" customHeight="1">
      <c r="A179" s="362"/>
      <c r="B179" s="362"/>
      <c r="C179" s="362"/>
      <c r="D179" s="362"/>
      <c r="E179" s="362"/>
      <c r="F179" s="362"/>
      <c r="G179" s="362"/>
      <c r="H179" s="362"/>
      <c r="I179" s="362"/>
      <c r="J179" s="362"/>
      <c r="K179" s="362"/>
      <c r="L179" s="362"/>
      <c r="M179" s="362"/>
      <c r="N179" s="362"/>
      <c r="O179" s="362"/>
    </row>
    <row r="180" spans="1:15" ht="15.75" customHeight="1">
      <c r="A180" s="362"/>
      <c r="B180" s="362"/>
      <c r="C180" s="362"/>
      <c r="D180" s="362"/>
      <c r="E180" s="362"/>
      <c r="F180" s="362"/>
      <c r="G180" s="362"/>
      <c r="H180" s="362"/>
      <c r="I180" s="362"/>
      <c r="J180" s="362"/>
      <c r="K180" s="362"/>
      <c r="L180" s="362"/>
      <c r="M180" s="362"/>
      <c r="N180" s="362"/>
      <c r="O180" s="362"/>
    </row>
    <row r="181" spans="1:15" ht="15.75" customHeight="1">
      <c r="A181" s="362"/>
      <c r="B181" s="362"/>
      <c r="C181" s="362"/>
      <c r="D181" s="362"/>
      <c r="E181" s="362"/>
      <c r="F181" s="362"/>
      <c r="G181" s="362"/>
      <c r="H181" s="362"/>
      <c r="I181" s="362"/>
      <c r="J181" s="362"/>
      <c r="K181" s="362"/>
      <c r="L181" s="362"/>
      <c r="M181" s="362"/>
      <c r="N181" s="362"/>
      <c r="O181" s="362"/>
    </row>
    <row r="182" spans="1:15" ht="15.75" customHeight="1">
      <c r="A182" s="362"/>
      <c r="B182" s="362"/>
      <c r="C182" s="362"/>
      <c r="D182" s="362"/>
      <c r="E182" s="362"/>
      <c r="F182" s="362"/>
      <c r="G182" s="362"/>
      <c r="H182" s="362"/>
      <c r="I182" s="362"/>
      <c r="J182" s="362"/>
      <c r="K182" s="362"/>
      <c r="L182" s="362"/>
      <c r="M182" s="362"/>
      <c r="N182" s="362"/>
      <c r="O182" s="362"/>
    </row>
    <row r="183" spans="1:15" ht="15.75" customHeight="1">
      <c r="A183" s="362"/>
      <c r="B183" s="362"/>
      <c r="C183" s="362"/>
      <c r="D183" s="362"/>
      <c r="E183" s="362"/>
      <c r="F183" s="362"/>
      <c r="G183" s="362"/>
      <c r="H183" s="362"/>
      <c r="I183" s="362"/>
      <c r="J183" s="362"/>
      <c r="K183" s="362"/>
      <c r="L183" s="362"/>
      <c r="M183" s="362"/>
      <c r="N183" s="362"/>
      <c r="O183" s="362"/>
    </row>
    <row r="184" spans="1:15" ht="15.75" customHeight="1">
      <c r="A184" s="362"/>
      <c r="B184" s="362"/>
      <c r="C184" s="362"/>
      <c r="D184" s="362"/>
      <c r="E184" s="362"/>
      <c r="F184" s="362"/>
      <c r="G184" s="362"/>
      <c r="H184" s="362"/>
      <c r="I184" s="362"/>
      <c r="J184" s="362"/>
      <c r="K184" s="362"/>
      <c r="L184" s="362"/>
      <c r="M184" s="362"/>
      <c r="N184" s="362"/>
      <c r="O184" s="362"/>
    </row>
    <row r="185" spans="1:15" ht="15.75" customHeight="1">
      <c r="A185" s="362"/>
      <c r="B185" s="362"/>
      <c r="C185" s="362"/>
      <c r="D185" s="362"/>
      <c r="E185" s="362"/>
      <c r="F185" s="362"/>
      <c r="G185" s="362"/>
      <c r="H185" s="362"/>
      <c r="I185" s="362"/>
      <c r="J185" s="362"/>
      <c r="K185" s="362"/>
      <c r="L185" s="362"/>
      <c r="M185" s="362"/>
      <c r="N185" s="362"/>
      <c r="O185" s="362"/>
    </row>
    <row r="186" spans="1:15" ht="15.75" customHeight="1">
      <c r="A186" s="362"/>
      <c r="B186" s="362"/>
      <c r="C186" s="362"/>
      <c r="D186" s="362"/>
      <c r="E186" s="362"/>
      <c r="F186" s="362"/>
      <c r="G186" s="362"/>
      <c r="H186" s="362"/>
      <c r="I186" s="362"/>
      <c r="J186" s="362"/>
      <c r="K186" s="362"/>
      <c r="L186" s="362"/>
      <c r="M186" s="362"/>
      <c r="N186" s="362"/>
      <c r="O186" s="362"/>
    </row>
    <row r="187" spans="1:15" ht="15.75" customHeight="1">
      <c r="A187" s="362"/>
      <c r="B187" s="362"/>
      <c r="C187" s="362"/>
      <c r="D187" s="362"/>
      <c r="E187" s="362"/>
      <c r="F187" s="362"/>
      <c r="G187" s="362"/>
      <c r="H187" s="362"/>
      <c r="I187" s="362"/>
      <c r="J187" s="362"/>
      <c r="K187" s="362"/>
      <c r="L187" s="362"/>
      <c r="M187" s="362"/>
      <c r="N187" s="362"/>
      <c r="O187" s="362"/>
    </row>
    <row r="188" spans="1:15" ht="15.75" customHeight="1">
      <c r="A188" s="362"/>
      <c r="B188" s="362"/>
      <c r="C188" s="362"/>
      <c r="D188" s="362"/>
      <c r="E188" s="362"/>
      <c r="F188" s="362"/>
      <c r="G188" s="362"/>
      <c r="H188" s="362"/>
      <c r="I188" s="362"/>
      <c r="J188" s="362"/>
      <c r="K188" s="362"/>
      <c r="L188" s="362"/>
      <c r="M188" s="362"/>
      <c r="N188" s="362"/>
      <c r="O188" s="362"/>
    </row>
    <row r="189" spans="1:15" ht="15.75" customHeight="1">
      <c r="A189" s="362"/>
      <c r="B189" s="362"/>
      <c r="C189" s="362"/>
      <c r="D189" s="362"/>
      <c r="E189" s="362"/>
      <c r="F189" s="362"/>
      <c r="G189" s="362"/>
      <c r="H189" s="362"/>
      <c r="I189" s="362"/>
      <c r="J189" s="362"/>
      <c r="K189" s="362"/>
      <c r="L189" s="362"/>
      <c r="M189" s="362"/>
      <c r="N189" s="362"/>
      <c r="O189" s="362"/>
    </row>
    <row r="190" spans="1:15" ht="15.75" customHeight="1">
      <c r="A190" s="362"/>
      <c r="B190" s="362"/>
      <c r="C190" s="362"/>
      <c r="D190" s="362"/>
      <c r="E190" s="362"/>
      <c r="F190" s="362"/>
      <c r="G190" s="362"/>
      <c r="H190" s="362"/>
      <c r="I190" s="362"/>
      <c r="J190" s="362"/>
      <c r="K190" s="362"/>
      <c r="L190" s="362"/>
      <c r="M190" s="362"/>
      <c r="N190" s="362"/>
      <c r="O190" s="362"/>
    </row>
    <row r="191" spans="1:15" ht="15.75" customHeight="1">
      <c r="A191" s="362"/>
      <c r="B191" s="362"/>
      <c r="C191" s="362"/>
      <c r="D191" s="362"/>
      <c r="E191" s="362"/>
      <c r="F191" s="362"/>
      <c r="G191" s="362"/>
      <c r="H191" s="362"/>
      <c r="I191" s="362"/>
      <c r="J191" s="362"/>
      <c r="K191" s="362"/>
      <c r="L191" s="362"/>
      <c r="M191" s="362"/>
      <c r="N191" s="362"/>
      <c r="O191" s="362"/>
    </row>
    <row r="192" spans="1:15" ht="15.75" customHeight="1">
      <c r="A192" s="362"/>
      <c r="B192" s="362"/>
      <c r="C192" s="362"/>
      <c r="D192" s="362"/>
      <c r="E192" s="362"/>
      <c r="F192" s="362"/>
      <c r="G192" s="362"/>
      <c r="H192" s="362"/>
      <c r="I192" s="362"/>
      <c r="J192" s="362"/>
      <c r="K192" s="362"/>
      <c r="L192" s="362"/>
      <c r="M192" s="362"/>
      <c r="N192" s="362"/>
      <c r="O192" s="362"/>
    </row>
    <row r="193" spans="1:15" ht="15.75" customHeight="1">
      <c r="A193" s="362"/>
      <c r="B193" s="362"/>
      <c r="C193" s="362"/>
      <c r="D193" s="362"/>
      <c r="E193" s="362"/>
      <c r="F193" s="362"/>
      <c r="G193" s="362"/>
      <c r="H193" s="362"/>
      <c r="I193" s="362"/>
      <c r="J193" s="362"/>
      <c r="K193" s="362"/>
      <c r="L193" s="362"/>
      <c r="M193" s="362"/>
      <c r="N193" s="362"/>
      <c r="O193" s="362"/>
    </row>
    <row r="194" spans="1:15" ht="15.75" customHeight="1">
      <c r="A194" s="362"/>
      <c r="B194" s="362"/>
      <c r="C194" s="362"/>
      <c r="D194" s="362"/>
      <c r="E194" s="362"/>
      <c r="F194" s="362"/>
      <c r="G194" s="362"/>
      <c r="H194" s="362"/>
      <c r="I194" s="362"/>
      <c r="J194" s="362"/>
      <c r="K194" s="362"/>
      <c r="L194" s="362"/>
      <c r="M194" s="362"/>
      <c r="N194" s="362"/>
      <c r="O194" s="362"/>
    </row>
    <row r="195" spans="1:15" ht="15.75" customHeight="1">
      <c r="A195" s="362"/>
      <c r="B195" s="362"/>
      <c r="C195" s="362"/>
      <c r="D195" s="362"/>
      <c r="E195" s="362"/>
      <c r="F195" s="362"/>
      <c r="G195" s="362"/>
      <c r="H195" s="362"/>
      <c r="I195" s="362"/>
      <c r="J195" s="362"/>
      <c r="K195" s="362"/>
      <c r="L195" s="362"/>
      <c r="M195" s="362"/>
      <c r="N195" s="362"/>
      <c r="O195" s="362"/>
    </row>
    <row r="196" spans="1:15" ht="15.75" customHeight="1">
      <c r="A196" s="362"/>
      <c r="B196" s="362"/>
      <c r="C196" s="362"/>
      <c r="D196" s="362"/>
      <c r="E196" s="362"/>
      <c r="F196" s="362"/>
      <c r="G196" s="362"/>
      <c r="H196" s="362"/>
      <c r="I196" s="362"/>
      <c r="J196" s="362"/>
      <c r="K196" s="362"/>
      <c r="L196" s="362"/>
      <c r="M196" s="362"/>
      <c r="N196" s="362"/>
      <c r="O196" s="362"/>
    </row>
    <row r="197" spans="1:15" ht="15.75" customHeight="1">
      <c r="A197" s="362"/>
      <c r="B197" s="362"/>
      <c r="C197" s="362"/>
      <c r="D197" s="362"/>
      <c r="E197" s="362"/>
      <c r="F197" s="362"/>
      <c r="G197" s="362"/>
      <c r="H197" s="362"/>
      <c r="I197" s="362"/>
      <c r="J197" s="362"/>
      <c r="K197" s="362"/>
      <c r="L197" s="362"/>
      <c r="M197" s="362"/>
      <c r="N197" s="362"/>
      <c r="O197" s="362"/>
    </row>
    <row r="198" spans="1:15" ht="15.75" customHeight="1">
      <c r="A198" s="362"/>
      <c r="B198" s="362"/>
      <c r="C198" s="362"/>
      <c r="D198" s="362"/>
      <c r="E198" s="362"/>
      <c r="F198" s="362"/>
      <c r="G198" s="362"/>
      <c r="H198" s="362"/>
      <c r="I198" s="362"/>
      <c r="J198" s="362"/>
      <c r="K198" s="362"/>
      <c r="L198" s="362"/>
      <c r="M198" s="362"/>
      <c r="N198" s="362"/>
      <c r="O198" s="362"/>
    </row>
    <row r="199" spans="1:15" ht="15.75" customHeight="1">
      <c r="A199" s="362"/>
      <c r="B199" s="362"/>
      <c r="C199" s="362"/>
      <c r="D199" s="362"/>
      <c r="E199" s="362"/>
      <c r="F199" s="362"/>
      <c r="G199" s="362"/>
      <c r="H199" s="362"/>
      <c r="I199" s="362"/>
      <c r="J199" s="362"/>
      <c r="K199" s="362"/>
      <c r="L199" s="362"/>
      <c r="M199" s="362"/>
      <c r="N199" s="362"/>
      <c r="O199" s="362"/>
    </row>
    <row r="200" spans="1:15" ht="15.75" customHeight="1">
      <c r="A200" s="362"/>
      <c r="B200" s="362"/>
      <c r="C200" s="362"/>
      <c r="D200" s="362"/>
      <c r="E200" s="362"/>
      <c r="F200" s="362"/>
      <c r="G200" s="362"/>
      <c r="H200" s="362"/>
      <c r="I200" s="362"/>
      <c r="J200" s="362"/>
      <c r="K200" s="362"/>
      <c r="L200" s="362"/>
      <c r="M200" s="362"/>
      <c r="N200" s="362"/>
      <c r="O200" s="362"/>
    </row>
    <row r="201" spans="1:15" ht="15.75" customHeight="1">
      <c r="A201" s="362"/>
      <c r="B201" s="362"/>
      <c r="C201" s="362"/>
      <c r="D201" s="362"/>
      <c r="E201" s="362"/>
      <c r="F201" s="362"/>
      <c r="G201" s="362"/>
      <c r="H201" s="362"/>
      <c r="I201" s="362"/>
      <c r="J201" s="362"/>
      <c r="K201" s="362"/>
      <c r="L201" s="362"/>
      <c r="M201" s="362"/>
      <c r="N201" s="362"/>
      <c r="O201" s="362"/>
    </row>
    <row r="202" spans="1:15" ht="15.75" customHeight="1">
      <c r="A202" s="362"/>
      <c r="B202" s="362"/>
      <c r="C202" s="362"/>
      <c r="D202" s="362"/>
      <c r="E202" s="362"/>
      <c r="F202" s="362"/>
      <c r="G202" s="362"/>
      <c r="H202" s="362"/>
      <c r="I202" s="362"/>
      <c r="J202" s="362"/>
      <c r="K202" s="362"/>
      <c r="L202" s="362"/>
      <c r="M202" s="362"/>
      <c r="N202" s="362"/>
      <c r="O202" s="362"/>
    </row>
    <row r="203" spans="1:15" ht="15.75" customHeight="1">
      <c r="A203" s="362"/>
      <c r="B203" s="362"/>
      <c r="C203" s="362"/>
      <c r="D203" s="362"/>
      <c r="E203" s="362"/>
      <c r="F203" s="362"/>
      <c r="G203" s="362"/>
      <c r="H203" s="362"/>
      <c r="I203" s="362"/>
      <c r="J203" s="362"/>
      <c r="K203" s="362"/>
      <c r="L203" s="362"/>
      <c r="M203" s="362"/>
      <c r="N203" s="362"/>
      <c r="O203" s="362"/>
    </row>
    <row r="204" spans="1:15" ht="15.75" customHeight="1">
      <c r="A204" s="362"/>
      <c r="B204" s="362"/>
      <c r="C204" s="362"/>
      <c r="D204" s="362"/>
      <c r="E204" s="362"/>
      <c r="F204" s="362"/>
      <c r="G204" s="362"/>
      <c r="H204" s="362"/>
      <c r="I204" s="362"/>
      <c r="J204" s="362"/>
      <c r="K204" s="362"/>
      <c r="L204" s="362"/>
      <c r="M204" s="362"/>
      <c r="N204" s="362"/>
      <c r="O204" s="362"/>
    </row>
    <row r="205" spans="1:15" ht="15.75" customHeight="1">
      <c r="A205" s="362"/>
      <c r="B205" s="362"/>
      <c r="C205" s="362"/>
      <c r="D205" s="362"/>
      <c r="E205" s="362"/>
      <c r="F205" s="362"/>
      <c r="G205" s="362"/>
      <c r="H205" s="362"/>
      <c r="I205" s="362"/>
      <c r="J205" s="362"/>
      <c r="K205" s="362"/>
      <c r="L205" s="362"/>
      <c r="M205" s="362"/>
      <c r="N205" s="362"/>
      <c r="O205" s="362"/>
    </row>
    <row r="206" spans="1:15" ht="15.75" customHeight="1">
      <c r="A206" s="362"/>
      <c r="B206" s="362"/>
      <c r="C206" s="362"/>
      <c r="D206" s="362"/>
      <c r="E206" s="362"/>
      <c r="F206" s="362"/>
      <c r="G206" s="362"/>
      <c r="H206" s="362"/>
      <c r="I206" s="362"/>
      <c r="J206" s="362"/>
      <c r="K206" s="362"/>
      <c r="L206" s="362"/>
      <c r="M206" s="362"/>
      <c r="N206" s="362"/>
      <c r="O206" s="362"/>
    </row>
    <row r="207" spans="1:15" ht="15.75" customHeight="1">
      <c r="A207" s="362"/>
      <c r="B207" s="362"/>
      <c r="C207" s="362"/>
      <c r="D207" s="362"/>
      <c r="E207" s="362"/>
      <c r="F207" s="362"/>
      <c r="G207" s="362"/>
      <c r="H207" s="362"/>
      <c r="I207" s="362"/>
      <c r="J207" s="362"/>
      <c r="K207" s="362"/>
      <c r="L207" s="362"/>
      <c r="M207" s="362"/>
      <c r="N207" s="362"/>
      <c r="O207" s="362"/>
    </row>
    <row r="208" spans="1:15" ht="15.75" customHeight="1">
      <c r="A208" s="362"/>
      <c r="B208" s="362"/>
      <c r="C208" s="362"/>
      <c r="D208" s="362"/>
      <c r="E208" s="362"/>
      <c r="F208" s="362"/>
      <c r="G208" s="362"/>
      <c r="H208" s="362"/>
      <c r="I208" s="362"/>
      <c r="J208" s="362"/>
      <c r="K208" s="362"/>
      <c r="L208" s="362"/>
      <c r="M208" s="362"/>
      <c r="N208" s="362"/>
      <c r="O208" s="362"/>
    </row>
    <row r="209" spans="1:15" ht="15.75" customHeight="1">
      <c r="A209" s="362"/>
      <c r="B209" s="362"/>
      <c r="C209" s="362"/>
      <c r="D209" s="362"/>
      <c r="E209" s="362"/>
      <c r="F209" s="362"/>
      <c r="G209" s="362"/>
      <c r="H209" s="362"/>
      <c r="I209" s="362"/>
      <c r="J209" s="362"/>
      <c r="K209" s="362"/>
      <c r="L209" s="362"/>
      <c r="M209" s="362"/>
      <c r="N209" s="362"/>
      <c r="O209" s="362"/>
    </row>
    <row r="210" spans="1:15" ht="15.75" customHeight="1">
      <c r="A210" s="362"/>
      <c r="B210" s="362"/>
      <c r="C210" s="362"/>
      <c r="D210" s="362"/>
      <c r="E210" s="362"/>
      <c r="F210" s="362"/>
      <c r="G210" s="362"/>
      <c r="H210" s="362"/>
      <c r="I210" s="362"/>
      <c r="J210" s="362"/>
      <c r="K210" s="362"/>
      <c r="L210" s="362"/>
      <c r="M210" s="362"/>
      <c r="N210" s="362"/>
      <c r="O210" s="362"/>
    </row>
    <row r="211" spans="1:15" ht="15.75" customHeight="1">
      <c r="A211" s="362"/>
      <c r="B211" s="362"/>
      <c r="C211" s="362"/>
      <c r="D211" s="362"/>
      <c r="E211" s="362"/>
      <c r="F211" s="362"/>
      <c r="G211" s="362"/>
      <c r="H211" s="362"/>
      <c r="I211" s="362"/>
      <c r="J211" s="362"/>
      <c r="K211" s="362"/>
      <c r="L211" s="362"/>
      <c r="M211" s="362"/>
      <c r="N211" s="362"/>
      <c r="O211" s="362"/>
    </row>
    <row r="212" spans="1:15" ht="15.75" customHeight="1">
      <c r="A212" s="362"/>
      <c r="B212" s="362"/>
      <c r="C212" s="362"/>
      <c r="D212" s="362"/>
      <c r="E212" s="362"/>
      <c r="F212" s="362"/>
      <c r="G212" s="362"/>
      <c r="H212" s="362"/>
      <c r="I212" s="362"/>
      <c r="J212" s="362"/>
      <c r="K212" s="362"/>
      <c r="L212" s="362"/>
      <c r="M212" s="362"/>
      <c r="N212" s="362"/>
      <c r="O212" s="362"/>
    </row>
    <row r="213" spans="1:15" ht="15.75" customHeight="1">
      <c r="A213" s="362"/>
      <c r="B213" s="362"/>
      <c r="C213" s="362"/>
      <c r="D213" s="362"/>
      <c r="E213" s="362"/>
      <c r="F213" s="362"/>
      <c r="G213" s="362"/>
      <c r="H213" s="362"/>
      <c r="I213" s="362"/>
      <c r="J213" s="362"/>
      <c r="K213" s="362"/>
      <c r="L213" s="362"/>
      <c r="M213" s="362"/>
      <c r="N213" s="362"/>
      <c r="O213" s="362"/>
    </row>
    <row r="214" spans="1:15" ht="15.75" customHeight="1">
      <c r="A214" s="362"/>
      <c r="B214" s="362"/>
      <c r="C214" s="362"/>
      <c r="D214" s="362"/>
      <c r="E214" s="362"/>
      <c r="F214" s="362"/>
      <c r="G214" s="362"/>
      <c r="H214" s="362"/>
      <c r="I214" s="362"/>
      <c r="J214" s="362"/>
      <c r="K214" s="362"/>
      <c r="L214" s="362"/>
      <c r="M214" s="362"/>
      <c r="N214" s="362"/>
      <c r="O214" s="362"/>
    </row>
    <row r="215" spans="1:15" ht="15.75" customHeight="1">
      <c r="A215" s="362"/>
      <c r="B215" s="362"/>
      <c r="C215" s="362"/>
      <c r="D215" s="362"/>
      <c r="E215" s="362"/>
      <c r="F215" s="362"/>
      <c r="G215" s="362"/>
      <c r="H215" s="362"/>
      <c r="I215" s="362"/>
      <c r="J215" s="362"/>
      <c r="K215" s="362"/>
      <c r="L215" s="362"/>
      <c r="M215" s="362"/>
      <c r="N215" s="362"/>
      <c r="O215" s="362"/>
    </row>
    <row r="216" spans="1:15" ht="15.75" customHeight="1">
      <c r="A216" s="362"/>
      <c r="B216" s="362"/>
      <c r="C216" s="362"/>
      <c r="D216" s="362"/>
      <c r="E216" s="362"/>
      <c r="F216" s="362"/>
      <c r="G216" s="362"/>
      <c r="H216" s="362"/>
      <c r="I216" s="362"/>
      <c r="J216" s="362"/>
      <c r="K216" s="362"/>
      <c r="L216" s="362"/>
      <c r="M216" s="362"/>
      <c r="N216" s="362"/>
      <c r="O216" s="362"/>
    </row>
    <row r="217" spans="1:15" ht="15.75" customHeight="1">
      <c r="A217" s="362"/>
      <c r="B217" s="362"/>
      <c r="C217" s="362"/>
      <c r="D217" s="362"/>
      <c r="E217" s="362"/>
      <c r="F217" s="362"/>
      <c r="G217" s="362"/>
      <c r="H217" s="362"/>
      <c r="I217" s="362"/>
      <c r="J217" s="362"/>
      <c r="K217" s="362"/>
      <c r="L217" s="362"/>
      <c r="M217" s="362"/>
      <c r="N217" s="362"/>
      <c r="O217" s="362"/>
    </row>
    <row r="218" spans="1:15" ht="15.75" customHeight="1">
      <c r="A218" s="362"/>
      <c r="B218" s="362"/>
      <c r="C218" s="362"/>
      <c r="D218" s="362"/>
      <c r="E218" s="362"/>
      <c r="F218" s="362"/>
      <c r="G218" s="362"/>
      <c r="H218" s="362"/>
      <c r="I218" s="362"/>
      <c r="J218" s="362"/>
      <c r="K218" s="362"/>
      <c r="L218" s="362"/>
      <c r="M218" s="362"/>
      <c r="N218" s="362"/>
      <c r="O218" s="362"/>
    </row>
    <row r="219" spans="1:15" ht="15.75" customHeight="1">
      <c r="A219" s="362"/>
      <c r="B219" s="362"/>
      <c r="C219" s="362"/>
      <c r="D219" s="362"/>
      <c r="E219" s="362"/>
      <c r="F219" s="362"/>
      <c r="G219" s="362"/>
      <c r="H219" s="362"/>
      <c r="I219" s="362"/>
      <c r="J219" s="362"/>
      <c r="K219" s="362"/>
      <c r="L219" s="362"/>
      <c r="M219" s="362"/>
      <c r="N219" s="362"/>
      <c r="O219" s="362"/>
    </row>
    <row r="220" spans="1:15" ht="15.75" customHeight="1">
      <c r="A220" s="362"/>
      <c r="B220" s="362"/>
      <c r="C220" s="362"/>
      <c r="D220" s="362"/>
      <c r="E220" s="362"/>
      <c r="F220" s="362"/>
      <c r="G220" s="362"/>
      <c r="H220" s="362"/>
      <c r="I220" s="362"/>
      <c r="J220" s="362"/>
      <c r="K220" s="362"/>
      <c r="L220" s="362"/>
      <c r="M220" s="362"/>
      <c r="N220" s="362"/>
      <c r="O220" s="362"/>
    </row>
    <row r="221" spans="1:15" ht="15.75" customHeight="1">
      <c r="A221" s="362"/>
      <c r="B221" s="362"/>
      <c r="C221" s="362"/>
      <c r="D221" s="362"/>
      <c r="E221" s="362"/>
      <c r="F221" s="362"/>
      <c r="G221" s="362"/>
      <c r="H221" s="362"/>
      <c r="I221" s="362"/>
      <c r="J221" s="362"/>
      <c r="K221" s="362"/>
      <c r="L221" s="362"/>
      <c r="M221" s="362"/>
      <c r="N221" s="362"/>
      <c r="O221" s="362"/>
    </row>
    <row r="222" spans="1:15" ht="15.75" customHeight="1">
      <c r="A222" s="362"/>
      <c r="B222" s="362"/>
      <c r="C222" s="362"/>
      <c r="D222" s="362"/>
      <c r="E222" s="362"/>
      <c r="F222" s="362"/>
      <c r="G222" s="362"/>
      <c r="H222" s="362"/>
      <c r="I222" s="362"/>
      <c r="J222" s="362"/>
      <c r="K222" s="362"/>
      <c r="L222" s="362"/>
      <c r="M222" s="362"/>
      <c r="N222" s="362"/>
      <c r="O222" s="362"/>
    </row>
    <row r="223" spans="1:15" ht="15.75" customHeight="1">
      <c r="A223" s="362"/>
      <c r="B223" s="362"/>
      <c r="C223" s="362"/>
      <c r="D223" s="362"/>
      <c r="E223" s="362"/>
      <c r="F223" s="362"/>
      <c r="G223" s="362"/>
      <c r="H223" s="362"/>
      <c r="I223" s="362"/>
      <c r="J223" s="362"/>
      <c r="K223" s="362"/>
      <c r="L223" s="362"/>
      <c r="M223" s="362"/>
      <c r="N223" s="362"/>
      <c r="O223" s="362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44" priority="6" operator="greaterThan">
      <formula>0.35</formula>
    </cfRule>
    <cfRule type="cellIs" dxfId="43" priority="7" operator="lessThan">
      <formula>0.35</formula>
    </cfRule>
  </conditionalFormatting>
  <conditionalFormatting sqref="C14">
    <cfRule type="cellIs" dxfId="42" priority="8" operator="greaterThan">
      <formula>0.33</formula>
    </cfRule>
    <cfRule type="cellIs" dxfId="41" priority="9" operator="lessThanOrEqual">
      <formula>0.33</formula>
    </cfRule>
  </conditionalFormatting>
  <conditionalFormatting sqref="C17">
    <cfRule type="cellIs" dxfId="40" priority="10" operator="lessThan">
      <formula>0.1</formula>
    </cfRule>
    <cfRule type="cellIs" dxfId="39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>
    <tabColor rgb="FFFF0000"/>
    <outlinePr summaryBelow="0" summaryRight="0"/>
  </sheetPr>
  <dimension ref="A1:AJ1523"/>
  <sheetViews>
    <sheetView showGridLines="0" tabSelected="1" zoomScale="90" zoomScaleNormal="90" workbookViewId="0">
      <pane xSplit="3" ySplit="7" topLeftCell="L8" activePane="bottomRight" state="frozen"/>
      <selection pane="topRight" activeCell="D1" sqref="D1"/>
      <selection pane="bottomLeft" activeCell="A8" sqref="A8"/>
      <selection pane="bottomRight" activeCell="Q12" sqref="Q12"/>
    </sheetView>
  </sheetViews>
  <sheetFormatPr defaultColWidth="11.25" defaultRowHeight="15" customHeight="1" outlineLevelCol="1"/>
  <cols>
    <col min="1" max="1" width="2" customWidth="1"/>
    <col min="2" max="2" width="16" customWidth="1"/>
    <col min="3" max="3" width="9.75" customWidth="1"/>
    <col min="4" max="4" width="6.5" customWidth="1" outlineLevel="1"/>
    <col min="5" max="5" width="64.25" style="385" customWidth="1" outlineLevel="1"/>
    <col min="6" max="6" width="23.5" customWidth="1" outlineLevel="1"/>
    <col min="7" max="7" width="43.375" style="385" customWidth="1" outlineLevel="1"/>
    <col min="8" max="8" width="20.5" style="385" customWidth="1" outlineLevel="1"/>
    <col min="9" max="9" width="17.75" style="403" customWidth="1" outlineLevel="1"/>
    <col min="10" max="10" width="12.75" style="403" customWidth="1" outlineLevel="1"/>
    <col min="11" max="11" width="17.125" style="402" customWidth="1" outlineLevel="1"/>
    <col min="12" max="12" width="15.75" style="385" customWidth="1" outlineLevel="1"/>
    <col min="13" max="13" width="17.25" customWidth="1" outlineLevel="1"/>
    <col min="14" max="14" width="14.25" customWidth="1"/>
    <col min="15" max="15" width="17" customWidth="1"/>
    <col min="16" max="17" width="14" customWidth="1"/>
    <col min="18" max="18" width="15.75" customWidth="1"/>
    <col min="19" max="19" width="19.75" customWidth="1"/>
    <col min="20" max="20" width="2.25" customWidth="1"/>
    <col min="21" max="21" width="14.25" customWidth="1"/>
    <col min="22" max="22" width="10.75" customWidth="1"/>
    <col min="23" max="23" width="12.25" customWidth="1"/>
    <col min="24" max="24" width="14" customWidth="1"/>
    <col min="25" max="36" width="10" customWidth="1"/>
  </cols>
  <sheetData>
    <row r="1" spans="1:36" ht="6.75" customHeight="1">
      <c r="A1" s="33" t="s">
        <v>35</v>
      </c>
      <c r="B1" s="428"/>
      <c r="C1" s="34"/>
      <c r="D1" s="34"/>
      <c r="E1"/>
      <c r="F1" s="33"/>
      <c r="I1" s="434"/>
      <c r="J1" s="189"/>
      <c r="K1" s="35"/>
      <c r="L1" s="36"/>
      <c r="M1" s="37"/>
      <c r="N1" s="425"/>
      <c r="O1" s="38"/>
      <c r="P1" s="38"/>
      <c r="Q1" s="38"/>
      <c r="R1" s="36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spans="1:36" ht="14.25" customHeight="1" thickBot="1">
      <c r="A2" s="33"/>
      <c r="B2" s="80"/>
      <c r="E2"/>
      <c r="I2" s="435"/>
      <c r="J2" s="320"/>
      <c r="K2" s="321"/>
      <c r="L2" s="322" t="s">
        <v>36</v>
      </c>
      <c r="M2" s="319"/>
      <c r="N2" s="429" t="s">
        <v>199</v>
      </c>
      <c r="O2" s="430"/>
      <c r="P2" s="430"/>
      <c r="Q2" s="430"/>
      <c r="R2" s="36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 spans="1:36" ht="14.25" customHeight="1" thickBot="1">
      <c r="A3" s="33"/>
      <c r="B3" s="80"/>
      <c r="E3" s="577" t="s">
        <v>37</v>
      </c>
      <c r="F3" s="578"/>
      <c r="G3" s="39">
        <f ca="1">YEAR((TODAY()-31))</f>
        <v>2026</v>
      </c>
      <c r="H3" s="520" t="str">
        <f ca="1">TEXT(DATE(YEAR(TODAY()),MONTH(TODAY())-1,1),"mmmm")</f>
        <v>agosto</v>
      </c>
      <c r="I3" s="436" t="s">
        <v>38</v>
      </c>
      <c r="J3" s="316">
        <f ca="1">SUMIFS($J:$J,$O:$O,$H$3)</f>
        <v>7883.46</v>
      </c>
      <c r="K3" s="323">
        <f ca="1">SUMIFS(K:K,O:O,H3)</f>
        <v>0</v>
      </c>
      <c r="L3" s="317" t="str">
        <f ca="1">IF(M3=(SUMIFS('📈Det. Resultados'!$7:$7,'📈Det. Resultados'!$3:$3,H3,'📈Det. Resultados'!$2:$2,G3)),"OK","ERRO")</f>
        <v>ERRO</v>
      </c>
      <c r="M3" s="318">
        <f ca="1">SUMIFS(M:M,O:O,H3)</f>
        <v>7883.46</v>
      </c>
      <c r="N3" s="431" t="s">
        <v>197</v>
      </c>
      <c r="O3" s="432">
        <v>46204</v>
      </c>
      <c r="P3" s="433">
        <f>SUMIFS(K7:K8191,'📋 Despesas'!N7:N8191,"&gt;="&amp;O3,'📋 Despesas'!N7:N8191,"&lt;="&amp;O4)</f>
        <v>0</v>
      </c>
      <c r="Q3" s="433"/>
      <c r="R3" s="361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 spans="1:36" ht="18" customHeight="1" thickBot="1">
      <c r="A4" s="33"/>
      <c r="B4" s="33"/>
      <c r="E4" s="334" t="str">
        <f>'💰Fluxo de Pagamentos'!B3</f>
        <v>HOJE</v>
      </c>
      <c r="F4" s="333">
        <f ca="1">'💰Fluxo de Pagamentos'!C3</f>
        <v>0</v>
      </c>
      <c r="G4" s="39">
        <f ca="1">YEAR((TODAY()))</f>
        <v>2026</v>
      </c>
      <c r="H4" s="520" t="str">
        <f ca="1">TEXT(TODAY(),"mmmm")</f>
        <v>setembro</v>
      </c>
      <c r="I4" s="437" t="s">
        <v>39</v>
      </c>
      <c r="J4" s="329">
        <f ca="1">SUMIFS($J7:$J17833,$O7:$O17833,$H4)</f>
        <v>5020</v>
      </c>
      <c r="K4" s="330">
        <f ca="1">SUMIFS(K:K,O:O,H4)</f>
        <v>1520</v>
      </c>
      <c r="L4" s="331" t="str">
        <f ca="1">IF(M4=(SUMIFS('📈Det. Resultados'!$7:$7,'📈Det. Resultados'!$3:$3,H4)),"OK","ERRO")</f>
        <v>ERRO</v>
      </c>
      <c r="M4" s="332">
        <f ca="1">SUMIFS(M:M,O:O,H4)</f>
        <v>5020</v>
      </c>
      <c r="N4" s="431" t="s">
        <v>198</v>
      </c>
      <c r="O4" s="432">
        <v>46234</v>
      </c>
      <c r="P4" s="430"/>
      <c r="Q4" s="430"/>
      <c r="R4" s="36"/>
      <c r="S4" s="191"/>
      <c r="T4" s="33"/>
      <c r="U4" s="33"/>
      <c r="V4" s="38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</row>
    <row r="5" spans="1:36" ht="21" customHeight="1" thickBot="1">
      <c r="A5" s="40"/>
      <c r="B5" s="428"/>
      <c r="C5" s="41"/>
      <c r="D5" s="41"/>
      <c r="E5" s="41"/>
      <c r="F5" s="41"/>
      <c r="G5" s="41"/>
      <c r="H5" s="326"/>
      <c r="I5" s="438" t="s">
        <v>4</v>
      </c>
      <c r="J5" s="324">
        <f ca="1">J4</f>
        <v>5020</v>
      </c>
      <c r="K5" s="328">
        <f>SUM(K7:K17833)</f>
        <v>5950</v>
      </c>
      <c r="L5" s="325"/>
      <c r="M5" s="327">
        <f>SUBTOTAL(9,J7:J17833)</f>
        <v>27873.27</v>
      </c>
      <c r="N5" s="426"/>
      <c r="O5" s="310"/>
      <c r="P5" s="310"/>
      <c r="Q5" s="310"/>
      <c r="R5" s="36"/>
      <c r="S5" s="42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 ht="17.25" customHeight="1">
      <c r="A6" s="235"/>
      <c r="B6" s="427" t="s">
        <v>40</v>
      </c>
      <c r="C6" s="43" t="s">
        <v>41</v>
      </c>
      <c r="D6" s="43" t="s">
        <v>42</v>
      </c>
      <c r="E6" s="43" t="s">
        <v>43</v>
      </c>
      <c r="F6" s="236" t="s">
        <v>44</v>
      </c>
      <c r="G6" s="237" t="s">
        <v>216</v>
      </c>
      <c r="H6" s="238" t="s">
        <v>45</v>
      </c>
      <c r="I6" s="439" t="s">
        <v>46</v>
      </c>
      <c r="J6" s="190" t="s">
        <v>4</v>
      </c>
      <c r="K6" s="400" t="s">
        <v>47</v>
      </c>
      <c r="L6" s="43" t="s">
        <v>48</v>
      </c>
      <c r="M6" s="44" t="s">
        <v>49</v>
      </c>
      <c r="N6" s="427" t="s">
        <v>50</v>
      </c>
      <c r="O6" s="311" t="s">
        <v>51</v>
      </c>
      <c r="P6" s="311" t="s">
        <v>52</v>
      </c>
      <c r="Q6" s="311" t="s">
        <v>246</v>
      </c>
      <c r="R6" s="43" t="s">
        <v>53</v>
      </c>
      <c r="S6" s="440" t="s">
        <v>201</v>
      </c>
      <c r="T6" s="235"/>
      <c r="U6" s="235"/>
      <c r="V6" s="23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 ht="15" customHeight="1">
      <c r="B7" s="220">
        <v>46113</v>
      </c>
      <c r="C7" s="46" t="str">
        <f t="shared" ref="C7:C75" si="0">IF(B7&lt;&gt;"",PROPER(TEXT(B7,"mmmm")),"")</f>
        <v>Abril</v>
      </c>
      <c r="D7">
        <f>IF(B7="","",YEAR(B7))</f>
        <v>2026</v>
      </c>
      <c r="E7" s="404" t="s">
        <v>220</v>
      </c>
      <c r="F7" s="188" t="s">
        <v>210</v>
      </c>
      <c r="G7" s="404" t="s">
        <v>55</v>
      </c>
      <c r="H7" s="404" t="s">
        <v>32</v>
      </c>
      <c r="I7" s="403">
        <v>187</v>
      </c>
      <c r="J7" s="403">
        <v>202.44</v>
      </c>
      <c r="K7" s="401">
        <v>0</v>
      </c>
      <c r="L7" s="46" t="s">
        <v>28</v>
      </c>
      <c r="M7" s="239">
        <f t="shared" ref="M7:M77" si="1">J7</f>
        <v>202.44</v>
      </c>
      <c r="N7" s="220">
        <v>46184</v>
      </c>
      <c r="O7" s="312" t="str">
        <f t="shared" ref="O7:O75" si="2">IF(N7&lt;&gt;"",TEXT(N7,"mmmm"),"")</f>
        <v>junho</v>
      </c>
      <c r="P7">
        <f>IF(N7="","",YEAR(N7))</f>
        <v>2026</v>
      </c>
      <c r="R7" s="46" t="str">
        <f>IF(J7=0,"",IF(K7=0,"PAGO","A PAGAR"))</f>
        <v>PAGO</v>
      </c>
      <c r="S7" s="218" t="str">
        <f t="shared" ref="S7:S45" ca="1" si="3">IF(R7="PAGO", "✓ OK", IF(R7="A PAGAR", IF(N7&lt;TODAY(), "⚠ EM ATRASO", "EM DIA"), ""))</f>
        <v>✓ OK</v>
      </c>
    </row>
    <row r="8" spans="1:36" ht="15" customHeight="1">
      <c r="B8" s="220">
        <v>46113</v>
      </c>
      <c r="C8" s="46" t="str">
        <f t="shared" ref="C8" si="4">IF(B8&lt;&gt;"",PROPER(TEXT(B8,"mmmm")),"")</f>
        <v>Abril</v>
      </c>
      <c r="D8">
        <f t="shared" ref="D8:D81" si="5">IF(B8="","",YEAR(B8))</f>
        <v>2026</v>
      </c>
      <c r="E8" s="404" t="s">
        <v>24</v>
      </c>
      <c r="F8" s="188" t="s">
        <v>24</v>
      </c>
      <c r="G8" s="404" t="s">
        <v>215</v>
      </c>
      <c r="H8" s="404" t="s">
        <v>29</v>
      </c>
      <c r="I8" s="403">
        <v>1513</v>
      </c>
      <c r="J8" s="403">
        <f t="shared" ref="J8" si="6">I8</f>
        <v>1513</v>
      </c>
      <c r="K8" s="401">
        <v>0</v>
      </c>
      <c r="L8" s="46" t="s">
        <v>28</v>
      </c>
      <c r="M8" s="239">
        <f t="shared" ref="M8" si="7">J8</f>
        <v>1513</v>
      </c>
      <c r="N8" s="220">
        <v>46190</v>
      </c>
      <c r="O8" s="312" t="str">
        <f t="shared" ref="O8" si="8">IF(N8&lt;&gt;"",TEXT(N8,"mmmm"),"")</f>
        <v>junho</v>
      </c>
      <c r="P8">
        <f t="shared" ref="P8:P81" si="9">IF(N8="","",YEAR(N8))</f>
        <v>2026</v>
      </c>
      <c r="R8" s="46" t="str">
        <f t="shared" ref="R8:R45" si="10">IF(J8=0,"",IF(K8=0,"PAGO","A PAGAR"))</f>
        <v>PAGO</v>
      </c>
      <c r="S8" s="218" t="str">
        <f t="shared" ca="1" si="3"/>
        <v>✓ OK</v>
      </c>
    </row>
    <row r="9" spans="1:36" ht="15" customHeight="1">
      <c r="B9" s="220">
        <v>46143</v>
      </c>
      <c r="C9" s="46" t="str">
        <f t="shared" si="0"/>
        <v>Maio</v>
      </c>
      <c r="D9">
        <f t="shared" si="5"/>
        <v>2026</v>
      </c>
      <c r="E9" s="404" t="s">
        <v>220</v>
      </c>
      <c r="F9" s="188" t="s">
        <v>210</v>
      </c>
      <c r="G9" s="404" t="s">
        <v>55</v>
      </c>
      <c r="H9" s="404" t="s">
        <v>32</v>
      </c>
      <c r="I9" s="403">
        <v>330</v>
      </c>
      <c r="J9" s="403">
        <f t="shared" ref="J9:K76" si="11">I9</f>
        <v>330</v>
      </c>
      <c r="K9" s="401">
        <v>0</v>
      </c>
      <c r="L9" s="46" t="s">
        <v>28</v>
      </c>
      <c r="M9" s="239">
        <f t="shared" si="1"/>
        <v>330</v>
      </c>
      <c r="N9" s="220">
        <v>46192</v>
      </c>
      <c r="O9" s="312" t="str">
        <f t="shared" si="2"/>
        <v>junho</v>
      </c>
      <c r="P9">
        <f t="shared" si="9"/>
        <v>2026</v>
      </c>
      <c r="R9" s="46" t="str">
        <f t="shared" si="10"/>
        <v>PAGO</v>
      </c>
      <c r="S9" s="218" t="str">
        <f t="shared" ca="1" si="3"/>
        <v>✓ OK</v>
      </c>
    </row>
    <row r="10" spans="1:36" ht="15" customHeight="1">
      <c r="B10" s="220">
        <v>46143</v>
      </c>
      <c r="C10" s="46" t="str">
        <f t="shared" si="0"/>
        <v>Maio</v>
      </c>
      <c r="D10">
        <f t="shared" si="5"/>
        <v>2026</v>
      </c>
      <c r="E10" s="404" t="s">
        <v>24</v>
      </c>
      <c r="F10" s="188" t="s">
        <v>24</v>
      </c>
      <c r="G10" s="404" t="s">
        <v>215</v>
      </c>
      <c r="H10" s="404" t="s">
        <v>29</v>
      </c>
      <c r="I10" s="403">
        <f>3000-330</f>
        <v>2670</v>
      </c>
      <c r="J10" s="403">
        <f t="shared" si="11"/>
        <v>2670</v>
      </c>
      <c r="K10" s="401">
        <v>0</v>
      </c>
      <c r="L10" s="46" t="s">
        <v>28</v>
      </c>
      <c r="M10" s="239">
        <f t="shared" si="1"/>
        <v>2670</v>
      </c>
      <c r="N10" s="220">
        <v>46204</v>
      </c>
      <c r="O10" s="312" t="str">
        <f t="shared" si="2"/>
        <v>julho</v>
      </c>
      <c r="P10">
        <f t="shared" si="9"/>
        <v>2026</v>
      </c>
      <c r="R10" s="46" t="str">
        <f t="shared" si="10"/>
        <v>PAGO</v>
      </c>
      <c r="S10" s="218" t="str">
        <f t="shared" ca="1" si="3"/>
        <v>✓ OK</v>
      </c>
    </row>
    <row r="11" spans="1:36" ht="15" customHeight="1">
      <c r="B11" s="220">
        <v>46175</v>
      </c>
      <c r="C11" s="46" t="str">
        <f t="shared" si="0"/>
        <v>Junho</v>
      </c>
      <c r="D11">
        <f t="shared" si="5"/>
        <v>2026</v>
      </c>
      <c r="E11" s="404" t="s">
        <v>263</v>
      </c>
      <c r="F11" s="188" t="s">
        <v>213</v>
      </c>
      <c r="G11" s="404" t="s">
        <v>215</v>
      </c>
      <c r="H11" s="404" t="s">
        <v>30</v>
      </c>
      <c r="I11" s="403">
        <v>2.92</v>
      </c>
      <c r="J11" s="403">
        <f>I11</f>
        <v>2.92</v>
      </c>
      <c r="K11" s="401"/>
      <c r="L11" s="46" t="s">
        <v>28</v>
      </c>
      <c r="M11" s="239">
        <f>J11</f>
        <v>2.92</v>
      </c>
      <c r="N11" s="220">
        <v>46175</v>
      </c>
      <c r="O11" s="312" t="str">
        <f t="shared" si="2"/>
        <v>junho</v>
      </c>
      <c r="P11">
        <f t="shared" si="9"/>
        <v>2026</v>
      </c>
      <c r="R11" s="46" t="str">
        <f t="shared" si="10"/>
        <v>PAGO</v>
      </c>
      <c r="S11" s="218"/>
    </row>
    <row r="12" spans="1:36" ht="15" customHeight="1">
      <c r="B12" s="220">
        <v>46181</v>
      </c>
      <c r="C12" s="46" t="str">
        <f t="shared" si="0"/>
        <v>Junho</v>
      </c>
      <c r="D12">
        <f t="shared" si="5"/>
        <v>2026</v>
      </c>
      <c r="E12" s="404" t="s">
        <v>219</v>
      </c>
      <c r="F12" s="188" t="s">
        <v>54</v>
      </c>
      <c r="G12" s="404" t="s">
        <v>221</v>
      </c>
      <c r="H12" s="404" t="s">
        <v>30</v>
      </c>
      <c r="I12" s="403">
        <v>950</v>
      </c>
      <c r="J12" s="403">
        <f t="shared" si="11"/>
        <v>950</v>
      </c>
      <c r="K12" s="401">
        <v>0</v>
      </c>
      <c r="L12" s="46" t="s">
        <v>33</v>
      </c>
      <c r="M12" s="239">
        <f t="shared" si="1"/>
        <v>950</v>
      </c>
      <c r="N12" s="220">
        <v>46203</v>
      </c>
      <c r="O12" s="312" t="str">
        <f t="shared" si="2"/>
        <v>junho</v>
      </c>
      <c r="P12">
        <f t="shared" si="9"/>
        <v>2026</v>
      </c>
      <c r="R12" s="46" t="str">
        <f t="shared" si="10"/>
        <v>PAGO</v>
      </c>
      <c r="S12" s="218" t="str">
        <f t="shared" ca="1" si="3"/>
        <v>✓ OK</v>
      </c>
    </row>
    <row r="13" spans="1:36" ht="15" customHeight="1">
      <c r="B13" s="220">
        <v>46187</v>
      </c>
      <c r="C13" s="46" t="str">
        <f t="shared" si="0"/>
        <v>Junho</v>
      </c>
      <c r="D13">
        <f t="shared" si="5"/>
        <v>2026</v>
      </c>
      <c r="E13" s="404" t="s">
        <v>228</v>
      </c>
      <c r="F13" s="188" t="s">
        <v>224</v>
      </c>
      <c r="G13" s="404" t="s">
        <v>225</v>
      </c>
      <c r="H13" s="404" t="s">
        <v>30</v>
      </c>
      <c r="I13" s="403">
        <v>106</v>
      </c>
      <c r="J13" s="403">
        <f t="shared" si="11"/>
        <v>106</v>
      </c>
      <c r="K13" s="401">
        <v>0</v>
      </c>
      <c r="L13" s="46" t="s">
        <v>28</v>
      </c>
      <c r="M13" s="239">
        <f t="shared" si="1"/>
        <v>106</v>
      </c>
      <c r="N13" s="220">
        <v>46187</v>
      </c>
      <c r="O13" s="312" t="str">
        <f t="shared" si="2"/>
        <v>junho</v>
      </c>
      <c r="P13">
        <f t="shared" si="9"/>
        <v>2026</v>
      </c>
      <c r="R13" s="46" t="str">
        <f t="shared" si="10"/>
        <v>PAGO</v>
      </c>
      <c r="S13" s="218" t="str">
        <f t="shared" ca="1" si="3"/>
        <v>✓ OK</v>
      </c>
    </row>
    <row r="14" spans="1:36" ht="15" customHeight="1">
      <c r="B14" s="220">
        <v>46187</v>
      </c>
      <c r="C14" s="46" t="str">
        <f t="shared" si="0"/>
        <v>Junho</v>
      </c>
      <c r="D14">
        <f t="shared" si="5"/>
        <v>2026</v>
      </c>
      <c r="E14" s="404" t="s">
        <v>226</v>
      </c>
      <c r="F14" s="188" t="s">
        <v>224</v>
      </c>
      <c r="G14" s="404" t="s">
        <v>227</v>
      </c>
      <c r="H14" s="404" t="s">
        <v>30</v>
      </c>
      <c r="I14" s="403">
        <v>171.59</v>
      </c>
      <c r="J14" s="403">
        <f t="shared" si="11"/>
        <v>171.59</v>
      </c>
      <c r="K14" s="401">
        <v>0</v>
      </c>
      <c r="L14" s="46" t="s">
        <v>28</v>
      </c>
      <c r="M14" s="239">
        <f t="shared" si="1"/>
        <v>171.59</v>
      </c>
      <c r="N14" s="220">
        <v>46187</v>
      </c>
      <c r="O14" s="312" t="str">
        <f t="shared" si="2"/>
        <v>junho</v>
      </c>
      <c r="P14">
        <f t="shared" si="9"/>
        <v>2026</v>
      </c>
      <c r="R14" s="46" t="str">
        <f t="shared" si="10"/>
        <v>PAGO</v>
      </c>
      <c r="S14" s="218" t="str">
        <f t="shared" ca="1" si="3"/>
        <v>✓ OK</v>
      </c>
    </row>
    <row r="15" spans="1:36" ht="15" customHeight="1">
      <c r="B15" s="405">
        <v>46174</v>
      </c>
      <c r="C15" s="46" t="str">
        <f t="shared" si="0"/>
        <v>Junho</v>
      </c>
      <c r="D15">
        <f t="shared" si="5"/>
        <v>2026</v>
      </c>
      <c r="E15" s="404" t="s">
        <v>249</v>
      </c>
      <c r="F15" s="188" t="s">
        <v>24</v>
      </c>
      <c r="G15" s="404" t="s">
        <v>215</v>
      </c>
      <c r="H15" s="404" t="s">
        <v>29</v>
      </c>
      <c r="I15" s="403">
        <v>1330</v>
      </c>
      <c r="J15" s="403">
        <f t="shared" si="11"/>
        <v>1330</v>
      </c>
      <c r="K15" s="401">
        <v>0</v>
      </c>
      <c r="L15" s="46" t="s">
        <v>28</v>
      </c>
      <c r="M15" s="239">
        <f t="shared" si="1"/>
        <v>1330</v>
      </c>
      <c r="N15" s="220">
        <v>46206</v>
      </c>
      <c r="O15" s="312" t="str">
        <f t="shared" si="2"/>
        <v>julho</v>
      </c>
      <c r="P15">
        <f t="shared" si="9"/>
        <v>2026</v>
      </c>
      <c r="R15" s="46" t="str">
        <f t="shared" si="10"/>
        <v>PAGO</v>
      </c>
      <c r="S15" s="218" t="str">
        <f t="shared" ca="1" si="3"/>
        <v>✓ OK</v>
      </c>
    </row>
    <row r="16" spans="1:36" ht="15" customHeight="1">
      <c r="B16" s="405">
        <v>46174</v>
      </c>
      <c r="C16" s="46" t="str">
        <f t="shared" ref="C16" si="12">IF(B16&lt;&gt;"",PROPER(TEXT(B16,"mmmm")),"")</f>
        <v>Junho</v>
      </c>
      <c r="D16">
        <f t="shared" ref="D16" si="13">IF(B16="","",YEAR(B16))</f>
        <v>2026</v>
      </c>
      <c r="E16" s="404" t="s">
        <v>250</v>
      </c>
      <c r="F16" s="188" t="s">
        <v>24</v>
      </c>
      <c r="G16" s="404" t="s">
        <v>215</v>
      </c>
      <c r="H16" s="404" t="s">
        <v>29</v>
      </c>
      <c r="I16" s="403">
        <f>2670-I15</f>
        <v>1340</v>
      </c>
      <c r="J16" s="403">
        <f t="shared" ref="J16" si="14">I16</f>
        <v>1340</v>
      </c>
      <c r="K16" s="401">
        <v>0</v>
      </c>
      <c r="L16" s="46" t="s">
        <v>28</v>
      </c>
      <c r="M16" s="239">
        <f t="shared" ref="M16" si="15">J16</f>
        <v>1340</v>
      </c>
      <c r="N16" s="220">
        <v>46235</v>
      </c>
      <c r="O16" s="312" t="str">
        <f t="shared" ref="O16" si="16">IF(N16&lt;&gt;"",TEXT(N16,"mmmm"),"")</f>
        <v>agosto</v>
      </c>
      <c r="P16">
        <f t="shared" ref="P16" si="17">IF(N16="","",YEAR(N16))</f>
        <v>2026</v>
      </c>
      <c r="R16" s="46" t="str">
        <f t="shared" ref="R16" si="18">IF(J16=0,"",IF(K16=0,"PAGO","A PAGAR"))</f>
        <v>PAGO</v>
      </c>
      <c r="S16" s="218" t="str">
        <f t="shared" ref="S16" ca="1" si="19">IF(R16="PAGO", "✓ OK", IF(R16="A PAGAR", IF(N16&lt;TODAY(), "⚠ EM ATRASO", "EM DIA"), ""))</f>
        <v>✓ OK</v>
      </c>
    </row>
    <row r="17" spans="2:19" ht="15" customHeight="1">
      <c r="B17" s="220">
        <v>46174</v>
      </c>
      <c r="C17" s="46" t="str">
        <f t="shared" si="0"/>
        <v>Junho</v>
      </c>
      <c r="D17">
        <f t="shared" si="5"/>
        <v>2026</v>
      </c>
      <c r="E17" s="404" t="s">
        <v>220</v>
      </c>
      <c r="F17" s="188" t="s">
        <v>210</v>
      </c>
      <c r="G17" s="404" t="s">
        <v>55</v>
      </c>
      <c r="H17" s="404" t="s">
        <v>29</v>
      </c>
      <c r="I17" s="403">
        <v>330</v>
      </c>
      <c r="J17" s="403">
        <f t="shared" si="11"/>
        <v>330</v>
      </c>
      <c r="K17" s="401">
        <v>0</v>
      </c>
      <c r="L17" s="46" t="s">
        <v>28</v>
      </c>
      <c r="M17" s="239">
        <f t="shared" si="1"/>
        <v>330</v>
      </c>
      <c r="N17" s="220">
        <v>46223</v>
      </c>
      <c r="O17" s="312" t="str">
        <f t="shared" si="2"/>
        <v>julho</v>
      </c>
      <c r="P17">
        <f t="shared" si="9"/>
        <v>2026</v>
      </c>
      <c r="R17" s="46" t="str">
        <f t="shared" si="10"/>
        <v>PAGO</v>
      </c>
      <c r="S17" s="218" t="str">
        <f t="shared" ca="1" si="3"/>
        <v>✓ OK</v>
      </c>
    </row>
    <row r="18" spans="2:19" ht="15" customHeight="1">
      <c r="B18" s="220">
        <v>46203</v>
      </c>
      <c r="C18" s="46" t="str">
        <f t="shared" si="0"/>
        <v>Junho</v>
      </c>
      <c r="D18">
        <f t="shared" si="5"/>
        <v>2026</v>
      </c>
      <c r="E18" s="404" t="s">
        <v>229</v>
      </c>
      <c r="F18" s="188" t="s">
        <v>229</v>
      </c>
      <c r="G18" s="404" t="s">
        <v>55</v>
      </c>
      <c r="H18" s="404" t="s">
        <v>29</v>
      </c>
      <c r="I18" s="403">
        <v>600</v>
      </c>
      <c r="J18" s="403">
        <f t="shared" si="11"/>
        <v>600</v>
      </c>
      <c r="K18" s="401">
        <v>0</v>
      </c>
      <c r="L18" s="46" t="s">
        <v>28</v>
      </c>
      <c r="M18" s="239">
        <f t="shared" si="1"/>
        <v>600</v>
      </c>
      <c r="N18" s="220">
        <v>46223</v>
      </c>
      <c r="O18" s="312" t="str">
        <f t="shared" si="2"/>
        <v>julho</v>
      </c>
      <c r="P18">
        <f t="shared" si="9"/>
        <v>2026</v>
      </c>
      <c r="R18" s="46" t="str">
        <f t="shared" si="10"/>
        <v>PAGO</v>
      </c>
      <c r="S18" s="218" t="str">
        <f t="shared" ca="1" si="3"/>
        <v>✓ OK</v>
      </c>
    </row>
    <row r="19" spans="2:19" ht="15" customHeight="1">
      <c r="B19" s="220">
        <v>46195</v>
      </c>
      <c r="C19" s="46" t="str">
        <f t="shared" si="0"/>
        <v>Junho</v>
      </c>
      <c r="D19">
        <f t="shared" si="5"/>
        <v>2026</v>
      </c>
      <c r="E19" s="404" t="s">
        <v>244</v>
      </c>
      <c r="F19" s="188" t="s">
        <v>224</v>
      </c>
      <c r="G19" s="404" t="s">
        <v>245</v>
      </c>
      <c r="H19" s="404" t="s">
        <v>30</v>
      </c>
      <c r="I19" s="403">
        <v>83.51</v>
      </c>
      <c r="J19" s="403">
        <f t="shared" si="11"/>
        <v>83.51</v>
      </c>
      <c r="K19" s="401">
        <v>0</v>
      </c>
      <c r="L19" s="46" t="s">
        <v>28</v>
      </c>
      <c r="M19" s="239">
        <f t="shared" si="1"/>
        <v>83.51</v>
      </c>
      <c r="N19" s="220">
        <v>46195</v>
      </c>
      <c r="O19" s="312" t="str">
        <f t="shared" si="2"/>
        <v>junho</v>
      </c>
      <c r="P19">
        <f t="shared" si="9"/>
        <v>2026</v>
      </c>
      <c r="Q19" s="551">
        <v>538553</v>
      </c>
      <c r="R19" s="46" t="str">
        <f t="shared" si="10"/>
        <v>PAGO</v>
      </c>
      <c r="S19" s="218" t="str">
        <f t="shared" ca="1" si="3"/>
        <v>✓ OK</v>
      </c>
    </row>
    <row r="20" spans="2:19" ht="15" customHeight="1">
      <c r="B20" s="220">
        <v>46200</v>
      </c>
      <c r="C20" s="46" t="str">
        <f t="shared" si="0"/>
        <v>Junho</v>
      </c>
      <c r="D20">
        <f t="shared" si="5"/>
        <v>2026</v>
      </c>
      <c r="E20" s="404" t="s">
        <v>228</v>
      </c>
      <c r="F20" s="188" t="s">
        <v>224</v>
      </c>
      <c r="G20" s="404" t="s">
        <v>247</v>
      </c>
      <c r="H20" s="404" t="s">
        <v>30</v>
      </c>
      <c r="I20" s="403">
        <v>110.5</v>
      </c>
      <c r="J20" s="403">
        <f t="shared" si="11"/>
        <v>110.5</v>
      </c>
      <c r="K20" s="401">
        <v>0</v>
      </c>
      <c r="L20" s="46" t="s">
        <v>28</v>
      </c>
      <c r="M20" s="239">
        <f t="shared" si="1"/>
        <v>110.5</v>
      </c>
      <c r="N20" s="220">
        <v>46200</v>
      </c>
      <c r="O20" s="312" t="str">
        <f t="shared" si="2"/>
        <v>junho</v>
      </c>
      <c r="P20">
        <f t="shared" si="9"/>
        <v>2026</v>
      </c>
      <c r="R20" s="46" t="str">
        <f t="shared" si="10"/>
        <v>PAGO</v>
      </c>
      <c r="S20" s="218" t="str">
        <f t="shared" ca="1" si="3"/>
        <v>✓ OK</v>
      </c>
    </row>
    <row r="21" spans="2:19" ht="15" customHeight="1">
      <c r="B21" s="405">
        <v>46204</v>
      </c>
      <c r="C21" s="46" t="str">
        <f t="shared" ref="C21:C24" si="20">IF(B21&lt;&gt;"",PROPER(TEXT(B21,"mmmm")),"")</f>
        <v>Julho</v>
      </c>
      <c r="D21">
        <f t="shared" ref="D21:D24" si="21">IF(B21="","",YEAR(B21))</f>
        <v>2026</v>
      </c>
      <c r="E21" s="404" t="s">
        <v>24</v>
      </c>
      <c r="F21" s="188" t="s">
        <v>24</v>
      </c>
      <c r="G21" s="404" t="s">
        <v>215</v>
      </c>
      <c r="H21" s="404" t="s">
        <v>29</v>
      </c>
      <c r="I21" s="403">
        <v>2670</v>
      </c>
      <c r="J21" s="403">
        <f t="shared" ref="J21:J24" si="22">I21</f>
        <v>2670</v>
      </c>
      <c r="K21" s="401">
        <v>0</v>
      </c>
      <c r="L21" s="46" t="s">
        <v>28</v>
      </c>
      <c r="M21" s="239">
        <f t="shared" ref="M21:M24" si="23">J21</f>
        <v>2670</v>
      </c>
      <c r="N21" s="220">
        <v>46235</v>
      </c>
      <c r="O21" s="312" t="str">
        <f t="shared" ref="O21:O24" si="24">IF(N21&lt;&gt;"",TEXT(N21,"mmmm"),"")</f>
        <v>agosto</v>
      </c>
      <c r="P21">
        <f t="shared" ref="P21:P25" si="25">IF(N21="","",YEAR(N21))</f>
        <v>2026</v>
      </c>
      <c r="R21" s="46" t="str">
        <f t="shared" ref="R21:R25" si="26">IF(J21=0,"",IF(K21=0,"PAGO","A PAGAR"))</f>
        <v>PAGO</v>
      </c>
      <c r="S21" s="218" t="str">
        <f t="shared" ref="S21:S25" ca="1" si="27">IF(R21="PAGO", "✓ OK", IF(R21="A PAGAR", IF(N21&lt;TODAY(), "⚠ EM ATRASO", "EM DIA"), ""))</f>
        <v>✓ OK</v>
      </c>
    </row>
    <row r="22" spans="2:19" ht="15" customHeight="1">
      <c r="B22" s="220">
        <v>46204</v>
      </c>
      <c r="C22" s="46" t="str">
        <f t="shared" si="20"/>
        <v>Julho</v>
      </c>
      <c r="D22">
        <f t="shared" si="21"/>
        <v>2026</v>
      </c>
      <c r="E22" s="404" t="s">
        <v>220</v>
      </c>
      <c r="F22" s="188" t="s">
        <v>210</v>
      </c>
      <c r="G22" s="404" t="s">
        <v>55</v>
      </c>
      <c r="H22" s="404" t="s">
        <v>29</v>
      </c>
      <c r="I22" s="403">
        <v>330</v>
      </c>
      <c r="J22" s="403">
        <f t="shared" si="22"/>
        <v>330</v>
      </c>
      <c r="K22" s="401">
        <v>0</v>
      </c>
      <c r="L22" s="46" t="s">
        <v>28</v>
      </c>
      <c r="M22" s="239">
        <f t="shared" si="23"/>
        <v>330</v>
      </c>
      <c r="N22" s="220">
        <v>46254</v>
      </c>
      <c r="O22" s="312" t="str">
        <f t="shared" si="24"/>
        <v>agosto</v>
      </c>
      <c r="P22">
        <f t="shared" si="25"/>
        <v>2026</v>
      </c>
      <c r="R22" s="46" t="str">
        <f t="shared" si="26"/>
        <v>PAGO</v>
      </c>
      <c r="S22" s="218" t="str">
        <f t="shared" ca="1" si="27"/>
        <v>✓ OK</v>
      </c>
    </row>
    <row r="23" spans="2:19" ht="15" customHeight="1">
      <c r="B23" s="405">
        <v>46204</v>
      </c>
      <c r="C23" s="46" t="str">
        <f t="shared" si="20"/>
        <v>Julho</v>
      </c>
      <c r="D23">
        <f>IF(B23="","",YEAR(B23))</f>
        <v>2026</v>
      </c>
      <c r="E23" s="404" t="s">
        <v>54</v>
      </c>
      <c r="F23" s="188" t="s">
        <v>54</v>
      </c>
      <c r="G23" s="404" t="s">
        <v>221</v>
      </c>
      <c r="H23" s="404" t="s">
        <v>29</v>
      </c>
      <c r="I23" s="403">
        <v>590</v>
      </c>
      <c r="J23" s="403">
        <f t="shared" si="22"/>
        <v>590</v>
      </c>
      <c r="K23" s="401">
        <v>0</v>
      </c>
      <c r="L23" s="46" t="s">
        <v>28</v>
      </c>
      <c r="M23" s="239">
        <f>J23</f>
        <v>590</v>
      </c>
      <c r="N23" s="220">
        <v>46233</v>
      </c>
      <c r="O23" s="312" t="str">
        <f>IF(N23&lt;&gt;"",TEXT(N23,"mmmm"),"")</f>
        <v>julho</v>
      </c>
      <c r="P23">
        <f>IF(N23="","",YEAR(N23))</f>
        <v>2026</v>
      </c>
      <c r="R23" s="46" t="str">
        <f>IF(J23=0,"",IF(K23=0,"PAGO","A PAGAR"))</f>
        <v>PAGO</v>
      </c>
      <c r="S23" s="218" t="str">
        <f ca="1">IF(R23="PAGO", "✓ OK", IF(R23="A PAGAR", IF(N23&lt;TODAY(), "⚠ EM ATRASO", "EM DIA"), ""))</f>
        <v>✓ OK</v>
      </c>
    </row>
    <row r="24" spans="2:19" ht="15" customHeight="1">
      <c r="B24" s="220">
        <v>46233</v>
      </c>
      <c r="C24" s="46" t="str">
        <f t="shared" si="20"/>
        <v>Julho</v>
      </c>
      <c r="D24">
        <f t="shared" si="21"/>
        <v>2026</v>
      </c>
      <c r="E24" s="404" t="s">
        <v>229</v>
      </c>
      <c r="F24" s="188" t="s">
        <v>229</v>
      </c>
      <c r="G24" s="404" t="s">
        <v>55</v>
      </c>
      <c r="H24" s="404" t="s">
        <v>29</v>
      </c>
      <c r="I24" s="403">
        <v>600</v>
      </c>
      <c r="J24" s="403">
        <f t="shared" si="22"/>
        <v>600</v>
      </c>
      <c r="K24" s="401">
        <v>0</v>
      </c>
      <c r="L24" s="46" t="s">
        <v>28</v>
      </c>
      <c r="M24" s="239">
        <f t="shared" si="23"/>
        <v>600</v>
      </c>
      <c r="N24" s="220">
        <v>46254</v>
      </c>
      <c r="O24" s="312" t="str">
        <f t="shared" si="24"/>
        <v>agosto</v>
      </c>
      <c r="P24">
        <f t="shared" si="25"/>
        <v>2026</v>
      </c>
      <c r="R24" s="46" t="str">
        <f t="shared" si="26"/>
        <v>PAGO</v>
      </c>
      <c r="S24" s="218" t="str">
        <f t="shared" ca="1" si="27"/>
        <v>✓ OK</v>
      </c>
    </row>
    <row r="25" spans="2:19" ht="15" customHeight="1">
      <c r="B25" s="220">
        <v>46207</v>
      </c>
      <c r="C25" s="46" t="str">
        <f>IF(B25&lt;&gt;"",PROPER(TEXT(B25,"mmmm")),"")</f>
        <v>Julho</v>
      </c>
      <c r="D25">
        <f>IF(B25="","",YEAR(B25))</f>
        <v>2026</v>
      </c>
      <c r="E25" s="404" t="s">
        <v>251</v>
      </c>
      <c r="F25" s="188" t="s">
        <v>224</v>
      </c>
      <c r="G25" s="404" t="s">
        <v>252</v>
      </c>
      <c r="H25" s="385" t="s">
        <v>30</v>
      </c>
      <c r="I25" s="403">
        <v>1006.23</v>
      </c>
      <c r="J25" s="403">
        <f>I25</f>
        <v>1006.23</v>
      </c>
      <c r="K25" s="402">
        <v>0</v>
      </c>
      <c r="L25" s="46" t="s">
        <v>28</v>
      </c>
      <c r="M25" s="239">
        <f>J25</f>
        <v>1006.23</v>
      </c>
      <c r="N25" s="220">
        <v>46207</v>
      </c>
      <c r="O25" s="312" t="str">
        <f>IF(N25&lt;&gt;"",TEXT(N25,"mmmm"),"")</f>
        <v>julho</v>
      </c>
      <c r="P25">
        <f t="shared" si="25"/>
        <v>2026</v>
      </c>
      <c r="R25" s="46" t="str">
        <f t="shared" si="26"/>
        <v>PAGO</v>
      </c>
      <c r="S25" s="218" t="str">
        <f t="shared" ca="1" si="27"/>
        <v>✓ OK</v>
      </c>
    </row>
    <row r="26" spans="2:19" ht="15" customHeight="1">
      <c r="B26" s="220">
        <v>46207</v>
      </c>
      <c r="C26" s="46" t="str">
        <f t="shared" si="0"/>
        <v>Julho</v>
      </c>
      <c r="D26">
        <f t="shared" si="5"/>
        <v>2026</v>
      </c>
      <c r="E26" s="404" t="s">
        <v>251</v>
      </c>
      <c r="F26" s="188" t="s">
        <v>224</v>
      </c>
      <c r="G26" s="404" t="s">
        <v>245</v>
      </c>
      <c r="H26" s="404" t="s">
        <v>30</v>
      </c>
      <c r="I26" s="403">
        <v>79.989999999999995</v>
      </c>
      <c r="J26" s="403">
        <f t="shared" si="11"/>
        <v>79.989999999999995</v>
      </c>
      <c r="K26" s="401">
        <v>0</v>
      </c>
      <c r="L26" s="46" t="s">
        <v>28</v>
      </c>
      <c r="M26" s="239">
        <f t="shared" si="1"/>
        <v>79.989999999999995</v>
      </c>
      <c r="N26" s="220">
        <v>46207</v>
      </c>
      <c r="O26" s="312" t="str">
        <f t="shared" si="2"/>
        <v>julho</v>
      </c>
      <c r="P26">
        <f t="shared" si="9"/>
        <v>2026</v>
      </c>
      <c r="R26" s="46" t="str">
        <f t="shared" si="10"/>
        <v>PAGO</v>
      </c>
      <c r="S26" s="218" t="str">
        <f t="shared" ca="1" si="3"/>
        <v>✓ OK</v>
      </c>
    </row>
    <row r="27" spans="2:19" ht="15" customHeight="1">
      <c r="B27" s="220">
        <v>46208</v>
      </c>
      <c r="C27" s="46" t="str">
        <f t="shared" si="0"/>
        <v>Julho</v>
      </c>
      <c r="D27">
        <f t="shared" si="5"/>
        <v>2026</v>
      </c>
      <c r="E27" s="404" t="s">
        <v>226</v>
      </c>
      <c r="F27" s="188" t="s">
        <v>224</v>
      </c>
      <c r="G27" s="404" t="s">
        <v>227</v>
      </c>
      <c r="H27" s="404" t="s">
        <v>30</v>
      </c>
      <c r="I27" s="403">
        <v>246.25</v>
      </c>
      <c r="J27" s="403">
        <f t="shared" si="11"/>
        <v>246.25</v>
      </c>
      <c r="K27" s="401">
        <v>0</v>
      </c>
      <c r="L27" s="46" t="s">
        <v>28</v>
      </c>
      <c r="M27" s="239">
        <f t="shared" si="1"/>
        <v>246.25</v>
      </c>
      <c r="N27" s="220">
        <v>46208</v>
      </c>
      <c r="O27" s="312" t="str">
        <f t="shared" si="2"/>
        <v>julho</v>
      </c>
      <c r="P27">
        <f t="shared" si="9"/>
        <v>2026</v>
      </c>
      <c r="R27" s="46" t="str">
        <f t="shared" si="10"/>
        <v>PAGO</v>
      </c>
      <c r="S27" s="218" t="str">
        <f t="shared" ca="1" si="3"/>
        <v>✓ OK</v>
      </c>
    </row>
    <row r="28" spans="2:19" ht="15" customHeight="1">
      <c r="B28" s="220">
        <v>46216</v>
      </c>
      <c r="C28" s="46" t="str">
        <f t="shared" si="0"/>
        <v>Julho</v>
      </c>
      <c r="D28">
        <f t="shared" si="5"/>
        <v>2026</v>
      </c>
      <c r="E28" s="404" t="s">
        <v>226</v>
      </c>
      <c r="F28" s="188" t="s">
        <v>224</v>
      </c>
      <c r="G28" s="404" t="s">
        <v>227</v>
      </c>
      <c r="H28" s="404" t="s">
        <v>30</v>
      </c>
      <c r="I28" s="403">
        <v>217.38</v>
      </c>
      <c r="J28" s="403">
        <f t="shared" si="11"/>
        <v>217.38</v>
      </c>
      <c r="K28" s="401">
        <v>0</v>
      </c>
      <c r="L28" s="46" t="s">
        <v>28</v>
      </c>
      <c r="M28" s="239">
        <f t="shared" si="1"/>
        <v>217.38</v>
      </c>
      <c r="N28" s="220">
        <v>46216</v>
      </c>
      <c r="O28" s="312" t="str">
        <f t="shared" si="2"/>
        <v>julho</v>
      </c>
      <c r="P28">
        <f t="shared" si="9"/>
        <v>2026</v>
      </c>
      <c r="R28" s="46" t="str">
        <f t="shared" si="10"/>
        <v>PAGO</v>
      </c>
      <c r="S28" s="218" t="str">
        <f t="shared" ca="1" si="3"/>
        <v>✓ OK</v>
      </c>
    </row>
    <row r="29" spans="2:19" ht="15" customHeight="1">
      <c r="B29" s="554">
        <v>46235</v>
      </c>
      <c r="C29" s="46" t="str">
        <f t="shared" ref="C29:C36" si="28">IF(B29&lt;&gt;"",PROPER(TEXT(B29,"mmmm")),"")</f>
        <v>Agosto</v>
      </c>
      <c r="D29">
        <f t="shared" ref="D29:D30" si="29">IF(B29="","",YEAR(B29))</f>
        <v>2026</v>
      </c>
      <c r="E29" s="404" t="s">
        <v>24</v>
      </c>
      <c r="F29" s="188" t="s">
        <v>24</v>
      </c>
      <c r="G29" s="404" t="s">
        <v>215</v>
      </c>
      <c r="H29" s="404" t="s">
        <v>29</v>
      </c>
      <c r="I29" s="403">
        <v>2670</v>
      </c>
      <c r="J29" s="403">
        <f t="shared" ref="J29:J36" si="30">I29</f>
        <v>2670</v>
      </c>
      <c r="K29" s="401">
        <v>0</v>
      </c>
      <c r="L29" s="46" t="s">
        <v>28</v>
      </c>
      <c r="M29" s="239">
        <f t="shared" ref="M29:M30" si="31">J29</f>
        <v>2670</v>
      </c>
      <c r="N29" s="220">
        <v>46266</v>
      </c>
      <c r="O29" s="312" t="str">
        <f>IF(N29&lt;&gt;"",TEXT(N29,"mmmm"),"")</f>
        <v>setembro</v>
      </c>
      <c r="P29">
        <f t="shared" ref="P29:P30" si="32">IF(N29="","",YEAR(N29))</f>
        <v>2026</v>
      </c>
      <c r="R29" s="46" t="str">
        <f t="shared" ref="R29:R30" si="33">IF(J29=0,"",IF(K29=0,"PAGO","A PAGAR"))</f>
        <v>PAGO</v>
      </c>
      <c r="S29" s="218" t="str">
        <f t="shared" ref="S29:S30" ca="1" si="34">IF(R29="PAGO", "✓ OK", IF(R29="A PAGAR", IF(N29&lt;TODAY(), "⚠ EM ATRASO", "EM DIA"), ""))</f>
        <v>✓ OK</v>
      </c>
    </row>
    <row r="30" spans="2:19" ht="15" customHeight="1">
      <c r="B30" s="555">
        <v>46235</v>
      </c>
      <c r="C30" s="46" t="str">
        <f t="shared" si="28"/>
        <v>Agosto</v>
      </c>
      <c r="D30">
        <f t="shared" si="29"/>
        <v>2026</v>
      </c>
      <c r="E30" s="404" t="s">
        <v>220</v>
      </c>
      <c r="F30" s="188" t="s">
        <v>210</v>
      </c>
      <c r="G30" s="404" t="s">
        <v>55</v>
      </c>
      <c r="H30" s="404" t="s">
        <v>29</v>
      </c>
      <c r="I30" s="403">
        <v>330</v>
      </c>
      <c r="J30" s="403">
        <f t="shared" si="30"/>
        <v>330</v>
      </c>
      <c r="K30" s="401">
        <f t="shared" ref="K30:K33" si="35">J30</f>
        <v>330</v>
      </c>
      <c r="L30" s="46" t="s">
        <v>28</v>
      </c>
      <c r="M30" s="239">
        <f t="shared" si="31"/>
        <v>330</v>
      </c>
      <c r="N30" s="220">
        <v>46285</v>
      </c>
      <c r="O30" s="312" t="str">
        <f>IF(N30&lt;&gt;"",TEXT(N30,"mmmm"),"")</f>
        <v>setembro</v>
      </c>
      <c r="P30">
        <f t="shared" si="32"/>
        <v>2026</v>
      </c>
      <c r="R30" s="46" t="str">
        <f t="shared" si="33"/>
        <v>A PAGAR</v>
      </c>
      <c r="S30" s="218" t="str">
        <f t="shared" ca="1" si="34"/>
        <v>EM DIA</v>
      </c>
    </row>
    <row r="31" spans="2:19" ht="15" customHeight="1">
      <c r="B31" s="557">
        <v>46204</v>
      </c>
      <c r="C31" s="46" t="str">
        <f>IF(B31&lt;&gt;"",PROPER(TEXT(B31,"mmmm")),"")</f>
        <v>Julho</v>
      </c>
      <c r="D31">
        <f>IF(B31="","",YEAR(B31))</f>
        <v>2026</v>
      </c>
      <c r="E31" s="404" t="s">
        <v>256</v>
      </c>
      <c r="F31" s="188" t="s">
        <v>239</v>
      </c>
      <c r="G31" s="404" t="s">
        <v>215</v>
      </c>
      <c r="H31" s="385" t="s">
        <v>32</v>
      </c>
      <c r="I31" s="403">
        <v>830</v>
      </c>
      <c r="J31" s="403">
        <f>I31</f>
        <v>830</v>
      </c>
      <c r="K31" s="401">
        <v>0</v>
      </c>
      <c r="L31" s="46" t="s">
        <v>28</v>
      </c>
      <c r="M31" s="239">
        <f>J31</f>
        <v>830</v>
      </c>
      <c r="N31" s="220">
        <v>46266</v>
      </c>
      <c r="O31" s="312" t="str">
        <f>IF(N31&lt;&gt;"",TEXT(N31,"mmmm"),"")</f>
        <v>setembro</v>
      </c>
      <c r="P31">
        <f>IF(N31="","",YEAR(N31))</f>
        <v>2026</v>
      </c>
      <c r="R31" s="46" t="str">
        <f>IF(J31=0,"",IF(K31=0,"PAGO","A PAGAR"))</f>
        <v>PAGO</v>
      </c>
      <c r="S31" s="218" t="str">
        <f ca="1">IF(R31="PAGO", "✓ OK", IF(R31="A PAGAR", IF(N31&lt;TODAY(), "⚠ EM ATRASO", "EM DIA"), ""))</f>
        <v>✓ OK</v>
      </c>
    </row>
    <row r="32" spans="2:19" ht="15" customHeight="1">
      <c r="B32" s="554">
        <v>46235</v>
      </c>
      <c r="C32" s="46" t="str">
        <f t="shared" si="28"/>
        <v>Agosto</v>
      </c>
      <c r="D32">
        <f>IF(B32="","",YEAR(B32))</f>
        <v>2026</v>
      </c>
      <c r="E32" s="404" t="s">
        <v>54</v>
      </c>
      <c r="F32" s="188" t="s">
        <v>54</v>
      </c>
      <c r="G32" s="404" t="s">
        <v>221</v>
      </c>
      <c r="H32" s="404" t="s">
        <v>29</v>
      </c>
      <c r="I32" s="403">
        <v>590</v>
      </c>
      <c r="J32" s="403">
        <f t="shared" si="30"/>
        <v>590</v>
      </c>
      <c r="K32" s="401">
        <v>0</v>
      </c>
      <c r="L32" s="46" t="s">
        <v>28</v>
      </c>
      <c r="M32" s="239">
        <f>J32</f>
        <v>590</v>
      </c>
      <c r="N32" s="220">
        <v>46265</v>
      </c>
      <c r="O32" s="312" t="str">
        <f>IF(N32&lt;&gt;"",TEXT(N32,"mmmm"),"")</f>
        <v>agosto</v>
      </c>
      <c r="P32">
        <f>IF(N32="","",YEAR(N32))</f>
        <v>2026</v>
      </c>
      <c r="R32" s="46" t="str">
        <f>IF(J32=0,"",IF(K32=0,"PAGO","A PAGAR"))</f>
        <v>PAGO</v>
      </c>
      <c r="S32" s="218" t="str">
        <f ca="1">IF(R32="PAGO", "✓ OK", IF(R32="A PAGAR", IF(N32&lt;TODAY(), "⚠ EM ATRASO", "EM DIA"), ""))</f>
        <v>✓ OK</v>
      </c>
    </row>
    <row r="33" spans="2:19" ht="15" customHeight="1">
      <c r="B33" s="555">
        <v>46264</v>
      </c>
      <c r="C33" s="46" t="str">
        <f t="shared" si="28"/>
        <v>Agosto</v>
      </c>
      <c r="D33">
        <f t="shared" ref="D33:D36" si="36">IF(B33="","",YEAR(B33))</f>
        <v>2026</v>
      </c>
      <c r="E33" s="404" t="s">
        <v>229</v>
      </c>
      <c r="F33" s="188" t="s">
        <v>229</v>
      </c>
      <c r="G33" s="404" t="s">
        <v>55</v>
      </c>
      <c r="H33" s="404" t="s">
        <v>29</v>
      </c>
      <c r="I33" s="403">
        <v>600</v>
      </c>
      <c r="J33" s="403">
        <f t="shared" si="30"/>
        <v>600</v>
      </c>
      <c r="K33" s="401">
        <f t="shared" si="35"/>
        <v>600</v>
      </c>
      <c r="L33" s="46" t="s">
        <v>28</v>
      </c>
      <c r="M33" s="239">
        <f t="shared" ref="M33:M36" si="37">J33</f>
        <v>600</v>
      </c>
      <c r="N33" s="220">
        <v>46285</v>
      </c>
      <c r="O33" s="312" t="str">
        <f t="shared" ref="O33:O36" si="38">IF(N33&lt;&gt;"",TEXT(N33,"mmmm"),"")</f>
        <v>setembro</v>
      </c>
      <c r="P33">
        <f t="shared" ref="P33:P36" si="39">IF(N33="","",YEAR(N33))</f>
        <v>2026</v>
      </c>
      <c r="R33" s="46" t="str">
        <f t="shared" ref="R33:R36" si="40">IF(J33=0,"",IF(K33=0,"PAGO","A PAGAR"))</f>
        <v>A PAGAR</v>
      </c>
      <c r="S33" s="218" t="str">
        <f t="shared" ref="S33:S36" ca="1" si="41">IF(R33="PAGO", "✓ OK", IF(R33="A PAGAR", IF(N33&lt;TODAY(), "⚠ EM ATRASO", "EM DIA"), ""))</f>
        <v>EM DIA</v>
      </c>
    </row>
    <row r="34" spans="2:19" ht="15" customHeight="1">
      <c r="B34" s="220">
        <v>46241</v>
      </c>
      <c r="C34" s="46" t="str">
        <f t="shared" si="28"/>
        <v>Agosto</v>
      </c>
      <c r="D34">
        <f t="shared" si="36"/>
        <v>2026</v>
      </c>
      <c r="E34" s="404" t="s">
        <v>244</v>
      </c>
      <c r="F34" s="188" t="s">
        <v>224</v>
      </c>
      <c r="G34" s="404" t="s">
        <v>253</v>
      </c>
      <c r="H34" s="385" t="s">
        <v>30</v>
      </c>
      <c r="I34" s="403">
        <v>137.79</v>
      </c>
      <c r="J34" s="403">
        <f t="shared" si="30"/>
        <v>137.79</v>
      </c>
      <c r="K34" s="402">
        <v>0</v>
      </c>
      <c r="L34" s="404" t="s">
        <v>28</v>
      </c>
      <c r="M34" s="239">
        <f t="shared" si="37"/>
        <v>137.79</v>
      </c>
      <c r="N34" s="220">
        <v>46241</v>
      </c>
      <c r="O34" s="312" t="str">
        <f t="shared" si="38"/>
        <v>agosto</v>
      </c>
      <c r="P34">
        <f t="shared" si="39"/>
        <v>2026</v>
      </c>
      <c r="R34" s="46" t="str">
        <f t="shared" si="40"/>
        <v>PAGO</v>
      </c>
      <c r="S34" s="218" t="str">
        <f t="shared" ca="1" si="41"/>
        <v>✓ OK</v>
      </c>
    </row>
    <row r="35" spans="2:19" ht="15" customHeight="1">
      <c r="B35" s="220">
        <v>46237</v>
      </c>
      <c r="C35" s="46" t="str">
        <f t="shared" ref="C35" si="42">IF(B35&lt;&gt;"",PROPER(TEXT(B35,"mmmm")),"")</f>
        <v>Agosto</v>
      </c>
      <c r="D35">
        <f t="shared" ref="D35" si="43">IF(B35="","",YEAR(B35))</f>
        <v>2026</v>
      </c>
      <c r="E35" s="404" t="s">
        <v>261</v>
      </c>
      <c r="F35" s="188" t="s">
        <v>224</v>
      </c>
      <c r="G35" s="404" t="s">
        <v>262</v>
      </c>
      <c r="H35" s="404" t="s">
        <v>30</v>
      </c>
      <c r="I35" s="403">
        <v>303.8</v>
      </c>
      <c r="J35" s="403">
        <f t="shared" ref="J35" si="44">I35</f>
        <v>303.8</v>
      </c>
      <c r="K35" s="402">
        <v>0</v>
      </c>
      <c r="L35" s="404" t="s">
        <v>28</v>
      </c>
      <c r="M35" s="239">
        <f t="shared" ref="M35" si="45">J35</f>
        <v>303.8</v>
      </c>
      <c r="N35" s="220">
        <v>46237</v>
      </c>
      <c r="O35" s="312" t="str">
        <f t="shared" ref="O35" si="46">IF(N35&lt;&gt;"",TEXT(N35,"mmmm"),"")</f>
        <v>agosto</v>
      </c>
      <c r="P35">
        <f t="shared" ref="P35" si="47">IF(N35="","",YEAR(N35))</f>
        <v>2026</v>
      </c>
      <c r="R35" s="46" t="str">
        <f t="shared" ref="R35" si="48">IF(J35=0,"",IF(K35=0,"PAGO","A PAGAR"))</f>
        <v>PAGO</v>
      </c>
      <c r="S35" s="218" t="str">
        <f t="shared" ref="S35" ca="1" si="49">IF(R35="PAGO", "✓ OK", IF(R35="A PAGAR", IF(N35&lt;TODAY(), "⚠ EM ATRASO", "EM DIA"), ""))</f>
        <v>✓ OK</v>
      </c>
    </row>
    <row r="36" spans="2:19" ht="15" customHeight="1">
      <c r="B36" s="220">
        <v>46239</v>
      </c>
      <c r="C36" s="46" t="str">
        <f t="shared" si="28"/>
        <v>Agosto</v>
      </c>
      <c r="D36">
        <f t="shared" si="36"/>
        <v>2026</v>
      </c>
      <c r="E36" s="404" t="s">
        <v>261</v>
      </c>
      <c r="F36" s="188" t="s">
        <v>224</v>
      </c>
      <c r="G36" s="404" t="s">
        <v>262</v>
      </c>
      <c r="H36" s="404" t="s">
        <v>30</v>
      </c>
      <c r="I36" s="403">
        <v>270</v>
      </c>
      <c r="J36" s="403">
        <f t="shared" si="30"/>
        <v>270</v>
      </c>
      <c r="K36" s="402">
        <v>0</v>
      </c>
      <c r="L36" s="404" t="s">
        <v>28</v>
      </c>
      <c r="M36" s="239">
        <f t="shared" si="37"/>
        <v>270</v>
      </c>
      <c r="N36" s="220">
        <v>46239</v>
      </c>
      <c r="O36" s="312" t="str">
        <f t="shared" si="38"/>
        <v>agosto</v>
      </c>
      <c r="P36">
        <f t="shared" si="39"/>
        <v>2026</v>
      </c>
      <c r="R36" s="46" t="str">
        <f t="shared" si="40"/>
        <v>PAGO</v>
      </c>
      <c r="S36" s="218" t="str">
        <f t="shared" ca="1" si="41"/>
        <v>✓ OK</v>
      </c>
    </row>
    <row r="37" spans="2:19" ht="15" customHeight="1">
      <c r="B37" s="220">
        <v>46241</v>
      </c>
      <c r="C37" s="46" t="str">
        <f t="shared" si="0"/>
        <v>Agosto</v>
      </c>
      <c r="D37">
        <f t="shared" si="5"/>
        <v>2026</v>
      </c>
      <c r="E37" s="404" t="s">
        <v>228</v>
      </c>
      <c r="F37" s="188" t="s">
        <v>224</v>
      </c>
      <c r="G37" s="404" t="s">
        <v>254</v>
      </c>
      <c r="H37" s="404" t="s">
        <v>30</v>
      </c>
      <c r="I37" s="403">
        <v>127.8</v>
      </c>
      <c r="J37" s="403">
        <f t="shared" si="11"/>
        <v>127.8</v>
      </c>
      <c r="K37" s="401">
        <v>0</v>
      </c>
      <c r="L37" s="46" t="s">
        <v>28</v>
      </c>
      <c r="M37" s="239">
        <f t="shared" si="1"/>
        <v>127.8</v>
      </c>
      <c r="N37" s="220">
        <v>46241</v>
      </c>
      <c r="O37" s="312" t="str">
        <f t="shared" si="2"/>
        <v>agosto</v>
      </c>
      <c r="P37">
        <f t="shared" si="9"/>
        <v>2026</v>
      </c>
      <c r="R37" s="46" t="str">
        <f t="shared" si="10"/>
        <v>PAGO</v>
      </c>
      <c r="S37" s="218" t="str">
        <f t="shared" ca="1" si="3"/>
        <v>✓ OK</v>
      </c>
    </row>
    <row r="38" spans="2:19" ht="15" customHeight="1">
      <c r="B38" s="220">
        <v>46241</v>
      </c>
      <c r="C38" s="46" t="str">
        <f t="shared" si="0"/>
        <v>Agosto</v>
      </c>
      <c r="D38">
        <f t="shared" si="5"/>
        <v>2026</v>
      </c>
      <c r="E38" s="404" t="s">
        <v>255</v>
      </c>
      <c r="F38" s="188" t="s">
        <v>224</v>
      </c>
      <c r="G38" s="404" t="s">
        <v>245</v>
      </c>
      <c r="H38" s="404" t="s">
        <v>30</v>
      </c>
      <c r="I38" s="403">
        <v>106.83</v>
      </c>
      <c r="J38" s="403">
        <f t="shared" si="11"/>
        <v>106.83</v>
      </c>
      <c r="K38" s="401">
        <v>0</v>
      </c>
      <c r="L38" s="46" t="s">
        <v>28</v>
      </c>
      <c r="M38" s="239">
        <f t="shared" si="1"/>
        <v>106.83</v>
      </c>
      <c r="N38" s="220">
        <v>46241</v>
      </c>
      <c r="O38" s="312" t="str">
        <f t="shared" si="2"/>
        <v>agosto</v>
      </c>
      <c r="P38">
        <f t="shared" si="9"/>
        <v>2026</v>
      </c>
      <c r="R38" s="46" t="str">
        <f t="shared" si="10"/>
        <v>PAGO</v>
      </c>
      <c r="S38" s="218" t="str">
        <f t="shared" ca="1" si="3"/>
        <v>✓ OK</v>
      </c>
    </row>
    <row r="39" spans="2:19" ht="15" customHeight="1">
      <c r="B39" s="220">
        <v>46246</v>
      </c>
      <c r="C39" s="46" t="str">
        <f t="shared" ref="C39" si="50">IF(B39&lt;&gt;"",PROPER(TEXT(B39,"mmmm")),"")</f>
        <v>Agosto</v>
      </c>
      <c r="D39">
        <f t="shared" ref="D39" si="51">IF(B39="","",YEAR(B39))</f>
        <v>2026</v>
      </c>
      <c r="E39" s="404" t="s">
        <v>257</v>
      </c>
      <c r="F39" s="188" t="s">
        <v>224</v>
      </c>
      <c r="G39" s="404" t="s">
        <v>258</v>
      </c>
      <c r="H39" s="404" t="s">
        <v>30</v>
      </c>
      <c r="I39" s="403">
        <v>1000</v>
      </c>
      <c r="J39" s="403">
        <f t="shared" ref="J39" si="52">I39</f>
        <v>1000</v>
      </c>
      <c r="K39" s="401">
        <v>0</v>
      </c>
      <c r="L39" s="46" t="s">
        <v>28</v>
      </c>
      <c r="M39" s="239">
        <f t="shared" ref="M39" si="53">J39</f>
        <v>1000</v>
      </c>
      <c r="N39" s="220">
        <v>46246</v>
      </c>
      <c r="O39" s="312" t="str">
        <f t="shared" ref="O39" si="54">IF(N39&lt;&gt;"",TEXT(N39,"mmmm"),"")</f>
        <v>agosto</v>
      </c>
      <c r="P39">
        <f t="shared" ref="P39" si="55">IF(N39="","",YEAR(N39))</f>
        <v>2026</v>
      </c>
      <c r="R39" s="46" t="str">
        <f t="shared" ref="R39" si="56">IF(J39=0,"",IF(K39=0,"PAGO","A PAGAR"))</f>
        <v>PAGO</v>
      </c>
      <c r="S39" s="218" t="str">
        <f t="shared" ref="S39" ca="1" si="57">IF(R39="PAGO", "✓ OK", IF(R39="A PAGAR", IF(N39&lt;TODAY(), "⚠ EM ATRASO", "EM DIA"), ""))</f>
        <v>✓ OK</v>
      </c>
    </row>
    <row r="40" spans="2:19" ht="15" customHeight="1">
      <c r="B40" s="220">
        <v>46255</v>
      </c>
      <c r="C40" s="46" t="str">
        <f t="shared" ref="C40" si="58">IF(B40&lt;&gt;"",PROPER(TEXT(B40,"mmmm")),"")</f>
        <v>Agosto</v>
      </c>
      <c r="D40">
        <f t="shared" ref="D40" si="59">IF(B40="","",YEAR(B40))</f>
        <v>2026</v>
      </c>
      <c r="E40" s="404" t="s">
        <v>255</v>
      </c>
      <c r="F40" s="188" t="s">
        <v>224</v>
      </c>
      <c r="G40" s="404" t="s">
        <v>259</v>
      </c>
      <c r="H40" s="404" t="s">
        <v>30</v>
      </c>
      <c r="I40" s="403">
        <v>92</v>
      </c>
      <c r="J40" s="403">
        <f t="shared" ref="J40" si="60">I40</f>
        <v>92</v>
      </c>
      <c r="K40" s="401">
        <v>0</v>
      </c>
      <c r="L40" s="46" t="s">
        <v>28</v>
      </c>
      <c r="M40" s="239">
        <f t="shared" ref="M40" si="61">J40</f>
        <v>92</v>
      </c>
      <c r="N40" s="220">
        <v>46255</v>
      </c>
      <c r="O40" s="312" t="str">
        <f t="shared" ref="O40" si="62">IF(N40&lt;&gt;"",TEXT(N40,"mmmm"),"")</f>
        <v>agosto</v>
      </c>
      <c r="P40">
        <f t="shared" ref="P40" si="63">IF(N40="","",YEAR(N40))</f>
        <v>2026</v>
      </c>
      <c r="R40" s="46" t="str">
        <f t="shared" ref="R40" si="64">IF(J40=0,"",IF(K40=0,"PAGO","A PAGAR"))</f>
        <v>PAGO</v>
      </c>
      <c r="S40" s="218" t="str">
        <f t="shared" ref="S40" ca="1" si="65">IF(R40="PAGO", "✓ OK", IF(R40="A PAGAR", IF(N40&lt;TODAY(), "⚠ EM ATRASO", "EM DIA"), ""))</f>
        <v>✓ OK</v>
      </c>
    </row>
    <row r="41" spans="2:19" ht="15" customHeight="1">
      <c r="B41" s="220">
        <v>46262</v>
      </c>
      <c r="C41" s="46" t="str">
        <f t="shared" ref="C41" si="66">IF(B41&lt;&gt;"",PROPER(TEXT(B41,"mmmm")),"")</f>
        <v>Agosto</v>
      </c>
      <c r="D41">
        <f t="shared" ref="D41" si="67">IF(B41="","",YEAR(B41))</f>
        <v>2026</v>
      </c>
      <c r="E41" s="404" t="s">
        <v>228</v>
      </c>
      <c r="F41" s="188" t="s">
        <v>224</v>
      </c>
      <c r="G41" s="404" t="s">
        <v>260</v>
      </c>
      <c r="H41" s="404" t="s">
        <v>30</v>
      </c>
      <c r="I41" s="403">
        <v>118.65</v>
      </c>
      <c r="J41" s="403">
        <f t="shared" ref="J41" si="68">I41</f>
        <v>118.65</v>
      </c>
      <c r="K41" s="401">
        <v>0</v>
      </c>
      <c r="L41" s="46" t="s">
        <v>28</v>
      </c>
      <c r="M41" s="239">
        <f t="shared" ref="M41" si="69">J41</f>
        <v>118.65</v>
      </c>
      <c r="N41" s="220">
        <v>46262</v>
      </c>
      <c r="O41" s="312" t="str">
        <f t="shared" ref="O41" si="70">IF(N41&lt;&gt;"",TEXT(N41,"mmmm"),"")</f>
        <v>agosto</v>
      </c>
      <c r="P41">
        <f t="shared" ref="P41" si="71">IF(N41="","",YEAR(N41))</f>
        <v>2026</v>
      </c>
      <c r="R41" s="46" t="str">
        <f t="shared" ref="R41" si="72">IF(J41=0,"",IF(K41=0,"PAGO","A PAGAR"))</f>
        <v>PAGO</v>
      </c>
      <c r="S41" s="218" t="str">
        <f t="shared" ref="S41" ca="1" si="73">IF(R41="PAGO", "✓ OK", IF(R41="A PAGAR", IF(N41&lt;TODAY(), "⚠ EM ATRASO", "EM DIA"), ""))</f>
        <v>✓ OK</v>
      </c>
    </row>
    <row r="42" spans="2:19" ht="15" customHeight="1">
      <c r="B42" s="220">
        <v>46262</v>
      </c>
      <c r="C42" s="46" t="str">
        <f t="shared" ref="C42" si="74">IF(B42&lt;&gt;"",PROPER(TEXT(B42,"mmmm")),"")</f>
        <v>Agosto</v>
      </c>
      <c r="D42">
        <f t="shared" ref="D42" si="75">IF(B42="","",YEAR(B42))</f>
        <v>2026</v>
      </c>
      <c r="E42" s="404" t="s">
        <v>261</v>
      </c>
      <c r="F42" s="188" t="s">
        <v>224</v>
      </c>
      <c r="G42" s="404" t="s">
        <v>262</v>
      </c>
      <c r="H42" s="404" t="s">
        <v>30</v>
      </c>
      <c r="I42" s="403">
        <v>196.59</v>
      </c>
      <c r="J42" s="403">
        <f t="shared" ref="J42" si="76">I42</f>
        <v>196.59</v>
      </c>
      <c r="K42" s="401">
        <v>0</v>
      </c>
      <c r="L42" s="46" t="s">
        <v>28</v>
      </c>
      <c r="M42" s="239">
        <f t="shared" ref="M42" si="77">J42</f>
        <v>196.59</v>
      </c>
      <c r="N42" s="220">
        <v>46262</v>
      </c>
      <c r="O42" s="312" t="str">
        <f t="shared" ref="O42" si="78">IF(N42&lt;&gt;"",TEXT(N42,"mmmm"),"")</f>
        <v>agosto</v>
      </c>
      <c r="P42">
        <f t="shared" ref="P42" si="79">IF(N42="","",YEAR(N42))</f>
        <v>2026</v>
      </c>
      <c r="R42" s="46" t="str">
        <f t="shared" ref="R42" si="80">IF(J42=0,"",IF(K42=0,"PAGO","A PAGAR"))</f>
        <v>PAGO</v>
      </c>
      <c r="S42" s="218" t="str">
        <f t="shared" ref="S42" ca="1" si="81">IF(R42="PAGO", "✓ OK", IF(R42="A PAGAR", IF(N42&lt;TODAY(), "⚠ EM ATRASO", "EM DIA"), ""))</f>
        <v>✓ OK</v>
      </c>
    </row>
    <row r="43" spans="2:19" ht="15" customHeight="1">
      <c r="B43" s="556">
        <v>46266</v>
      </c>
      <c r="C43" s="46" t="str">
        <f t="shared" si="0"/>
        <v>Setembro</v>
      </c>
      <c r="D43">
        <f t="shared" si="5"/>
        <v>2026</v>
      </c>
      <c r="E43" s="404" t="s">
        <v>24</v>
      </c>
      <c r="F43" s="188" t="s">
        <v>24</v>
      </c>
      <c r="G43" s="404" t="s">
        <v>215</v>
      </c>
      <c r="H43" s="404" t="s">
        <v>29</v>
      </c>
      <c r="I43" s="403">
        <v>2670</v>
      </c>
      <c r="J43" s="403">
        <f t="shared" si="11"/>
        <v>2670</v>
      </c>
      <c r="K43" s="401">
        <f>J43</f>
        <v>2670</v>
      </c>
      <c r="L43" s="46" t="s">
        <v>28</v>
      </c>
      <c r="M43" s="239">
        <f t="shared" si="1"/>
        <v>2670</v>
      </c>
      <c r="N43" s="220">
        <v>46296</v>
      </c>
      <c r="O43" s="312" t="str">
        <f>IF(N43&lt;&gt;"",TEXT(N43,"mmmm"),"")</f>
        <v>outubro</v>
      </c>
      <c r="P43">
        <f t="shared" si="9"/>
        <v>2026</v>
      </c>
      <c r="R43" s="46" t="str">
        <f t="shared" si="10"/>
        <v>A PAGAR</v>
      </c>
      <c r="S43" s="218" t="str">
        <f t="shared" ca="1" si="3"/>
        <v>EM DIA</v>
      </c>
    </row>
    <row r="44" spans="2:19" ht="15" customHeight="1">
      <c r="B44" s="557">
        <v>46204</v>
      </c>
      <c r="C44" s="46" t="str">
        <f>IF(B44&lt;&gt;"",PROPER(TEXT(B44,"mmmm")),"")</f>
        <v>Julho</v>
      </c>
      <c r="D44">
        <f>IF(B44="","",YEAR(B44))</f>
        <v>2026</v>
      </c>
      <c r="E44" s="404" t="s">
        <v>256</v>
      </c>
      <c r="F44" s="188" t="s">
        <v>239</v>
      </c>
      <c r="G44" s="404" t="s">
        <v>215</v>
      </c>
      <c r="H44" s="385" t="s">
        <v>32</v>
      </c>
      <c r="I44" s="403">
        <v>830</v>
      </c>
      <c r="J44" s="403">
        <f>I44</f>
        <v>830</v>
      </c>
      <c r="K44" s="401">
        <f>J44</f>
        <v>830</v>
      </c>
      <c r="L44" s="46" t="s">
        <v>28</v>
      </c>
      <c r="M44" s="239">
        <f>J44</f>
        <v>830</v>
      </c>
      <c r="N44" s="220">
        <v>46296</v>
      </c>
      <c r="O44" s="312" t="str">
        <f>IF(N44&lt;&gt;"",TEXT(N44,"mmmm"),"")</f>
        <v>outubro</v>
      </c>
      <c r="P44">
        <f>IF(N44="","",YEAR(N44))</f>
        <v>2026</v>
      </c>
      <c r="R44" s="46" t="str">
        <f>IF(J44=0,"",IF(K44=0,"PAGO","A PAGAR"))</f>
        <v>A PAGAR</v>
      </c>
      <c r="S44" s="218" t="str">
        <f ca="1">IF(R44="PAGO", "✓ OK", IF(R44="A PAGAR", IF(N44&lt;TODAY(), "⚠ EM ATRASO", "EM DIA"), ""))</f>
        <v>EM DIA</v>
      </c>
    </row>
    <row r="45" spans="2:19" ht="15" customHeight="1">
      <c r="B45" s="557">
        <v>46266</v>
      </c>
      <c r="C45" s="46" t="str">
        <f t="shared" si="0"/>
        <v>Setembro</v>
      </c>
      <c r="D45">
        <f t="shared" si="5"/>
        <v>2026</v>
      </c>
      <c r="E45" s="404" t="s">
        <v>220</v>
      </c>
      <c r="F45" s="188" t="s">
        <v>210</v>
      </c>
      <c r="G45" s="404" t="s">
        <v>55</v>
      </c>
      <c r="H45" s="404" t="s">
        <v>29</v>
      </c>
      <c r="I45" s="403">
        <v>330</v>
      </c>
      <c r="J45" s="403">
        <f t="shared" si="11"/>
        <v>330</v>
      </c>
      <c r="K45" s="401">
        <f t="shared" ref="K45:K47" si="82">J45</f>
        <v>330</v>
      </c>
      <c r="L45" s="46" t="s">
        <v>28</v>
      </c>
      <c r="M45" s="239">
        <f t="shared" si="1"/>
        <v>330</v>
      </c>
      <c r="N45" s="220">
        <v>46315</v>
      </c>
      <c r="O45" s="312" t="str">
        <f>IF(N45&lt;&gt;"",TEXT(N45,"mmmm"),"")</f>
        <v>outubro</v>
      </c>
      <c r="P45">
        <f t="shared" si="9"/>
        <v>2026</v>
      </c>
      <c r="R45" s="46" t="str">
        <f t="shared" si="10"/>
        <v>A PAGAR</v>
      </c>
      <c r="S45" s="218" t="str">
        <f t="shared" ca="1" si="3"/>
        <v>EM DIA</v>
      </c>
    </row>
    <row r="46" spans="2:19" ht="15" customHeight="1">
      <c r="B46" s="556">
        <v>46266</v>
      </c>
      <c r="C46" s="46" t="str">
        <f t="shared" si="0"/>
        <v>Setembro</v>
      </c>
      <c r="D46">
        <f>IF(B46="","",YEAR(B46))</f>
        <v>2026</v>
      </c>
      <c r="E46" s="404" t="s">
        <v>54</v>
      </c>
      <c r="F46" s="188" t="s">
        <v>54</v>
      </c>
      <c r="G46" s="404" t="s">
        <v>221</v>
      </c>
      <c r="H46" s="404" t="s">
        <v>29</v>
      </c>
      <c r="I46" s="403">
        <v>590</v>
      </c>
      <c r="J46" s="403">
        <f t="shared" si="11"/>
        <v>590</v>
      </c>
      <c r="K46" s="401">
        <f t="shared" si="82"/>
        <v>590</v>
      </c>
      <c r="L46" s="46" t="s">
        <v>28</v>
      </c>
      <c r="M46" s="239">
        <f>J46</f>
        <v>590</v>
      </c>
      <c r="N46" s="220">
        <v>46295</v>
      </c>
      <c r="O46" s="312" t="str">
        <f>IF(N46&lt;&gt;"",TEXT(N46,"mmmm"),"")</f>
        <v>setembro</v>
      </c>
      <c r="P46">
        <f>IF(N46="","",YEAR(N46))</f>
        <v>2026</v>
      </c>
      <c r="R46" s="46" t="str">
        <f>IF(J46=0,"",IF(K46=0,"PAGO","A PAGAR"))</f>
        <v>A PAGAR</v>
      </c>
      <c r="S46" s="218" t="str">
        <f ca="1">IF(R46="PAGO", "✓ OK", IF(R46="A PAGAR", IF(N46&lt;TODAY(), "⚠ EM ATRASO", "EM DIA"), ""))</f>
        <v>EM DIA</v>
      </c>
    </row>
    <row r="47" spans="2:19" ht="15" customHeight="1">
      <c r="B47" s="557">
        <v>46295</v>
      </c>
      <c r="C47" s="46" t="str">
        <f t="shared" si="0"/>
        <v>Setembro</v>
      </c>
      <c r="D47">
        <f t="shared" ref="D47" si="83">IF(B47="","",YEAR(B47))</f>
        <v>2026</v>
      </c>
      <c r="E47" s="404" t="s">
        <v>229</v>
      </c>
      <c r="F47" s="188" t="s">
        <v>229</v>
      </c>
      <c r="G47" s="404" t="s">
        <v>55</v>
      </c>
      <c r="H47" s="404" t="s">
        <v>29</v>
      </c>
      <c r="I47" s="403">
        <v>600</v>
      </c>
      <c r="J47" s="403">
        <f t="shared" si="11"/>
        <v>600</v>
      </c>
      <c r="K47" s="401">
        <f t="shared" si="82"/>
        <v>600</v>
      </c>
      <c r="L47" s="46" t="s">
        <v>28</v>
      </c>
      <c r="M47" s="239">
        <f t="shared" ref="M47" si="84">J47</f>
        <v>600</v>
      </c>
      <c r="N47" s="220">
        <v>46315</v>
      </c>
      <c r="O47" s="312" t="str">
        <f t="shared" ref="O47" si="85">IF(N47&lt;&gt;"",TEXT(N47,"mmmm"),"")</f>
        <v>outubro</v>
      </c>
      <c r="P47">
        <f t="shared" ref="P47" si="86">IF(N47="","",YEAR(N47))</f>
        <v>2026</v>
      </c>
      <c r="R47" s="46" t="str">
        <f t="shared" ref="R47" si="87">IF(J47=0,"",IF(K47=0,"PAGO","A PAGAR"))</f>
        <v>A PAGAR</v>
      </c>
      <c r="S47" s="218" t="str">
        <f t="shared" ref="S47" ca="1" si="88">IF(R47="PAGO", "✓ OK", IF(R47="A PAGAR", IF(N47&lt;TODAY(), "⚠ EM ATRASO", "EM DIA"), ""))</f>
        <v>EM DIA</v>
      </c>
    </row>
    <row r="49" spans="3:19" ht="15" customHeight="1">
      <c r="C49" s="46" t="str">
        <f t="shared" si="0"/>
        <v/>
      </c>
      <c r="D49" t="str">
        <f t="shared" si="5"/>
        <v/>
      </c>
      <c r="F49" s="188"/>
      <c r="J49" s="403">
        <f t="shared" si="11"/>
        <v>0</v>
      </c>
      <c r="K49" s="401">
        <f t="shared" si="11"/>
        <v>0</v>
      </c>
      <c r="L49" s="46"/>
      <c r="M49" s="239">
        <f t="shared" si="1"/>
        <v>0</v>
      </c>
      <c r="O49" s="312" t="str">
        <f t="shared" si="2"/>
        <v/>
      </c>
      <c r="P49" t="str">
        <f t="shared" si="9"/>
        <v/>
      </c>
      <c r="R49" s="46" t="str">
        <f t="shared" ref="R49:R80" si="89">IF(J49=0,"",IF(K49=0,"PAGO","A PAGAR"))</f>
        <v/>
      </c>
      <c r="S49" s="218" t="str">
        <f t="shared" ref="S49:S80" ca="1" si="90">IF(R49="PAGO", "✓ OK", IF(R49="A PAGAR", IF(N49&lt;TODAY(), "⚠ EM ATRASO", "EM DIA"), ""))</f>
        <v/>
      </c>
    </row>
    <row r="50" spans="3:19" ht="15" customHeight="1">
      <c r="C50" s="46" t="str">
        <f t="shared" si="0"/>
        <v/>
      </c>
      <c r="D50" t="str">
        <f t="shared" si="5"/>
        <v/>
      </c>
      <c r="F50" s="188"/>
      <c r="J50" s="403">
        <f t="shared" si="11"/>
        <v>0</v>
      </c>
      <c r="K50" s="401">
        <f t="shared" si="11"/>
        <v>0</v>
      </c>
      <c r="L50" s="46"/>
      <c r="M50" s="239">
        <f t="shared" si="1"/>
        <v>0</v>
      </c>
      <c r="O50" s="312" t="str">
        <f t="shared" si="2"/>
        <v/>
      </c>
      <c r="P50" t="str">
        <f t="shared" si="9"/>
        <v/>
      </c>
      <c r="R50" s="46" t="str">
        <f t="shared" si="89"/>
        <v/>
      </c>
      <c r="S50" s="218" t="str">
        <f t="shared" ca="1" si="90"/>
        <v/>
      </c>
    </row>
    <row r="51" spans="3:19" ht="15" customHeight="1">
      <c r="C51" s="46" t="str">
        <f t="shared" si="0"/>
        <v/>
      </c>
      <c r="D51" t="str">
        <f t="shared" si="5"/>
        <v/>
      </c>
      <c r="F51" s="188"/>
      <c r="J51" s="403">
        <f t="shared" si="11"/>
        <v>0</v>
      </c>
      <c r="K51" s="401">
        <f t="shared" si="11"/>
        <v>0</v>
      </c>
      <c r="L51" s="46"/>
      <c r="M51" s="239">
        <f t="shared" si="1"/>
        <v>0</v>
      </c>
      <c r="O51" s="312" t="str">
        <f t="shared" si="2"/>
        <v/>
      </c>
      <c r="P51" t="str">
        <f t="shared" si="9"/>
        <v/>
      </c>
      <c r="R51" s="46" t="str">
        <f t="shared" si="89"/>
        <v/>
      </c>
      <c r="S51" s="218" t="str">
        <f t="shared" ca="1" si="90"/>
        <v/>
      </c>
    </row>
    <row r="52" spans="3:19" ht="15" customHeight="1">
      <c r="C52" s="46" t="str">
        <f t="shared" si="0"/>
        <v/>
      </c>
      <c r="D52" t="str">
        <f t="shared" si="5"/>
        <v/>
      </c>
      <c r="F52" s="188"/>
      <c r="J52" s="403">
        <f t="shared" si="11"/>
        <v>0</v>
      </c>
      <c r="K52" s="401">
        <f t="shared" si="11"/>
        <v>0</v>
      </c>
      <c r="L52" s="46"/>
      <c r="M52" s="239">
        <f t="shared" si="1"/>
        <v>0</v>
      </c>
      <c r="O52" s="312" t="str">
        <f t="shared" si="2"/>
        <v/>
      </c>
      <c r="P52" t="str">
        <f t="shared" si="9"/>
        <v/>
      </c>
      <c r="R52" s="46" t="str">
        <f t="shared" si="89"/>
        <v/>
      </c>
      <c r="S52" s="218" t="str">
        <f t="shared" ca="1" si="90"/>
        <v/>
      </c>
    </row>
    <row r="53" spans="3:19" ht="15" customHeight="1">
      <c r="C53" s="46" t="str">
        <f t="shared" si="0"/>
        <v/>
      </c>
      <c r="D53" t="str">
        <f t="shared" si="5"/>
        <v/>
      </c>
      <c r="F53" s="188"/>
      <c r="J53" s="403">
        <f t="shared" si="11"/>
        <v>0</v>
      </c>
      <c r="K53" s="401">
        <f t="shared" si="11"/>
        <v>0</v>
      </c>
      <c r="L53" s="46"/>
      <c r="M53" s="239">
        <f t="shared" si="1"/>
        <v>0</v>
      </c>
      <c r="O53" s="312" t="str">
        <f t="shared" si="2"/>
        <v/>
      </c>
      <c r="P53" t="str">
        <f t="shared" si="9"/>
        <v/>
      </c>
      <c r="R53" s="46" t="str">
        <f t="shared" si="89"/>
        <v/>
      </c>
      <c r="S53" s="218" t="str">
        <f t="shared" ca="1" si="90"/>
        <v/>
      </c>
    </row>
    <row r="54" spans="3:19" ht="15" customHeight="1">
      <c r="C54" s="46" t="str">
        <f t="shared" si="0"/>
        <v/>
      </c>
      <c r="D54" t="str">
        <f t="shared" si="5"/>
        <v/>
      </c>
      <c r="F54" s="188"/>
      <c r="J54" s="403">
        <f t="shared" si="11"/>
        <v>0</v>
      </c>
      <c r="K54" s="401">
        <f t="shared" si="11"/>
        <v>0</v>
      </c>
      <c r="L54" s="46"/>
      <c r="M54" s="239">
        <f t="shared" si="1"/>
        <v>0</v>
      </c>
      <c r="O54" s="312" t="str">
        <f t="shared" si="2"/>
        <v/>
      </c>
      <c r="P54" t="str">
        <f t="shared" si="9"/>
        <v/>
      </c>
      <c r="R54" s="46" t="str">
        <f t="shared" si="89"/>
        <v/>
      </c>
      <c r="S54" s="218" t="str">
        <f t="shared" ca="1" si="90"/>
        <v/>
      </c>
    </row>
    <row r="55" spans="3:19" ht="15" customHeight="1">
      <c r="C55" s="46" t="str">
        <f t="shared" si="0"/>
        <v/>
      </c>
      <c r="D55" t="str">
        <f t="shared" si="5"/>
        <v/>
      </c>
      <c r="F55" s="188"/>
      <c r="J55" s="403">
        <f t="shared" si="11"/>
        <v>0</v>
      </c>
      <c r="K55" s="401">
        <f t="shared" si="11"/>
        <v>0</v>
      </c>
      <c r="L55" s="46"/>
      <c r="M55" s="239">
        <f t="shared" si="1"/>
        <v>0</v>
      </c>
      <c r="O55" s="312" t="str">
        <f t="shared" si="2"/>
        <v/>
      </c>
      <c r="P55" t="str">
        <f t="shared" si="9"/>
        <v/>
      </c>
      <c r="R55" s="46" t="str">
        <f t="shared" si="89"/>
        <v/>
      </c>
      <c r="S55" s="218" t="str">
        <f t="shared" ca="1" si="90"/>
        <v/>
      </c>
    </row>
    <row r="56" spans="3:19" ht="15" customHeight="1">
      <c r="C56" s="46" t="str">
        <f t="shared" si="0"/>
        <v/>
      </c>
      <c r="D56" t="str">
        <f t="shared" si="5"/>
        <v/>
      </c>
      <c r="F56" s="188"/>
      <c r="J56" s="403">
        <f t="shared" si="11"/>
        <v>0</v>
      </c>
      <c r="K56" s="401">
        <f t="shared" si="11"/>
        <v>0</v>
      </c>
      <c r="L56" s="46"/>
      <c r="M56" s="239">
        <f t="shared" si="1"/>
        <v>0</v>
      </c>
      <c r="O56" s="312" t="str">
        <f t="shared" si="2"/>
        <v/>
      </c>
      <c r="P56" t="str">
        <f t="shared" si="9"/>
        <v/>
      </c>
      <c r="R56" s="46" t="str">
        <f t="shared" si="89"/>
        <v/>
      </c>
      <c r="S56" s="218" t="str">
        <f t="shared" ca="1" si="90"/>
        <v/>
      </c>
    </row>
    <row r="57" spans="3:19" ht="15" customHeight="1">
      <c r="C57" s="46" t="str">
        <f t="shared" si="0"/>
        <v/>
      </c>
      <c r="D57" t="str">
        <f t="shared" si="5"/>
        <v/>
      </c>
      <c r="F57" s="188"/>
      <c r="J57" s="403">
        <f t="shared" si="11"/>
        <v>0</v>
      </c>
      <c r="K57" s="401">
        <f t="shared" si="11"/>
        <v>0</v>
      </c>
      <c r="L57" s="46"/>
      <c r="M57" s="239">
        <f t="shared" si="1"/>
        <v>0</v>
      </c>
      <c r="O57" s="312" t="str">
        <f t="shared" si="2"/>
        <v/>
      </c>
      <c r="P57" t="str">
        <f t="shared" si="9"/>
        <v/>
      </c>
      <c r="R57" s="46" t="str">
        <f t="shared" si="89"/>
        <v/>
      </c>
      <c r="S57" s="218" t="str">
        <f t="shared" ca="1" si="90"/>
        <v/>
      </c>
    </row>
    <row r="58" spans="3:19" ht="15" customHeight="1">
      <c r="C58" s="46" t="str">
        <f t="shared" si="0"/>
        <v/>
      </c>
      <c r="D58" t="str">
        <f t="shared" si="5"/>
        <v/>
      </c>
      <c r="F58" s="188"/>
      <c r="J58" s="403">
        <f t="shared" si="11"/>
        <v>0</v>
      </c>
      <c r="K58" s="401">
        <f t="shared" si="11"/>
        <v>0</v>
      </c>
      <c r="L58" s="46"/>
      <c r="M58" s="239">
        <f t="shared" si="1"/>
        <v>0</v>
      </c>
      <c r="O58" s="312" t="str">
        <f t="shared" si="2"/>
        <v/>
      </c>
      <c r="P58" t="str">
        <f t="shared" si="9"/>
        <v/>
      </c>
      <c r="R58" s="46" t="str">
        <f t="shared" si="89"/>
        <v/>
      </c>
      <c r="S58" s="218" t="str">
        <f t="shared" ca="1" si="90"/>
        <v/>
      </c>
    </row>
    <row r="59" spans="3:19" ht="15" customHeight="1">
      <c r="C59" s="46" t="str">
        <f t="shared" si="0"/>
        <v/>
      </c>
      <c r="D59" t="str">
        <f t="shared" si="5"/>
        <v/>
      </c>
      <c r="F59" s="188"/>
      <c r="J59" s="403">
        <f t="shared" si="11"/>
        <v>0</v>
      </c>
      <c r="K59" s="401">
        <f t="shared" si="11"/>
        <v>0</v>
      </c>
      <c r="L59" s="46"/>
      <c r="M59" s="239">
        <f t="shared" si="1"/>
        <v>0</v>
      </c>
      <c r="O59" s="312" t="str">
        <f t="shared" si="2"/>
        <v/>
      </c>
      <c r="P59" t="str">
        <f t="shared" si="9"/>
        <v/>
      </c>
      <c r="R59" s="46" t="str">
        <f t="shared" si="89"/>
        <v/>
      </c>
      <c r="S59" s="218" t="str">
        <f t="shared" ca="1" si="90"/>
        <v/>
      </c>
    </row>
    <row r="60" spans="3:19" ht="15" customHeight="1">
      <c r="C60" s="46" t="str">
        <f t="shared" si="0"/>
        <v/>
      </c>
      <c r="D60" t="str">
        <f t="shared" si="5"/>
        <v/>
      </c>
      <c r="F60" s="188"/>
      <c r="J60" s="403">
        <f t="shared" si="11"/>
        <v>0</v>
      </c>
      <c r="K60" s="401">
        <f t="shared" si="11"/>
        <v>0</v>
      </c>
      <c r="L60" s="46"/>
      <c r="M60" s="239">
        <f t="shared" si="1"/>
        <v>0</v>
      </c>
      <c r="O60" s="312" t="str">
        <f t="shared" si="2"/>
        <v/>
      </c>
      <c r="P60" t="str">
        <f t="shared" si="9"/>
        <v/>
      </c>
      <c r="R60" s="46" t="str">
        <f t="shared" si="89"/>
        <v/>
      </c>
      <c r="S60" s="218" t="str">
        <f t="shared" ca="1" si="90"/>
        <v/>
      </c>
    </row>
    <row r="61" spans="3:19" ht="15" customHeight="1">
      <c r="C61" s="46" t="str">
        <f t="shared" si="0"/>
        <v/>
      </c>
      <c r="D61" t="str">
        <f t="shared" si="5"/>
        <v/>
      </c>
      <c r="F61" s="188"/>
      <c r="J61" s="403">
        <f t="shared" si="11"/>
        <v>0</v>
      </c>
      <c r="K61" s="401">
        <f t="shared" si="11"/>
        <v>0</v>
      </c>
      <c r="L61" s="46"/>
      <c r="M61" s="239">
        <f t="shared" si="1"/>
        <v>0</v>
      </c>
      <c r="O61" s="312" t="str">
        <f t="shared" si="2"/>
        <v/>
      </c>
      <c r="P61" t="str">
        <f t="shared" si="9"/>
        <v/>
      </c>
      <c r="R61" s="46" t="str">
        <f t="shared" si="89"/>
        <v/>
      </c>
      <c r="S61" s="218" t="str">
        <f t="shared" ca="1" si="90"/>
        <v/>
      </c>
    </row>
    <row r="62" spans="3:19" ht="15" customHeight="1">
      <c r="C62" s="46" t="str">
        <f t="shared" si="0"/>
        <v/>
      </c>
      <c r="D62" t="str">
        <f t="shared" si="5"/>
        <v/>
      </c>
      <c r="F62" s="188"/>
      <c r="J62" s="403">
        <f t="shared" si="11"/>
        <v>0</v>
      </c>
      <c r="K62" s="401">
        <f t="shared" si="11"/>
        <v>0</v>
      </c>
      <c r="L62" s="46"/>
      <c r="M62" s="239">
        <f t="shared" si="1"/>
        <v>0</v>
      </c>
      <c r="O62" s="312" t="str">
        <f t="shared" si="2"/>
        <v/>
      </c>
      <c r="P62" t="str">
        <f t="shared" si="9"/>
        <v/>
      </c>
      <c r="R62" s="46" t="str">
        <f t="shared" si="89"/>
        <v/>
      </c>
      <c r="S62" s="218" t="str">
        <f t="shared" ca="1" si="90"/>
        <v/>
      </c>
    </row>
    <row r="63" spans="3:19" ht="15" customHeight="1">
      <c r="C63" s="46" t="str">
        <f t="shared" si="0"/>
        <v/>
      </c>
      <c r="D63" t="str">
        <f t="shared" si="5"/>
        <v/>
      </c>
      <c r="F63" s="188"/>
      <c r="J63" s="403">
        <f t="shared" si="11"/>
        <v>0</v>
      </c>
      <c r="K63" s="401">
        <f t="shared" si="11"/>
        <v>0</v>
      </c>
      <c r="L63" s="46"/>
      <c r="M63" s="239">
        <f t="shared" si="1"/>
        <v>0</v>
      </c>
      <c r="O63" s="312" t="str">
        <f t="shared" si="2"/>
        <v/>
      </c>
      <c r="P63" t="str">
        <f t="shared" si="9"/>
        <v/>
      </c>
      <c r="R63" s="46" t="str">
        <f t="shared" si="89"/>
        <v/>
      </c>
      <c r="S63" s="218" t="str">
        <f t="shared" ca="1" si="90"/>
        <v/>
      </c>
    </row>
    <row r="64" spans="3:19" ht="15" customHeight="1">
      <c r="C64" s="46" t="str">
        <f t="shared" si="0"/>
        <v/>
      </c>
      <c r="D64" t="str">
        <f t="shared" si="5"/>
        <v/>
      </c>
      <c r="F64" s="188"/>
      <c r="J64" s="403">
        <f t="shared" si="11"/>
        <v>0</v>
      </c>
      <c r="K64" s="401">
        <f t="shared" si="11"/>
        <v>0</v>
      </c>
      <c r="L64" s="46"/>
      <c r="M64" s="239">
        <f t="shared" si="1"/>
        <v>0</v>
      </c>
      <c r="O64" s="312" t="str">
        <f t="shared" si="2"/>
        <v/>
      </c>
      <c r="P64" t="str">
        <f t="shared" si="9"/>
        <v/>
      </c>
      <c r="R64" s="46" t="str">
        <f t="shared" si="89"/>
        <v/>
      </c>
      <c r="S64" s="218" t="str">
        <f t="shared" ca="1" si="90"/>
        <v/>
      </c>
    </row>
    <row r="65" spans="3:19" ht="15" customHeight="1">
      <c r="C65" s="46" t="str">
        <f t="shared" si="0"/>
        <v/>
      </c>
      <c r="D65" t="str">
        <f t="shared" si="5"/>
        <v/>
      </c>
      <c r="F65" s="188"/>
      <c r="J65" s="403">
        <f t="shared" si="11"/>
        <v>0</v>
      </c>
      <c r="K65" s="401">
        <f t="shared" si="11"/>
        <v>0</v>
      </c>
      <c r="L65" s="46"/>
      <c r="M65" s="239">
        <f t="shared" si="1"/>
        <v>0</v>
      </c>
      <c r="O65" s="312" t="str">
        <f t="shared" si="2"/>
        <v/>
      </c>
      <c r="P65" t="str">
        <f t="shared" si="9"/>
        <v/>
      </c>
      <c r="R65" s="46" t="str">
        <f t="shared" si="89"/>
        <v/>
      </c>
      <c r="S65" s="218" t="str">
        <f t="shared" ca="1" si="90"/>
        <v/>
      </c>
    </row>
    <row r="66" spans="3:19" ht="15" customHeight="1">
      <c r="C66" s="46" t="str">
        <f t="shared" si="0"/>
        <v/>
      </c>
      <c r="D66" t="str">
        <f t="shared" si="5"/>
        <v/>
      </c>
      <c r="F66" s="188"/>
      <c r="J66" s="403">
        <f t="shared" si="11"/>
        <v>0</v>
      </c>
      <c r="K66" s="401">
        <f t="shared" si="11"/>
        <v>0</v>
      </c>
      <c r="L66" s="46"/>
      <c r="M66" s="239">
        <f t="shared" si="1"/>
        <v>0</v>
      </c>
      <c r="O66" s="312" t="str">
        <f t="shared" si="2"/>
        <v/>
      </c>
      <c r="P66" t="str">
        <f t="shared" si="9"/>
        <v/>
      </c>
      <c r="R66" s="46" t="str">
        <f t="shared" si="89"/>
        <v/>
      </c>
      <c r="S66" s="218" t="str">
        <f t="shared" ca="1" si="90"/>
        <v/>
      </c>
    </row>
    <row r="67" spans="3:19" ht="15" customHeight="1">
      <c r="C67" s="46" t="str">
        <f t="shared" si="0"/>
        <v/>
      </c>
      <c r="D67" t="str">
        <f t="shared" si="5"/>
        <v/>
      </c>
      <c r="F67" s="188"/>
      <c r="J67" s="403">
        <f t="shared" si="11"/>
        <v>0</v>
      </c>
      <c r="K67" s="401">
        <f t="shared" si="11"/>
        <v>0</v>
      </c>
      <c r="L67" s="46"/>
      <c r="M67" s="239">
        <f t="shared" si="1"/>
        <v>0</v>
      </c>
      <c r="O67" s="312" t="str">
        <f t="shared" si="2"/>
        <v/>
      </c>
      <c r="P67" t="str">
        <f t="shared" si="9"/>
        <v/>
      </c>
      <c r="R67" s="46" t="str">
        <f t="shared" si="89"/>
        <v/>
      </c>
      <c r="S67" s="218" t="str">
        <f t="shared" ca="1" si="90"/>
        <v/>
      </c>
    </row>
    <row r="68" spans="3:19" ht="15" customHeight="1">
      <c r="C68" s="46" t="str">
        <f t="shared" si="0"/>
        <v/>
      </c>
      <c r="D68" t="str">
        <f t="shared" si="5"/>
        <v/>
      </c>
      <c r="F68" s="188"/>
      <c r="J68" s="403">
        <f t="shared" si="11"/>
        <v>0</v>
      </c>
      <c r="K68" s="401">
        <f t="shared" si="11"/>
        <v>0</v>
      </c>
      <c r="L68" s="46"/>
      <c r="M68" s="239">
        <f t="shared" si="1"/>
        <v>0</v>
      </c>
      <c r="O68" s="312" t="str">
        <f t="shared" si="2"/>
        <v/>
      </c>
      <c r="P68" t="str">
        <f t="shared" si="9"/>
        <v/>
      </c>
      <c r="R68" s="46" t="str">
        <f t="shared" si="89"/>
        <v/>
      </c>
      <c r="S68" s="218" t="str">
        <f t="shared" ca="1" si="90"/>
        <v/>
      </c>
    </row>
    <row r="69" spans="3:19" ht="15" customHeight="1">
      <c r="C69" s="46" t="str">
        <f t="shared" si="0"/>
        <v/>
      </c>
      <c r="D69" t="str">
        <f t="shared" si="5"/>
        <v/>
      </c>
      <c r="F69" s="188"/>
      <c r="J69" s="403">
        <f t="shared" si="11"/>
        <v>0</v>
      </c>
      <c r="K69" s="401">
        <f t="shared" si="11"/>
        <v>0</v>
      </c>
      <c r="L69" s="46"/>
      <c r="M69" s="239">
        <f t="shared" si="1"/>
        <v>0</v>
      </c>
      <c r="O69" s="312" t="str">
        <f t="shared" si="2"/>
        <v/>
      </c>
      <c r="P69" t="str">
        <f t="shared" si="9"/>
        <v/>
      </c>
      <c r="R69" s="46" t="str">
        <f t="shared" si="89"/>
        <v/>
      </c>
      <c r="S69" s="218" t="str">
        <f t="shared" ca="1" si="90"/>
        <v/>
      </c>
    </row>
    <row r="70" spans="3:19" ht="15" customHeight="1">
      <c r="C70" s="46" t="str">
        <f t="shared" si="0"/>
        <v/>
      </c>
      <c r="D70" t="str">
        <f t="shared" si="5"/>
        <v/>
      </c>
      <c r="F70" s="188"/>
      <c r="J70" s="403">
        <f t="shared" si="11"/>
        <v>0</v>
      </c>
      <c r="K70" s="401">
        <f t="shared" si="11"/>
        <v>0</v>
      </c>
      <c r="L70" s="46"/>
      <c r="M70" s="239">
        <f t="shared" si="1"/>
        <v>0</v>
      </c>
      <c r="O70" s="312" t="str">
        <f t="shared" si="2"/>
        <v/>
      </c>
      <c r="P70" t="str">
        <f t="shared" si="9"/>
        <v/>
      </c>
      <c r="R70" s="46" t="str">
        <f t="shared" si="89"/>
        <v/>
      </c>
      <c r="S70" s="218" t="str">
        <f t="shared" ca="1" si="90"/>
        <v/>
      </c>
    </row>
    <row r="71" spans="3:19" ht="15" customHeight="1">
      <c r="C71" s="46" t="str">
        <f t="shared" si="0"/>
        <v/>
      </c>
      <c r="D71" t="str">
        <f t="shared" si="5"/>
        <v/>
      </c>
      <c r="F71" s="188"/>
      <c r="J71" s="403">
        <f t="shared" si="11"/>
        <v>0</v>
      </c>
      <c r="K71" s="401">
        <f t="shared" si="11"/>
        <v>0</v>
      </c>
      <c r="L71" s="46"/>
      <c r="M71" s="239">
        <f t="shared" si="1"/>
        <v>0</v>
      </c>
      <c r="O71" s="312" t="str">
        <f t="shared" si="2"/>
        <v/>
      </c>
      <c r="P71" t="str">
        <f t="shared" si="9"/>
        <v/>
      </c>
      <c r="R71" s="46" t="str">
        <f t="shared" si="89"/>
        <v/>
      </c>
      <c r="S71" s="218" t="str">
        <f t="shared" ca="1" si="90"/>
        <v/>
      </c>
    </row>
    <row r="72" spans="3:19" ht="15" customHeight="1">
      <c r="C72" s="46" t="str">
        <f t="shared" si="0"/>
        <v/>
      </c>
      <c r="D72" t="str">
        <f t="shared" si="5"/>
        <v/>
      </c>
      <c r="F72" s="188"/>
      <c r="J72" s="403">
        <f t="shared" si="11"/>
        <v>0</v>
      </c>
      <c r="K72" s="401">
        <f t="shared" si="11"/>
        <v>0</v>
      </c>
      <c r="L72" s="46"/>
      <c r="M72" s="239">
        <f t="shared" si="1"/>
        <v>0</v>
      </c>
      <c r="O72" s="312" t="str">
        <f t="shared" si="2"/>
        <v/>
      </c>
      <c r="P72" t="str">
        <f t="shared" si="9"/>
        <v/>
      </c>
      <c r="R72" s="46" t="str">
        <f t="shared" si="89"/>
        <v/>
      </c>
      <c r="S72" s="218" t="str">
        <f t="shared" ca="1" si="90"/>
        <v/>
      </c>
    </row>
    <row r="73" spans="3:19" ht="15" customHeight="1">
      <c r="C73" s="46" t="str">
        <f t="shared" si="0"/>
        <v/>
      </c>
      <c r="D73" t="str">
        <f t="shared" si="5"/>
        <v/>
      </c>
      <c r="F73" s="188"/>
      <c r="J73" s="403">
        <f t="shared" si="11"/>
        <v>0</v>
      </c>
      <c r="K73" s="401">
        <f t="shared" si="11"/>
        <v>0</v>
      </c>
      <c r="L73" s="46"/>
      <c r="M73" s="239">
        <f t="shared" si="1"/>
        <v>0</v>
      </c>
      <c r="O73" s="312" t="str">
        <f t="shared" si="2"/>
        <v/>
      </c>
      <c r="P73" t="str">
        <f t="shared" si="9"/>
        <v/>
      </c>
      <c r="R73" s="46" t="str">
        <f t="shared" si="89"/>
        <v/>
      </c>
      <c r="S73" s="218" t="str">
        <f t="shared" ca="1" si="90"/>
        <v/>
      </c>
    </row>
    <row r="74" spans="3:19" ht="15" customHeight="1">
      <c r="C74" s="46" t="str">
        <f t="shared" si="0"/>
        <v/>
      </c>
      <c r="D74" t="str">
        <f t="shared" si="5"/>
        <v/>
      </c>
      <c r="F74" s="188"/>
      <c r="J74" s="403">
        <f t="shared" si="11"/>
        <v>0</v>
      </c>
      <c r="K74" s="401">
        <f t="shared" si="11"/>
        <v>0</v>
      </c>
      <c r="L74" s="46"/>
      <c r="M74" s="239">
        <f t="shared" si="1"/>
        <v>0</v>
      </c>
      <c r="O74" s="312" t="str">
        <f t="shared" si="2"/>
        <v/>
      </c>
      <c r="P74" t="str">
        <f t="shared" si="9"/>
        <v/>
      </c>
      <c r="R74" s="46" t="str">
        <f t="shared" si="89"/>
        <v/>
      </c>
      <c r="S74" s="218" t="str">
        <f t="shared" ca="1" si="90"/>
        <v/>
      </c>
    </row>
    <row r="75" spans="3:19" ht="15" customHeight="1">
      <c r="C75" s="46" t="str">
        <f t="shared" si="0"/>
        <v/>
      </c>
      <c r="D75" t="str">
        <f t="shared" si="5"/>
        <v/>
      </c>
      <c r="F75" s="188"/>
      <c r="J75" s="403">
        <f t="shared" si="11"/>
        <v>0</v>
      </c>
      <c r="K75" s="401">
        <f t="shared" si="11"/>
        <v>0</v>
      </c>
      <c r="L75" s="46"/>
      <c r="M75" s="239">
        <f t="shared" si="1"/>
        <v>0</v>
      </c>
      <c r="O75" s="312" t="str">
        <f t="shared" si="2"/>
        <v/>
      </c>
      <c r="P75" t="str">
        <f t="shared" si="9"/>
        <v/>
      </c>
      <c r="R75" s="46" t="str">
        <f t="shared" si="89"/>
        <v/>
      </c>
      <c r="S75" s="218" t="str">
        <f t="shared" ca="1" si="90"/>
        <v/>
      </c>
    </row>
    <row r="76" spans="3:19" ht="15" customHeight="1">
      <c r="C76" s="46" t="str">
        <f t="shared" ref="C76:C139" si="91">IF(B76&lt;&gt;"",PROPER(TEXT(B76,"mmmm")),"")</f>
        <v/>
      </c>
      <c r="D76" t="str">
        <f t="shared" si="5"/>
        <v/>
      </c>
      <c r="F76" s="188"/>
      <c r="J76" s="403">
        <f t="shared" si="11"/>
        <v>0</v>
      </c>
      <c r="K76" s="401">
        <f t="shared" si="11"/>
        <v>0</v>
      </c>
      <c r="L76" s="46"/>
      <c r="M76" s="239">
        <f t="shared" si="1"/>
        <v>0</v>
      </c>
      <c r="O76" s="312" t="str">
        <f t="shared" ref="O76:O137" si="92">IF(N76&lt;&gt;"",TEXT(N76,"mmmm"),"")</f>
        <v/>
      </c>
      <c r="P76" t="str">
        <f t="shared" si="9"/>
        <v/>
      </c>
      <c r="R76" s="46" t="str">
        <f t="shared" si="89"/>
        <v/>
      </c>
      <c r="S76" s="218" t="str">
        <f t="shared" ca="1" si="90"/>
        <v/>
      </c>
    </row>
    <row r="77" spans="3:19" ht="15" customHeight="1">
      <c r="C77" s="46" t="str">
        <f t="shared" si="91"/>
        <v/>
      </c>
      <c r="D77" t="str">
        <f t="shared" si="5"/>
        <v/>
      </c>
      <c r="F77" s="188"/>
      <c r="J77" s="403">
        <f t="shared" ref="J77:K133" si="93">I77</f>
        <v>0</v>
      </c>
      <c r="K77" s="401">
        <f t="shared" si="93"/>
        <v>0</v>
      </c>
      <c r="L77" s="46"/>
      <c r="M77" s="239">
        <f t="shared" si="1"/>
        <v>0</v>
      </c>
      <c r="O77" s="312" t="str">
        <f t="shared" si="92"/>
        <v/>
      </c>
      <c r="P77" t="str">
        <f t="shared" si="9"/>
        <v/>
      </c>
      <c r="R77" s="46" t="str">
        <f t="shared" si="89"/>
        <v/>
      </c>
      <c r="S77" s="218" t="str">
        <f t="shared" ca="1" si="90"/>
        <v/>
      </c>
    </row>
    <row r="78" spans="3:19" ht="15" customHeight="1">
      <c r="C78" s="46" t="str">
        <f t="shared" si="91"/>
        <v/>
      </c>
      <c r="D78" t="str">
        <f t="shared" si="5"/>
        <v/>
      </c>
      <c r="F78" s="188"/>
      <c r="J78" s="403">
        <f t="shared" si="93"/>
        <v>0</v>
      </c>
      <c r="K78" s="401">
        <f t="shared" si="93"/>
        <v>0</v>
      </c>
      <c r="L78" s="46"/>
      <c r="M78" s="239">
        <f t="shared" ref="M78:M141" si="94">J78</f>
        <v>0</v>
      </c>
      <c r="O78" s="312" t="str">
        <f t="shared" si="92"/>
        <v/>
      </c>
      <c r="P78" t="str">
        <f t="shared" si="9"/>
        <v/>
      </c>
      <c r="R78" s="46" t="str">
        <f t="shared" si="89"/>
        <v/>
      </c>
      <c r="S78" s="218" t="str">
        <f t="shared" ca="1" si="90"/>
        <v/>
      </c>
    </row>
    <row r="79" spans="3:19" ht="15" customHeight="1">
      <c r="C79" s="46" t="str">
        <f t="shared" si="91"/>
        <v/>
      </c>
      <c r="D79" t="str">
        <f t="shared" si="5"/>
        <v/>
      </c>
      <c r="F79" s="188"/>
      <c r="J79" s="403">
        <f t="shared" si="93"/>
        <v>0</v>
      </c>
      <c r="K79" s="401">
        <f t="shared" si="93"/>
        <v>0</v>
      </c>
      <c r="L79" s="46"/>
      <c r="M79" s="239">
        <f t="shared" si="94"/>
        <v>0</v>
      </c>
      <c r="O79" s="312" t="str">
        <f t="shared" si="92"/>
        <v/>
      </c>
      <c r="P79" t="str">
        <f t="shared" si="9"/>
        <v/>
      </c>
      <c r="R79" s="46" t="str">
        <f t="shared" si="89"/>
        <v/>
      </c>
      <c r="S79" s="218" t="str">
        <f t="shared" ca="1" si="90"/>
        <v/>
      </c>
    </row>
    <row r="80" spans="3:19" ht="15" customHeight="1">
      <c r="C80" s="46" t="str">
        <f t="shared" si="91"/>
        <v/>
      </c>
      <c r="D80" t="str">
        <f t="shared" si="5"/>
        <v/>
      </c>
      <c r="F80" s="188"/>
      <c r="J80" s="403">
        <f t="shared" si="93"/>
        <v>0</v>
      </c>
      <c r="K80" s="401">
        <f t="shared" si="93"/>
        <v>0</v>
      </c>
      <c r="L80" s="46"/>
      <c r="M80" s="239">
        <f t="shared" si="94"/>
        <v>0</v>
      </c>
      <c r="O80" s="312" t="str">
        <f t="shared" si="92"/>
        <v/>
      </c>
      <c r="P80" t="str">
        <f t="shared" si="9"/>
        <v/>
      </c>
      <c r="R80" s="46" t="str">
        <f t="shared" si="89"/>
        <v/>
      </c>
      <c r="S80" s="218" t="str">
        <f t="shared" ca="1" si="90"/>
        <v/>
      </c>
    </row>
    <row r="81" spans="3:19" ht="15" customHeight="1">
      <c r="C81" s="46" t="str">
        <f t="shared" si="91"/>
        <v/>
      </c>
      <c r="D81" t="str">
        <f t="shared" si="5"/>
        <v/>
      </c>
      <c r="F81" s="188"/>
      <c r="J81" s="403">
        <f t="shared" si="93"/>
        <v>0</v>
      </c>
      <c r="K81" s="401">
        <f t="shared" si="93"/>
        <v>0</v>
      </c>
      <c r="L81" s="46"/>
      <c r="M81" s="239">
        <f t="shared" si="94"/>
        <v>0</v>
      </c>
      <c r="O81" s="312" t="str">
        <f t="shared" si="92"/>
        <v/>
      </c>
      <c r="P81" t="str">
        <f t="shared" si="9"/>
        <v/>
      </c>
      <c r="R81" s="46" t="str">
        <f t="shared" ref="R81:R112" si="95">IF(J81=0,"",IF(K81=0,"PAGO","A PAGAR"))</f>
        <v/>
      </c>
      <c r="S81" s="218" t="str">
        <f t="shared" ref="S81:S112" ca="1" si="96">IF(R81="PAGO", "✓ OK", IF(R81="A PAGAR", IF(N81&lt;TODAY(), "⚠ EM ATRASO", "EM DIA"), ""))</f>
        <v/>
      </c>
    </row>
    <row r="82" spans="3:19" ht="15" customHeight="1">
      <c r="C82" s="46" t="str">
        <f t="shared" si="91"/>
        <v/>
      </c>
      <c r="D82" t="str">
        <f t="shared" ref="D82:D141" si="97">IF(B82="","",YEAR(B82))</f>
        <v/>
      </c>
      <c r="F82" s="188"/>
      <c r="J82" s="403">
        <f t="shared" si="93"/>
        <v>0</v>
      </c>
      <c r="K82" s="401">
        <f t="shared" si="93"/>
        <v>0</v>
      </c>
      <c r="L82" s="46"/>
      <c r="M82" s="239">
        <f t="shared" si="94"/>
        <v>0</v>
      </c>
      <c r="O82" s="312" t="str">
        <f t="shared" si="92"/>
        <v/>
      </c>
      <c r="P82" t="str">
        <f t="shared" ref="P82:P140" si="98">IF(N82="","",YEAR(N82))</f>
        <v/>
      </c>
      <c r="R82" s="46" t="str">
        <f t="shared" si="95"/>
        <v/>
      </c>
      <c r="S82" s="218" t="str">
        <f t="shared" ca="1" si="96"/>
        <v/>
      </c>
    </row>
    <row r="83" spans="3:19" ht="15" customHeight="1">
      <c r="C83" s="46" t="str">
        <f t="shared" si="91"/>
        <v/>
      </c>
      <c r="D83" t="str">
        <f t="shared" si="97"/>
        <v/>
      </c>
      <c r="F83" s="188"/>
      <c r="J83" s="403">
        <f t="shared" si="93"/>
        <v>0</v>
      </c>
      <c r="K83" s="401">
        <f t="shared" si="93"/>
        <v>0</v>
      </c>
      <c r="L83" s="46"/>
      <c r="M83" s="239">
        <f t="shared" si="94"/>
        <v>0</v>
      </c>
      <c r="O83" s="312" t="str">
        <f t="shared" si="92"/>
        <v/>
      </c>
      <c r="P83" t="str">
        <f t="shared" si="98"/>
        <v/>
      </c>
      <c r="R83" s="46" t="str">
        <f t="shared" si="95"/>
        <v/>
      </c>
      <c r="S83" s="218" t="str">
        <f t="shared" ca="1" si="96"/>
        <v/>
      </c>
    </row>
    <row r="84" spans="3:19" ht="15" customHeight="1">
      <c r="C84" s="46" t="str">
        <f t="shared" si="91"/>
        <v/>
      </c>
      <c r="D84" t="str">
        <f t="shared" si="97"/>
        <v/>
      </c>
      <c r="F84" s="188"/>
      <c r="J84" s="403">
        <f t="shared" si="93"/>
        <v>0</v>
      </c>
      <c r="K84" s="401">
        <f t="shared" si="93"/>
        <v>0</v>
      </c>
      <c r="L84" s="46"/>
      <c r="M84" s="239">
        <f t="shared" si="94"/>
        <v>0</v>
      </c>
      <c r="O84" s="312" t="str">
        <f t="shared" si="92"/>
        <v/>
      </c>
      <c r="P84" t="str">
        <f t="shared" si="98"/>
        <v/>
      </c>
      <c r="R84" s="46" t="str">
        <f t="shared" si="95"/>
        <v/>
      </c>
      <c r="S84" s="218" t="str">
        <f t="shared" ca="1" si="96"/>
        <v/>
      </c>
    </row>
    <row r="85" spans="3:19" ht="15" customHeight="1">
      <c r="C85" s="46" t="str">
        <f t="shared" si="91"/>
        <v/>
      </c>
      <c r="D85" t="str">
        <f t="shared" si="97"/>
        <v/>
      </c>
      <c r="F85" s="188"/>
      <c r="J85" s="403">
        <f t="shared" si="93"/>
        <v>0</v>
      </c>
      <c r="K85" s="401">
        <f t="shared" si="93"/>
        <v>0</v>
      </c>
      <c r="L85" s="46"/>
      <c r="M85" s="239">
        <f t="shared" si="94"/>
        <v>0</v>
      </c>
      <c r="O85" s="312" t="str">
        <f t="shared" si="92"/>
        <v/>
      </c>
      <c r="P85" t="str">
        <f t="shared" si="98"/>
        <v/>
      </c>
      <c r="R85" s="46" t="str">
        <f t="shared" si="95"/>
        <v/>
      </c>
      <c r="S85" s="218" t="str">
        <f t="shared" ca="1" si="96"/>
        <v/>
      </c>
    </row>
    <row r="86" spans="3:19" ht="15" customHeight="1">
      <c r="C86" s="46" t="str">
        <f t="shared" si="91"/>
        <v/>
      </c>
      <c r="D86" t="str">
        <f t="shared" si="97"/>
        <v/>
      </c>
      <c r="F86" s="188"/>
      <c r="J86" s="403">
        <f t="shared" si="93"/>
        <v>0</v>
      </c>
      <c r="K86" s="401">
        <f t="shared" si="93"/>
        <v>0</v>
      </c>
      <c r="L86" s="46"/>
      <c r="M86" s="239">
        <f t="shared" si="94"/>
        <v>0</v>
      </c>
      <c r="O86" s="312" t="str">
        <f t="shared" si="92"/>
        <v/>
      </c>
      <c r="P86" t="str">
        <f t="shared" si="98"/>
        <v/>
      </c>
      <c r="R86" s="46" t="str">
        <f t="shared" si="95"/>
        <v/>
      </c>
      <c r="S86" s="218" t="str">
        <f t="shared" ca="1" si="96"/>
        <v/>
      </c>
    </row>
    <row r="87" spans="3:19" ht="15" customHeight="1">
      <c r="C87" s="46" t="str">
        <f t="shared" si="91"/>
        <v/>
      </c>
      <c r="D87" t="str">
        <f t="shared" si="97"/>
        <v/>
      </c>
      <c r="F87" s="188"/>
      <c r="J87" s="403">
        <f t="shared" si="93"/>
        <v>0</v>
      </c>
      <c r="K87" s="401">
        <f t="shared" si="93"/>
        <v>0</v>
      </c>
      <c r="L87" s="46"/>
      <c r="M87" s="239">
        <f t="shared" si="94"/>
        <v>0</v>
      </c>
      <c r="O87" s="312" t="str">
        <f t="shared" si="92"/>
        <v/>
      </c>
      <c r="P87" t="str">
        <f t="shared" si="98"/>
        <v/>
      </c>
      <c r="R87" s="46" t="str">
        <f t="shared" si="95"/>
        <v/>
      </c>
      <c r="S87" s="218" t="str">
        <f t="shared" ca="1" si="96"/>
        <v/>
      </c>
    </row>
    <row r="88" spans="3:19" ht="15" customHeight="1">
      <c r="C88" s="46" t="str">
        <f t="shared" si="91"/>
        <v/>
      </c>
      <c r="D88" t="str">
        <f t="shared" si="97"/>
        <v/>
      </c>
      <c r="F88" s="188"/>
      <c r="J88" s="403">
        <f t="shared" si="93"/>
        <v>0</v>
      </c>
      <c r="K88" s="401">
        <f t="shared" si="93"/>
        <v>0</v>
      </c>
      <c r="L88" s="46"/>
      <c r="M88" s="239">
        <f t="shared" si="94"/>
        <v>0</v>
      </c>
      <c r="O88" s="312" t="str">
        <f t="shared" si="92"/>
        <v/>
      </c>
      <c r="P88" t="str">
        <f t="shared" si="98"/>
        <v/>
      </c>
      <c r="R88" s="46" t="str">
        <f t="shared" si="95"/>
        <v/>
      </c>
      <c r="S88" s="218" t="str">
        <f t="shared" ca="1" si="96"/>
        <v/>
      </c>
    </row>
    <row r="89" spans="3:19" ht="15" customHeight="1">
      <c r="C89" s="46" t="str">
        <f t="shared" si="91"/>
        <v/>
      </c>
      <c r="D89" t="str">
        <f t="shared" si="97"/>
        <v/>
      </c>
      <c r="F89" s="188"/>
      <c r="J89" s="403">
        <f t="shared" si="93"/>
        <v>0</v>
      </c>
      <c r="K89" s="401">
        <f t="shared" si="93"/>
        <v>0</v>
      </c>
      <c r="L89" s="46"/>
      <c r="M89" s="239">
        <f t="shared" si="94"/>
        <v>0</v>
      </c>
      <c r="O89" s="312" t="str">
        <f t="shared" si="92"/>
        <v/>
      </c>
      <c r="P89" t="str">
        <f t="shared" si="98"/>
        <v/>
      </c>
      <c r="R89" s="46" t="str">
        <f t="shared" si="95"/>
        <v/>
      </c>
      <c r="S89" s="218" t="str">
        <f t="shared" ca="1" si="96"/>
        <v/>
      </c>
    </row>
    <row r="90" spans="3:19" ht="15" customHeight="1">
      <c r="C90" s="46" t="str">
        <f t="shared" si="91"/>
        <v/>
      </c>
      <c r="D90" t="str">
        <f t="shared" si="97"/>
        <v/>
      </c>
      <c r="F90" s="188"/>
      <c r="J90" s="403">
        <f t="shared" si="93"/>
        <v>0</v>
      </c>
      <c r="K90" s="401">
        <f t="shared" si="93"/>
        <v>0</v>
      </c>
      <c r="L90" s="46"/>
      <c r="M90" s="239">
        <f t="shared" si="94"/>
        <v>0</v>
      </c>
      <c r="O90" s="312" t="str">
        <f t="shared" si="92"/>
        <v/>
      </c>
      <c r="P90" t="str">
        <f t="shared" si="98"/>
        <v/>
      </c>
      <c r="R90" s="46" t="str">
        <f t="shared" si="95"/>
        <v/>
      </c>
      <c r="S90" s="218" t="str">
        <f t="shared" ca="1" si="96"/>
        <v/>
      </c>
    </row>
    <row r="91" spans="3:19" ht="15" customHeight="1">
      <c r="C91" s="46" t="str">
        <f t="shared" si="91"/>
        <v/>
      </c>
      <c r="D91" t="str">
        <f t="shared" si="97"/>
        <v/>
      </c>
      <c r="F91" s="188"/>
      <c r="J91" s="403">
        <f t="shared" si="93"/>
        <v>0</v>
      </c>
      <c r="K91" s="401">
        <f t="shared" si="93"/>
        <v>0</v>
      </c>
      <c r="L91" s="46"/>
      <c r="M91" s="239">
        <f t="shared" si="94"/>
        <v>0</v>
      </c>
      <c r="O91" s="312" t="str">
        <f t="shared" si="92"/>
        <v/>
      </c>
      <c r="P91" t="str">
        <f t="shared" si="98"/>
        <v/>
      </c>
      <c r="R91" s="46" t="str">
        <f t="shared" si="95"/>
        <v/>
      </c>
      <c r="S91" s="218" t="str">
        <f t="shared" ca="1" si="96"/>
        <v/>
      </c>
    </row>
    <row r="92" spans="3:19" ht="15" customHeight="1">
      <c r="C92" s="46" t="str">
        <f t="shared" si="91"/>
        <v/>
      </c>
      <c r="D92" t="str">
        <f t="shared" si="97"/>
        <v/>
      </c>
      <c r="F92" s="188"/>
      <c r="J92" s="403">
        <f t="shared" si="93"/>
        <v>0</v>
      </c>
      <c r="K92" s="401">
        <f t="shared" si="93"/>
        <v>0</v>
      </c>
      <c r="L92" s="46"/>
      <c r="M92" s="239">
        <f t="shared" si="94"/>
        <v>0</v>
      </c>
      <c r="O92" s="312" t="str">
        <f t="shared" si="92"/>
        <v/>
      </c>
      <c r="P92" t="str">
        <f t="shared" si="98"/>
        <v/>
      </c>
      <c r="R92" s="46" t="str">
        <f t="shared" si="95"/>
        <v/>
      </c>
      <c r="S92" s="218" t="str">
        <f t="shared" ca="1" si="96"/>
        <v/>
      </c>
    </row>
    <row r="93" spans="3:19" ht="15" customHeight="1">
      <c r="C93" s="46" t="str">
        <f t="shared" si="91"/>
        <v/>
      </c>
      <c r="D93" t="str">
        <f t="shared" si="97"/>
        <v/>
      </c>
      <c r="F93" s="188"/>
      <c r="J93" s="403">
        <f t="shared" si="93"/>
        <v>0</v>
      </c>
      <c r="K93" s="401">
        <f t="shared" si="93"/>
        <v>0</v>
      </c>
      <c r="L93" s="46"/>
      <c r="M93" s="239">
        <f t="shared" si="94"/>
        <v>0</v>
      </c>
      <c r="O93" s="312" t="str">
        <f t="shared" si="92"/>
        <v/>
      </c>
      <c r="P93" t="str">
        <f t="shared" si="98"/>
        <v/>
      </c>
      <c r="R93" s="46" t="str">
        <f t="shared" si="95"/>
        <v/>
      </c>
      <c r="S93" s="218" t="str">
        <f t="shared" ca="1" si="96"/>
        <v/>
      </c>
    </row>
    <row r="94" spans="3:19" ht="15" customHeight="1">
      <c r="C94" s="46" t="str">
        <f t="shared" si="91"/>
        <v/>
      </c>
      <c r="D94" t="str">
        <f t="shared" si="97"/>
        <v/>
      </c>
      <c r="F94" s="188"/>
      <c r="J94" s="403">
        <f t="shared" si="93"/>
        <v>0</v>
      </c>
      <c r="K94" s="401">
        <f t="shared" si="93"/>
        <v>0</v>
      </c>
      <c r="L94" s="46"/>
      <c r="M94" s="239">
        <f t="shared" si="94"/>
        <v>0</v>
      </c>
      <c r="O94" s="312" t="str">
        <f t="shared" si="92"/>
        <v/>
      </c>
      <c r="P94" t="str">
        <f t="shared" si="98"/>
        <v/>
      </c>
      <c r="R94" s="46" t="str">
        <f t="shared" si="95"/>
        <v/>
      </c>
      <c r="S94" s="218" t="str">
        <f t="shared" ca="1" si="96"/>
        <v/>
      </c>
    </row>
    <row r="95" spans="3:19" ht="15" customHeight="1">
      <c r="C95" s="46" t="str">
        <f t="shared" si="91"/>
        <v/>
      </c>
      <c r="D95" t="str">
        <f t="shared" si="97"/>
        <v/>
      </c>
      <c r="F95" s="188"/>
      <c r="J95" s="403">
        <f t="shared" si="93"/>
        <v>0</v>
      </c>
      <c r="K95" s="401">
        <f t="shared" si="93"/>
        <v>0</v>
      </c>
      <c r="L95" s="46"/>
      <c r="M95" s="239">
        <f t="shared" si="94"/>
        <v>0</v>
      </c>
      <c r="O95" s="312" t="str">
        <f t="shared" si="92"/>
        <v/>
      </c>
      <c r="P95" t="str">
        <f t="shared" si="98"/>
        <v/>
      </c>
      <c r="R95" s="46" t="str">
        <f t="shared" si="95"/>
        <v/>
      </c>
      <c r="S95" s="218" t="str">
        <f t="shared" ca="1" si="96"/>
        <v/>
      </c>
    </row>
    <row r="96" spans="3:19" ht="15" customHeight="1">
      <c r="C96" s="46" t="str">
        <f t="shared" si="91"/>
        <v/>
      </c>
      <c r="D96" t="str">
        <f t="shared" si="97"/>
        <v/>
      </c>
      <c r="F96" s="188"/>
      <c r="J96" s="403">
        <f t="shared" si="93"/>
        <v>0</v>
      </c>
      <c r="K96" s="401">
        <f t="shared" si="93"/>
        <v>0</v>
      </c>
      <c r="L96" s="46"/>
      <c r="M96" s="239">
        <f t="shared" si="94"/>
        <v>0</v>
      </c>
      <c r="O96" s="312" t="str">
        <f t="shared" si="92"/>
        <v/>
      </c>
      <c r="P96" t="str">
        <f t="shared" si="98"/>
        <v/>
      </c>
      <c r="R96" s="46" t="str">
        <f t="shared" si="95"/>
        <v/>
      </c>
      <c r="S96" s="218" t="str">
        <f t="shared" ca="1" si="96"/>
        <v/>
      </c>
    </row>
    <row r="97" spans="3:19" ht="15" customHeight="1">
      <c r="C97" s="46" t="str">
        <f t="shared" si="91"/>
        <v/>
      </c>
      <c r="D97" t="str">
        <f t="shared" si="97"/>
        <v/>
      </c>
      <c r="F97" s="188"/>
      <c r="J97" s="403">
        <f t="shared" si="93"/>
        <v>0</v>
      </c>
      <c r="K97" s="401">
        <f t="shared" si="93"/>
        <v>0</v>
      </c>
      <c r="L97" s="46"/>
      <c r="M97" s="239">
        <f t="shared" si="94"/>
        <v>0</v>
      </c>
      <c r="O97" s="312" t="str">
        <f t="shared" si="92"/>
        <v/>
      </c>
      <c r="P97" t="str">
        <f t="shared" si="98"/>
        <v/>
      </c>
      <c r="R97" s="46" t="str">
        <f t="shared" si="95"/>
        <v/>
      </c>
      <c r="S97" s="218" t="str">
        <f t="shared" ca="1" si="96"/>
        <v/>
      </c>
    </row>
    <row r="98" spans="3:19" ht="15" customHeight="1">
      <c r="C98" s="46" t="str">
        <f t="shared" si="91"/>
        <v/>
      </c>
      <c r="D98" t="str">
        <f t="shared" si="97"/>
        <v/>
      </c>
      <c r="F98" s="188"/>
      <c r="J98" s="403">
        <f t="shared" si="93"/>
        <v>0</v>
      </c>
      <c r="K98" s="401">
        <f t="shared" si="93"/>
        <v>0</v>
      </c>
      <c r="L98" s="46"/>
      <c r="M98" s="239">
        <f t="shared" si="94"/>
        <v>0</v>
      </c>
      <c r="O98" s="312" t="str">
        <f t="shared" si="92"/>
        <v/>
      </c>
      <c r="P98" t="str">
        <f t="shared" si="98"/>
        <v/>
      </c>
      <c r="R98" s="46" t="str">
        <f t="shared" si="95"/>
        <v/>
      </c>
      <c r="S98" s="218" t="str">
        <f t="shared" ca="1" si="96"/>
        <v/>
      </c>
    </row>
    <row r="99" spans="3:19" ht="15" customHeight="1">
      <c r="C99" s="46" t="str">
        <f t="shared" si="91"/>
        <v/>
      </c>
      <c r="D99" t="str">
        <f t="shared" si="97"/>
        <v/>
      </c>
      <c r="F99" s="188"/>
      <c r="J99" s="403">
        <f t="shared" si="93"/>
        <v>0</v>
      </c>
      <c r="K99" s="401">
        <f t="shared" si="93"/>
        <v>0</v>
      </c>
      <c r="L99" s="46"/>
      <c r="M99" s="239">
        <f t="shared" si="94"/>
        <v>0</v>
      </c>
      <c r="O99" s="312" t="str">
        <f t="shared" si="92"/>
        <v/>
      </c>
      <c r="P99" t="str">
        <f t="shared" si="98"/>
        <v/>
      </c>
      <c r="R99" s="46" t="str">
        <f t="shared" si="95"/>
        <v/>
      </c>
      <c r="S99" s="218" t="str">
        <f t="shared" ca="1" si="96"/>
        <v/>
      </c>
    </row>
    <row r="100" spans="3:19" ht="15" customHeight="1">
      <c r="C100" s="46" t="str">
        <f t="shared" si="91"/>
        <v/>
      </c>
      <c r="D100" t="str">
        <f t="shared" si="97"/>
        <v/>
      </c>
      <c r="F100" s="188"/>
      <c r="J100" s="403">
        <f t="shared" si="93"/>
        <v>0</v>
      </c>
      <c r="K100" s="401">
        <f t="shared" si="93"/>
        <v>0</v>
      </c>
      <c r="L100" s="46"/>
      <c r="M100" s="239">
        <f t="shared" si="94"/>
        <v>0</v>
      </c>
      <c r="O100" s="312" t="str">
        <f t="shared" si="92"/>
        <v/>
      </c>
      <c r="P100" t="str">
        <f t="shared" si="98"/>
        <v/>
      </c>
      <c r="R100" s="46" t="str">
        <f t="shared" si="95"/>
        <v/>
      </c>
      <c r="S100" s="218" t="str">
        <f t="shared" ca="1" si="96"/>
        <v/>
      </c>
    </row>
    <row r="101" spans="3:19" ht="15" customHeight="1">
      <c r="C101" s="46" t="str">
        <f t="shared" si="91"/>
        <v/>
      </c>
      <c r="D101" t="str">
        <f t="shared" si="97"/>
        <v/>
      </c>
      <c r="F101" s="188"/>
      <c r="J101" s="403">
        <f t="shared" si="93"/>
        <v>0</v>
      </c>
      <c r="K101" s="401">
        <f t="shared" si="93"/>
        <v>0</v>
      </c>
      <c r="L101" s="46"/>
      <c r="M101" s="239">
        <f t="shared" si="94"/>
        <v>0</v>
      </c>
      <c r="O101" s="312" t="str">
        <f t="shared" si="92"/>
        <v/>
      </c>
      <c r="P101" t="str">
        <f t="shared" si="98"/>
        <v/>
      </c>
      <c r="R101" s="46" t="str">
        <f t="shared" si="95"/>
        <v/>
      </c>
      <c r="S101" s="218" t="str">
        <f t="shared" ca="1" si="96"/>
        <v/>
      </c>
    </row>
    <row r="102" spans="3:19" ht="15" customHeight="1">
      <c r="C102" s="46" t="str">
        <f t="shared" si="91"/>
        <v/>
      </c>
      <c r="D102" t="str">
        <f t="shared" si="97"/>
        <v/>
      </c>
      <c r="F102" s="188"/>
      <c r="J102" s="403">
        <f t="shared" si="93"/>
        <v>0</v>
      </c>
      <c r="K102" s="401">
        <f t="shared" si="93"/>
        <v>0</v>
      </c>
      <c r="L102" s="46"/>
      <c r="M102" s="239">
        <f t="shared" si="94"/>
        <v>0</v>
      </c>
      <c r="O102" s="312" t="str">
        <f t="shared" si="92"/>
        <v/>
      </c>
      <c r="P102" t="str">
        <f t="shared" si="98"/>
        <v/>
      </c>
      <c r="R102" s="46" t="str">
        <f t="shared" si="95"/>
        <v/>
      </c>
      <c r="S102" s="218" t="str">
        <f t="shared" ca="1" si="96"/>
        <v/>
      </c>
    </row>
    <row r="103" spans="3:19" ht="15" customHeight="1">
      <c r="C103" s="46" t="str">
        <f t="shared" si="91"/>
        <v/>
      </c>
      <c r="D103" t="str">
        <f t="shared" si="97"/>
        <v/>
      </c>
      <c r="F103" s="188"/>
      <c r="J103" s="403">
        <f t="shared" si="93"/>
        <v>0</v>
      </c>
      <c r="K103" s="401">
        <f t="shared" si="93"/>
        <v>0</v>
      </c>
      <c r="L103" s="46"/>
      <c r="M103" s="239">
        <f t="shared" si="94"/>
        <v>0</v>
      </c>
      <c r="O103" s="312" t="str">
        <f t="shared" si="92"/>
        <v/>
      </c>
      <c r="P103" t="str">
        <f t="shared" si="98"/>
        <v/>
      </c>
      <c r="R103" s="46" t="str">
        <f t="shared" si="95"/>
        <v/>
      </c>
      <c r="S103" s="218" t="str">
        <f t="shared" ca="1" si="96"/>
        <v/>
      </c>
    </row>
    <row r="104" spans="3:19" ht="15" customHeight="1">
      <c r="C104" s="46" t="str">
        <f t="shared" si="91"/>
        <v/>
      </c>
      <c r="D104" t="str">
        <f t="shared" si="97"/>
        <v/>
      </c>
      <c r="F104" s="188"/>
      <c r="J104" s="403">
        <f t="shared" si="93"/>
        <v>0</v>
      </c>
      <c r="K104" s="401">
        <f t="shared" si="93"/>
        <v>0</v>
      </c>
      <c r="L104" s="46"/>
      <c r="M104" s="239">
        <f t="shared" si="94"/>
        <v>0</v>
      </c>
      <c r="O104" s="312" t="str">
        <f t="shared" si="92"/>
        <v/>
      </c>
      <c r="P104" t="str">
        <f t="shared" si="98"/>
        <v/>
      </c>
      <c r="R104" s="46" t="str">
        <f t="shared" si="95"/>
        <v/>
      </c>
      <c r="S104" s="218" t="str">
        <f t="shared" ca="1" si="96"/>
        <v/>
      </c>
    </row>
    <row r="105" spans="3:19" ht="15" customHeight="1">
      <c r="C105" s="46" t="str">
        <f t="shared" si="91"/>
        <v/>
      </c>
      <c r="D105" t="str">
        <f t="shared" si="97"/>
        <v/>
      </c>
      <c r="F105" s="188"/>
      <c r="J105" s="403">
        <f t="shared" si="93"/>
        <v>0</v>
      </c>
      <c r="K105" s="401">
        <f t="shared" si="93"/>
        <v>0</v>
      </c>
      <c r="L105" s="46"/>
      <c r="M105" s="239">
        <f t="shared" si="94"/>
        <v>0</v>
      </c>
      <c r="O105" s="312" t="str">
        <f t="shared" si="92"/>
        <v/>
      </c>
      <c r="P105" t="str">
        <f t="shared" si="98"/>
        <v/>
      </c>
      <c r="R105" s="46" t="str">
        <f t="shared" si="95"/>
        <v/>
      </c>
      <c r="S105" s="218" t="str">
        <f t="shared" ca="1" si="96"/>
        <v/>
      </c>
    </row>
    <row r="106" spans="3:19" ht="15" customHeight="1">
      <c r="C106" s="46" t="str">
        <f t="shared" si="91"/>
        <v/>
      </c>
      <c r="D106" t="str">
        <f t="shared" si="97"/>
        <v/>
      </c>
      <c r="F106" s="188"/>
      <c r="J106" s="403">
        <f t="shared" si="93"/>
        <v>0</v>
      </c>
      <c r="K106" s="401">
        <f t="shared" si="93"/>
        <v>0</v>
      </c>
      <c r="L106" s="46"/>
      <c r="M106" s="239">
        <f t="shared" si="94"/>
        <v>0</v>
      </c>
      <c r="O106" s="312" t="str">
        <f t="shared" si="92"/>
        <v/>
      </c>
      <c r="P106" t="str">
        <f t="shared" si="98"/>
        <v/>
      </c>
      <c r="R106" s="46" t="str">
        <f t="shared" si="95"/>
        <v/>
      </c>
      <c r="S106" s="218" t="str">
        <f t="shared" ca="1" si="96"/>
        <v/>
      </c>
    </row>
    <row r="107" spans="3:19" ht="15" customHeight="1">
      <c r="C107" s="46" t="str">
        <f t="shared" si="91"/>
        <v/>
      </c>
      <c r="D107" t="str">
        <f t="shared" si="97"/>
        <v/>
      </c>
      <c r="F107" s="188"/>
      <c r="J107" s="403">
        <f t="shared" si="93"/>
        <v>0</v>
      </c>
      <c r="K107" s="401">
        <f t="shared" si="93"/>
        <v>0</v>
      </c>
      <c r="L107" s="46"/>
      <c r="M107" s="239">
        <f t="shared" si="94"/>
        <v>0</v>
      </c>
      <c r="O107" s="312" t="str">
        <f t="shared" si="92"/>
        <v/>
      </c>
      <c r="P107" t="str">
        <f t="shared" si="98"/>
        <v/>
      </c>
      <c r="R107" s="46" t="str">
        <f t="shared" si="95"/>
        <v/>
      </c>
      <c r="S107" s="218" t="str">
        <f t="shared" ca="1" si="96"/>
        <v/>
      </c>
    </row>
    <row r="108" spans="3:19" ht="15" customHeight="1">
      <c r="C108" s="46" t="str">
        <f t="shared" si="91"/>
        <v/>
      </c>
      <c r="D108" t="str">
        <f t="shared" si="97"/>
        <v/>
      </c>
      <c r="F108" s="188"/>
      <c r="J108" s="403">
        <f t="shared" si="93"/>
        <v>0</v>
      </c>
      <c r="K108" s="401">
        <f t="shared" si="93"/>
        <v>0</v>
      </c>
      <c r="L108" s="46"/>
      <c r="M108" s="239">
        <f t="shared" si="94"/>
        <v>0</v>
      </c>
      <c r="O108" s="312" t="str">
        <f t="shared" si="92"/>
        <v/>
      </c>
      <c r="P108" t="str">
        <f t="shared" si="98"/>
        <v/>
      </c>
      <c r="R108" s="46" t="str">
        <f t="shared" si="95"/>
        <v/>
      </c>
      <c r="S108" s="218" t="str">
        <f t="shared" ca="1" si="96"/>
        <v/>
      </c>
    </row>
    <row r="109" spans="3:19" ht="15" customHeight="1">
      <c r="C109" s="46" t="str">
        <f t="shared" si="91"/>
        <v/>
      </c>
      <c r="D109" t="str">
        <f t="shared" si="97"/>
        <v/>
      </c>
      <c r="F109" s="188"/>
      <c r="J109" s="403">
        <f t="shared" si="93"/>
        <v>0</v>
      </c>
      <c r="K109" s="401">
        <f t="shared" si="93"/>
        <v>0</v>
      </c>
      <c r="L109" s="46"/>
      <c r="M109" s="239">
        <f t="shared" si="94"/>
        <v>0</v>
      </c>
      <c r="O109" s="312" t="str">
        <f t="shared" si="92"/>
        <v/>
      </c>
      <c r="P109" t="str">
        <f t="shared" si="98"/>
        <v/>
      </c>
      <c r="R109" s="46" t="str">
        <f t="shared" si="95"/>
        <v/>
      </c>
      <c r="S109" s="218" t="str">
        <f t="shared" ca="1" si="96"/>
        <v/>
      </c>
    </row>
    <row r="110" spans="3:19" ht="15" customHeight="1">
      <c r="C110" s="46" t="str">
        <f t="shared" si="91"/>
        <v/>
      </c>
      <c r="D110" t="str">
        <f t="shared" si="97"/>
        <v/>
      </c>
      <c r="F110" s="188"/>
      <c r="J110" s="403">
        <f t="shared" si="93"/>
        <v>0</v>
      </c>
      <c r="K110" s="401">
        <f t="shared" si="93"/>
        <v>0</v>
      </c>
      <c r="L110" s="46"/>
      <c r="M110" s="239">
        <f t="shared" si="94"/>
        <v>0</v>
      </c>
      <c r="O110" s="312" t="str">
        <f t="shared" si="92"/>
        <v/>
      </c>
      <c r="P110" t="str">
        <f t="shared" si="98"/>
        <v/>
      </c>
      <c r="R110" s="46" t="str">
        <f t="shared" si="95"/>
        <v/>
      </c>
      <c r="S110" s="218" t="str">
        <f t="shared" ca="1" si="96"/>
        <v/>
      </c>
    </row>
    <row r="111" spans="3:19" ht="15" customHeight="1">
      <c r="C111" s="46" t="str">
        <f t="shared" si="91"/>
        <v/>
      </c>
      <c r="D111" t="str">
        <f t="shared" si="97"/>
        <v/>
      </c>
      <c r="F111" s="188"/>
      <c r="J111" s="403">
        <f t="shared" si="93"/>
        <v>0</v>
      </c>
      <c r="K111" s="401">
        <f t="shared" si="93"/>
        <v>0</v>
      </c>
      <c r="L111" s="46"/>
      <c r="M111" s="239">
        <f t="shared" si="94"/>
        <v>0</v>
      </c>
      <c r="O111" s="312" t="str">
        <f t="shared" si="92"/>
        <v/>
      </c>
      <c r="P111" t="str">
        <f t="shared" si="98"/>
        <v/>
      </c>
      <c r="R111" s="46" t="str">
        <f t="shared" si="95"/>
        <v/>
      </c>
      <c r="S111" s="218" t="str">
        <f t="shared" ca="1" si="96"/>
        <v/>
      </c>
    </row>
    <row r="112" spans="3:19" ht="15" customHeight="1">
      <c r="C112" s="46" t="str">
        <f t="shared" si="91"/>
        <v/>
      </c>
      <c r="D112" t="str">
        <f t="shared" si="97"/>
        <v/>
      </c>
      <c r="F112" s="188"/>
      <c r="J112" s="403">
        <f t="shared" si="93"/>
        <v>0</v>
      </c>
      <c r="K112" s="401">
        <f t="shared" si="93"/>
        <v>0</v>
      </c>
      <c r="L112" s="46"/>
      <c r="M112" s="239">
        <f t="shared" si="94"/>
        <v>0</v>
      </c>
      <c r="O112" s="312" t="str">
        <f t="shared" si="92"/>
        <v/>
      </c>
      <c r="P112" t="str">
        <f t="shared" si="98"/>
        <v/>
      </c>
      <c r="R112" s="46" t="str">
        <f t="shared" si="95"/>
        <v/>
      </c>
      <c r="S112" s="218" t="str">
        <f t="shared" ca="1" si="96"/>
        <v/>
      </c>
    </row>
    <row r="113" spans="3:19" ht="15" customHeight="1">
      <c r="C113" s="46" t="str">
        <f t="shared" si="91"/>
        <v/>
      </c>
      <c r="D113" t="str">
        <f t="shared" si="97"/>
        <v/>
      </c>
      <c r="F113" s="188"/>
      <c r="J113" s="403">
        <f t="shared" si="93"/>
        <v>0</v>
      </c>
      <c r="K113" s="401">
        <f t="shared" si="93"/>
        <v>0</v>
      </c>
      <c r="L113" s="46"/>
      <c r="M113" s="239">
        <f t="shared" si="94"/>
        <v>0</v>
      </c>
      <c r="O113" s="312" t="str">
        <f t="shared" si="92"/>
        <v/>
      </c>
      <c r="P113" t="str">
        <f t="shared" si="98"/>
        <v/>
      </c>
      <c r="R113" s="46" t="str">
        <f t="shared" ref="R113:R140" si="99">IF(J113=0,"",IF(K113=0,"PAGO","A PAGAR"))</f>
        <v/>
      </c>
      <c r="S113" s="218" t="str">
        <f t="shared" ref="S113:S141" ca="1" si="100">IF(R113="PAGO", "✓ OK", IF(R113="A PAGAR", IF(N113&lt;TODAY(), "⚠ EM ATRASO", "EM DIA"), ""))</f>
        <v/>
      </c>
    </row>
    <row r="114" spans="3:19" ht="15" customHeight="1">
      <c r="C114" s="46" t="str">
        <f t="shared" si="91"/>
        <v/>
      </c>
      <c r="D114" t="str">
        <f t="shared" si="97"/>
        <v/>
      </c>
      <c r="F114" s="188"/>
      <c r="J114" s="403">
        <f t="shared" si="93"/>
        <v>0</v>
      </c>
      <c r="K114" s="401">
        <f t="shared" si="93"/>
        <v>0</v>
      </c>
      <c r="L114" s="46"/>
      <c r="M114" s="239">
        <f t="shared" si="94"/>
        <v>0</v>
      </c>
      <c r="O114" s="312" t="str">
        <f t="shared" si="92"/>
        <v/>
      </c>
      <c r="P114" t="str">
        <f t="shared" si="98"/>
        <v/>
      </c>
      <c r="R114" s="46" t="str">
        <f t="shared" si="99"/>
        <v/>
      </c>
      <c r="S114" s="218" t="str">
        <f t="shared" ca="1" si="100"/>
        <v/>
      </c>
    </row>
    <row r="115" spans="3:19" ht="15" customHeight="1">
      <c r="C115" s="46" t="str">
        <f t="shared" si="91"/>
        <v/>
      </c>
      <c r="D115" t="str">
        <f t="shared" si="97"/>
        <v/>
      </c>
      <c r="F115" s="188"/>
      <c r="J115" s="403">
        <f t="shared" si="93"/>
        <v>0</v>
      </c>
      <c r="K115" s="401">
        <f t="shared" si="93"/>
        <v>0</v>
      </c>
      <c r="L115" s="46"/>
      <c r="M115" s="239">
        <f t="shared" si="94"/>
        <v>0</v>
      </c>
      <c r="O115" s="312" t="str">
        <f t="shared" si="92"/>
        <v/>
      </c>
      <c r="P115" t="str">
        <f t="shared" si="98"/>
        <v/>
      </c>
      <c r="R115" s="46" t="str">
        <f t="shared" si="99"/>
        <v/>
      </c>
      <c r="S115" s="218" t="str">
        <f t="shared" ca="1" si="100"/>
        <v/>
      </c>
    </row>
    <row r="116" spans="3:19" ht="15" customHeight="1">
      <c r="C116" s="46" t="str">
        <f t="shared" si="91"/>
        <v/>
      </c>
      <c r="D116" t="str">
        <f t="shared" si="97"/>
        <v/>
      </c>
      <c r="F116" s="188"/>
      <c r="J116" s="403">
        <f t="shared" si="93"/>
        <v>0</v>
      </c>
      <c r="K116" s="401">
        <f t="shared" si="93"/>
        <v>0</v>
      </c>
      <c r="L116" s="46"/>
      <c r="M116" s="239">
        <f t="shared" si="94"/>
        <v>0</v>
      </c>
      <c r="O116" s="312" t="str">
        <f t="shared" si="92"/>
        <v/>
      </c>
      <c r="P116" t="str">
        <f t="shared" si="98"/>
        <v/>
      </c>
      <c r="R116" s="46" t="str">
        <f t="shared" si="99"/>
        <v/>
      </c>
      <c r="S116" s="218" t="str">
        <f t="shared" ca="1" si="100"/>
        <v/>
      </c>
    </row>
    <row r="117" spans="3:19" ht="15" customHeight="1">
      <c r="C117" s="46" t="str">
        <f t="shared" si="91"/>
        <v/>
      </c>
      <c r="D117" t="str">
        <f t="shared" si="97"/>
        <v/>
      </c>
      <c r="F117" s="188"/>
      <c r="J117" s="403">
        <f t="shared" si="93"/>
        <v>0</v>
      </c>
      <c r="K117" s="401">
        <f t="shared" si="93"/>
        <v>0</v>
      </c>
      <c r="L117" s="46"/>
      <c r="M117" s="239">
        <f t="shared" si="94"/>
        <v>0</v>
      </c>
      <c r="O117" s="312" t="str">
        <f t="shared" si="92"/>
        <v/>
      </c>
      <c r="P117" t="str">
        <f t="shared" si="98"/>
        <v/>
      </c>
      <c r="R117" s="46" t="str">
        <f t="shared" si="99"/>
        <v/>
      </c>
      <c r="S117" s="218" t="str">
        <f t="shared" ca="1" si="100"/>
        <v/>
      </c>
    </row>
    <row r="118" spans="3:19" ht="15" customHeight="1">
      <c r="C118" s="46" t="str">
        <f t="shared" si="91"/>
        <v/>
      </c>
      <c r="D118" t="str">
        <f t="shared" si="97"/>
        <v/>
      </c>
      <c r="F118" s="188"/>
      <c r="J118" s="403">
        <f t="shared" si="93"/>
        <v>0</v>
      </c>
      <c r="K118" s="401">
        <f t="shared" si="93"/>
        <v>0</v>
      </c>
      <c r="L118" s="46"/>
      <c r="M118" s="239">
        <f t="shared" si="94"/>
        <v>0</v>
      </c>
      <c r="O118" s="312" t="str">
        <f t="shared" si="92"/>
        <v/>
      </c>
      <c r="P118" t="str">
        <f t="shared" si="98"/>
        <v/>
      </c>
      <c r="R118" s="46" t="str">
        <f t="shared" si="99"/>
        <v/>
      </c>
      <c r="S118" s="218" t="str">
        <f t="shared" ca="1" si="100"/>
        <v/>
      </c>
    </row>
    <row r="119" spans="3:19" ht="15" customHeight="1">
      <c r="C119" s="46" t="str">
        <f t="shared" si="91"/>
        <v/>
      </c>
      <c r="D119" t="str">
        <f t="shared" si="97"/>
        <v/>
      </c>
      <c r="F119" s="188"/>
      <c r="J119" s="403">
        <f t="shared" si="93"/>
        <v>0</v>
      </c>
      <c r="K119" s="401">
        <f t="shared" si="93"/>
        <v>0</v>
      </c>
      <c r="L119" s="46"/>
      <c r="M119" s="239">
        <f t="shared" si="94"/>
        <v>0</v>
      </c>
      <c r="O119" s="312" t="str">
        <f t="shared" si="92"/>
        <v/>
      </c>
      <c r="P119" t="str">
        <f t="shared" si="98"/>
        <v/>
      </c>
      <c r="R119" s="46" t="str">
        <f t="shared" si="99"/>
        <v/>
      </c>
      <c r="S119" s="218" t="str">
        <f t="shared" ca="1" si="100"/>
        <v/>
      </c>
    </row>
    <row r="120" spans="3:19" ht="15" customHeight="1">
      <c r="C120" s="46" t="str">
        <f t="shared" si="91"/>
        <v/>
      </c>
      <c r="D120" t="str">
        <f t="shared" si="97"/>
        <v/>
      </c>
      <c r="F120" s="188"/>
      <c r="J120" s="403">
        <f t="shared" si="93"/>
        <v>0</v>
      </c>
      <c r="K120" s="401">
        <f t="shared" si="93"/>
        <v>0</v>
      </c>
      <c r="L120" s="46"/>
      <c r="M120" s="239">
        <f t="shared" si="94"/>
        <v>0</v>
      </c>
      <c r="O120" s="312" t="str">
        <f t="shared" si="92"/>
        <v/>
      </c>
      <c r="P120" t="str">
        <f t="shared" si="98"/>
        <v/>
      </c>
      <c r="R120" s="46" t="str">
        <f t="shared" si="99"/>
        <v/>
      </c>
      <c r="S120" s="218" t="str">
        <f t="shared" ca="1" si="100"/>
        <v/>
      </c>
    </row>
    <row r="121" spans="3:19" ht="15" customHeight="1">
      <c r="C121" s="46" t="str">
        <f t="shared" si="91"/>
        <v/>
      </c>
      <c r="D121" t="str">
        <f t="shared" si="97"/>
        <v/>
      </c>
      <c r="F121" s="188"/>
      <c r="J121" s="403">
        <f t="shared" si="93"/>
        <v>0</v>
      </c>
      <c r="K121" s="401">
        <f t="shared" si="93"/>
        <v>0</v>
      </c>
      <c r="L121" s="46"/>
      <c r="M121" s="239">
        <f t="shared" si="94"/>
        <v>0</v>
      </c>
      <c r="O121" s="312" t="str">
        <f t="shared" si="92"/>
        <v/>
      </c>
      <c r="P121" t="str">
        <f t="shared" si="98"/>
        <v/>
      </c>
      <c r="R121" s="46" t="str">
        <f t="shared" si="99"/>
        <v/>
      </c>
      <c r="S121" s="218" t="str">
        <f t="shared" ca="1" si="100"/>
        <v/>
      </c>
    </row>
    <row r="122" spans="3:19" ht="15" customHeight="1">
      <c r="C122" s="46" t="str">
        <f t="shared" si="91"/>
        <v/>
      </c>
      <c r="D122" t="str">
        <f t="shared" si="97"/>
        <v/>
      </c>
      <c r="F122" s="188"/>
      <c r="J122" s="403">
        <f t="shared" si="93"/>
        <v>0</v>
      </c>
      <c r="K122" s="401">
        <f t="shared" si="93"/>
        <v>0</v>
      </c>
      <c r="L122" s="46"/>
      <c r="M122" s="239">
        <f t="shared" si="94"/>
        <v>0</v>
      </c>
      <c r="O122" s="312" t="str">
        <f t="shared" si="92"/>
        <v/>
      </c>
      <c r="P122" t="str">
        <f t="shared" si="98"/>
        <v/>
      </c>
      <c r="R122" s="46" t="str">
        <f t="shared" si="99"/>
        <v/>
      </c>
      <c r="S122" s="218" t="str">
        <f t="shared" ca="1" si="100"/>
        <v/>
      </c>
    </row>
    <row r="123" spans="3:19" ht="15" customHeight="1">
      <c r="C123" s="46" t="str">
        <f t="shared" si="91"/>
        <v/>
      </c>
      <c r="D123" t="str">
        <f t="shared" si="97"/>
        <v/>
      </c>
      <c r="F123" s="188"/>
      <c r="J123" s="403">
        <f t="shared" si="93"/>
        <v>0</v>
      </c>
      <c r="K123" s="401">
        <f t="shared" si="93"/>
        <v>0</v>
      </c>
      <c r="L123" s="46"/>
      <c r="M123" s="239">
        <f t="shared" si="94"/>
        <v>0</v>
      </c>
      <c r="O123" s="312" t="str">
        <f t="shared" si="92"/>
        <v/>
      </c>
      <c r="P123" t="str">
        <f t="shared" si="98"/>
        <v/>
      </c>
      <c r="R123" s="46" t="str">
        <f t="shared" si="99"/>
        <v/>
      </c>
      <c r="S123" s="218" t="str">
        <f t="shared" ca="1" si="100"/>
        <v/>
      </c>
    </row>
    <row r="124" spans="3:19" ht="15" customHeight="1">
      <c r="C124" s="46" t="str">
        <f t="shared" si="91"/>
        <v/>
      </c>
      <c r="D124" t="str">
        <f t="shared" si="97"/>
        <v/>
      </c>
      <c r="F124" s="188"/>
      <c r="J124" s="403">
        <f t="shared" si="93"/>
        <v>0</v>
      </c>
      <c r="K124" s="401">
        <f t="shared" si="93"/>
        <v>0</v>
      </c>
      <c r="L124" s="46"/>
      <c r="M124" s="239">
        <f t="shared" si="94"/>
        <v>0</v>
      </c>
      <c r="O124" s="312" t="str">
        <f t="shared" si="92"/>
        <v/>
      </c>
      <c r="P124" t="str">
        <f t="shared" si="98"/>
        <v/>
      </c>
      <c r="R124" s="46" t="str">
        <f t="shared" si="99"/>
        <v/>
      </c>
      <c r="S124" s="218" t="str">
        <f t="shared" ca="1" si="100"/>
        <v/>
      </c>
    </row>
    <row r="125" spans="3:19" ht="15" customHeight="1">
      <c r="C125" s="46" t="str">
        <f t="shared" si="91"/>
        <v/>
      </c>
      <c r="D125" t="str">
        <f t="shared" si="97"/>
        <v/>
      </c>
      <c r="F125" s="188"/>
      <c r="J125" s="403">
        <f t="shared" si="93"/>
        <v>0</v>
      </c>
      <c r="K125" s="401">
        <f t="shared" si="93"/>
        <v>0</v>
      </c>
      <c r="L125" s="46"/>
      <c r="M125" s="239">
        <f t="shared" si="94"/>
        <v>0</v>
      </c>
      <c r="O125" s="312" t="str">
        <f t="shared" si="92"/>
        <v/>
      </c>
      <c r="P125" t="str">
        <f t="shared" si="98"/>
        <v/>
      </c>
      <c r="R125" s="46" t="str">
        <f t="shared" si="99"/>
        <v/>
      </c>
      <c r="S125" s="218" t="str">
        <f t="shared" ca="1" si="100"/>
        <v/>
      </c>
    </row>
    <row r="126" spans="3:19" ht="15" customHeight="1">
      <c r="C126" s="46" t="str">
        <f t="shared" si="91"/>
        <v/>
      </c>
      <c r="D126" t="str">
        <f t="shared" si="97"/>
        <v/>
      </c>
      <c r="F126" s="188"/>
      <c r="J126" s="403">
        <f t="shared" si="93"/>
        <v>0</v>
      </c>
      <c r="K126" s="401">
        <f t="shared" si="93"/>
        <v>0</v>
      </c>
      <c r="L126" s="46"/>
      <c r="M126" s="239">
        <f t="shared" si="94"/>
        <v>0</v>
      </c>
      <c r="O126" s="312" t="str">
        <f t="shared" si="92"/>
        <v/>
      </c>
      <c r="P126" t="str">
        <f t="shared" si="98"/>
        <v/>
      </c>
      <c r="R126" s="46" t="str">
        <f t="shared" si="99"/>
        <v/>
      </c>
      <c r="S126" s="218" t="str">
        <f t="shared" ca="1" si="100"/>
        <v/>
      </c>
    </row>
    <row r="127" spans="3:19" ht="15" customHeight="1">
      <c r="C127" s="46" t="str">
        <f t="shared" si="91"/>
        <v/>
      </c>
      <c r="D127" t="str">
        <f t="shared" si="97"/>
        <v/>
      </c>
      <c r="F127" s="188"/>
      <c r="J127" s="403">
        <f t="shared" si="93"/>
        <v>0</v>
      </c>
      <c r="K127" s="401">
        <f t="shared" si="93"/>
        <v>0</v>
      </c>
      <c r="L127" s="46"/>
      <c r="M127" s="239">
        <f t="shared" si="94"/>
        <v>0</v>
      </c>
      <c r="O127" s="312" t="str">
        <f t="shared" si="92"/>
        <v/>
      </c>
      <c r="P127" t="str">
        <f t="shared" si="98"/>
        <v/>
      </c>
      <c r="R127" s="46" t="str">
        <f t="shared" si="99"/>
        <v/>
      </c>
      <c r="S127" s="218" t="str">
        <f t="shared" ca="1" si="100"/>
        <v/>
      </c>
    </row>
    <row r="128" spans="3:19" ht="15" customHeight="1">
      <c r="C128" s="46" t="str">
        <f t="shared" si="91"/>
        <v/>
      </c>
      <c r="D128" t="str">
        <f t="shared" si="97"/>
        <v/>
      </c>
      <c r="F128" s="188"/>
      <c r="J128" s="403">
        <f t="shared" si="93"/>
        <v>0</v>
      </c>
      <c r="K128" s="401">
        <f t="shared" si="93"/>
        <v>0</v>
      </c>
      <c r="L128" s="46"/>
      <c r="M128" s="239">
        <f t="shared" si="94"/>
        <v>0</v>
      </c>
      <c r="O128" s="312" t="str">
        <f t="shared" si="92"/>
        <v/>
      </c>
      <c r="P128" t="str">
        <f t="shared" si="98"/>
        <v/>
      </c>
      <c r="R128" s="46" t="str">
        <f t="shared" si="99"/>
        <v/>
      </c>
      <c r="S128" s="218" t="str">
        <f t="shared" ca="1" si="100"/>
        <v/>
      </c>
    </row>
    <row r="129" spans="2:19" ht="15" customHeight="1">
      <c r="C129" s="46" t="str">
        <f t="shared" si="91"/>
        <v/>
      </c>
      <c r="D129" t="str">
        <f t="shared" si="97"/>
        <v/>
      </c>
      <c r="F129" s="188"/>
      <c r="J129" s="403">
        <f t="shared" si="93"/>
        <v>0</v>
      </c>
      <c r="K129" s="401">
        <f t="shared" si="93"/>
        <v>0</v>
      </c>
      <c r="L129" s="46"/>
      <c r="M129" s="239">
        <f t="shared" si="94"/>
        <v>0</v>
      </c>
      <c r="O129" s="312" t="str">
        <f t="shared" si="92"/>
        <v/>
      </c>
      <c r="P129" t="str">
        <f t="shared" si="98"/>
        <v/>
      </c>
      <c r="R129" s="46" t="str">
        <f t="shared" si="99"/>
        <v/>
      </c>
      <c r="S129" s="218" t="str">
        <f t="shared" ca="1" si="100"/>
        <v/>
      </c>
    </row>
    <row r="130" spans="2:19" ht="15" customHeight="1">
      <c r="C130" s="46" t="str">
        <f t="shared" si="91"/>
        <v/>
      </c>
      <c r="D130" t="str">
        <f t="shared" si="97"/>
        <v/>
      </c>
      <c r="F130" s="188"/>
      <c r="J130" s="403">
        <f t="shared" si="93"/>
        <v>0</v>
      </c>
      <c r="K130" s="401">
        <f t="shared" si="93"/>
        <v>0</v>
      </c>
      <c r="L130" s="46"/>
      <c r="M130" s="239">
        <f t="shared" si="94"/>
        <v>0</v>
      </c>
      <c r="O130" s="312" t="str">
        <f t="shared" si="92"/>
        <v/>
      </c>
      <c r="P130" t="str">
        <f t="shared" si="98"/>
        <v/>
      </c>
      <c r="R130" s="46" t="str">
        <f t="shared" si="99"/>
        <v/>
      </c>
      <c r="S130" s="218" t="str">
        <f t="shared" ca="1" si="100"/>
        <v/>
      </c>
    </row>
    <row r="131" spans="2:19" ht="15" customHeight="1">
      <c r="C131" s="46" t="str">
        <f t="shared" si="91"/>
        <v/>
      </c>
      <c r="D131" t="str">
        <f t="shared" si="97"/>
        <v/>
      </c>
      <c r="F131" s="188"/>
      <c r="J131" s="403">
        <f t="shared" si="93"/>
        <v>0</v>
      </c>
      <c r="K131" s="401">
        <f t="shared" si="93"/>
        <v>0</v>
      </c>
      <c r="L131" s="46"/>
      <c r="M131" s="239">
        <f t="shared" si="94"/>
        <v>0</v>
      </c>
      <c r="O131" s="312" t="str">
        <f t="shared" si="92"/>
        <v/>
      </c>
      <c r="P131" t="str">
        <f t="shared" si="98"/>
        <v/>
      </c>
      <c r="R131" s="46" t="str">
        <f t="shared" si="99"/>
        <v/>
      </c>
      <c r="S131" s="218" t="str">
        <f t="shared" ca="1" si="100"/>
        <v/>
      </c>
    </row>
    <row r="132" spans="2:19" ht="15" customHeight="1">
      <c r="C132" s="46" t="str">
        <f t="shared" si="91"/>
        <v/>
      </c>
      <c r="D132" t="str">
        <f t="shared" si="97"/>
        <v/>
      </c>
      <c r="F132" s="188"/>
      <c r="J132" s="403">
        <f t="shared" si="93"/>
        <v>0</v>
      </c>
      <c r="K132" s="401">
        <f t="shared" si="93"/>
        <v>0</v>
      </c>
      <c r="L132" s="46"/>
      <c r="M132" s="239">
        <f t="shared" si="94"/>
        <v>0</v>
      </c>
      <c r="O132" s="312" t="str">
        <f t="shared" si="92"/>
        <v/>
      </c>
      <c r="P132" t="str">
        <f t="shared" si="98"/>
        <v/>
      </c>
      <c r="R132" s="46" t="str">
        <f t="shared" si="99"/>
        <v/>
      </c>
      <c r="S132" s="218" t="str">
        <f t="shared" ca="1" si="100"/>
        <v/>
      </c>
    </row>
    <row r="133" spans="2:19" ht="15" customHeight="1">
      <c r="C133" s="46" t="str">
        <f t="shared" si="91"/>
        <v/>
      </c>
      <c r="D133" t="str">
        <f t="shared" si="97"/>
        <v/>
      </c>
      <c r="F133" s="188"/>
      <c r="J133" s="403">
        <f t="shared" si="93"/>
        <v>0</v>
      </c>
      <c r="K133" s="401">
        <f t="shared" si="93"/>
        <v>0</v>
      </c>
      <c r="L133" s="46"/>
      <c r="M133" s="239">
        <f t="shared" si="94"/>
        <v>0</v>
      </c>
      <c r="O133" s="312" t="str">
        <f t="shared" si="92"/>
        <v/>
      </c>
      <c r="P133" t="str">
        <f t="shared" si="98"/>
        <v/>
      </c>
      <c r="R133" s="46" t="str">
        <f t="shared" si="99"/>
        <v/>
      </c>
      <c r="S133" s="218" t="str">
        <f t="shared" ca="1" si="100"/>
        <v/>
      </c>
    </row>
    <row r="134" spans="2:19" ht="15" customHeight="1">
      <c r="C134" s="46" t="str">
        <f t="shared" si="91"/>
        <v/>
      </c>
      <c r="D134" t="str">
        <f t="shared" si="97"/>
        <v/>
      </c>
      <c r="F134" s="188"/>
      <c r="K134" s="401">
        <f t="shared" ref="K134:K141" si="101">J134</f>
        <v>0</v>
      </c>
      <c r="L134" s="46"/>
      <c r="M134" s="239">
        <f t="shared" si="94"/>
        <v>0</v>
      </c>
      <c r="O134" s="312" t="str">
        <f t="shared" si="92"/>
        <v/>
      </c>
      <c r="P134" t="str">
        <f t="shared" si="98"/>
        <v/>
      </c>
      <c r="R134" s="46" t="str">
        <f t="shared" si="99"/>
        <v/>
      </c>
      <c r="S134" s="218" t="str">
        <f t="shared" ca="1" si="100"/>
        <v/>
      </c>
    </row>
    <row r="135" spans="2:19" ht="15" customHeight="1">
      <c r="C135" s="46" t="str">
        <f t="shared" si="91"/>
        <v/>
      </c>
      <c r="D135" t="str">
        <f t="shared" si="97"/>
        <v/>
      </c>
      <c r="F135" s="188"/>
      <c r="K135" s="401">
        <f t="shared" si="101"/>
        <v>0</v>
      </c>
      <c r="L135" s="46"/>
      <c r="M135" s="239">
        <f t="shared" si="94"/>
        <v>0</v>
      </c>
      <c r="O135" s="312" t="str">
        <f t="shared" si="92"/>
        <v/>
      </c>
      <c r="P135" t="str">
        <f t="shared" si="98"/>
        <v/>
      </c>
      <c r="R135" s="46" t="str">
        <f t="shared" si="99"/>
        <v/>
      </c>
      <c r="S135" s="218" t="str">
        <f t="shared" ca="1" si="100"/>
        <v/>
      </c>
    </row>
    <row r="136" spans="2:19" ht="15" customHeight="1">
      <c r="C136" s="46" t="str">
        <f t="shared" si="91"/>
        <v/>
      </c>
      <c r="D136" t="str">
        <f t="shared" si="97"/>
        <v/>
      </c>
      <c r="F136" s="188"/>
      <c r="K136" s="401">
        <f t="shared" si="101"/>
        <v>0</v>
      </c>
      <c r="L136" s="46"/>
      <c r="M136" s="239">
        <f t="shared" si="94"/>
        <v>0</v>
      </c>
      <c r="O136" s="312" t="str">
        <f t="shared" si="92"/>
        <v/>
      </c>
      <c r="P136" t="str">
        <f t="shared" si="98"/>
        <v/>
      </c>
      <c r="R136" s="46" t="str">
        <f t="shared" si="99"/>
        <v/>
      </c>
      <c r="S136" s="218" t="str">
        <f t="shared" ca="1" si="100"/>
        <v/>
      </c>
    </row>
    <row r="137" spans="2:19" ht="15" customHeight="1">
      <c r="C137" s="46" t="str">
        <f t="shared" si="91"/>
        <v/>
      </c>
      <c r="D137" t="str">
        <f t="shared" si="97"/>
        <v/>
      </c>
      <c r="F137" s="188"/>
      <c r="K137" s="401">
        <f t="shared" si="101"/>
        <v>0</v>
      </c>
      <c r="L137" s="46"/>
      <c r="M137" s="239">
        <f t="shared" si="94"/>
        <v>0</v>
      </c>
      <c r="O137" s="312" t="str">
        <f t="shared" si="92"/>
        <v/>
      </c>
      <c r="P137" t="str">
        <f t="shared" si="98"/>
        <v/>
      </c>
      <c r="R137" s="46" t="str">
        <f t="shared" si="99"/>
        <v/>
      </c>
      <c r="S137" s="218" t="str">
        <f t="shared" ca="1" si="100"/>
        <v/>
      </c>
    </row>
    <row r="138" spans="2:19" ht="15" customHeight="1">
      <c r="C138" s="46" t="str">
        <f t="shared" si="91"/>
        <v/>
      </c>
      <c r="D138" t="str">
        <f t="shared" si="97"/>
        <v/>
      </c>
      <c r="F138" s="188"/>
      <c r="K138" s="401">
        <f t="shared" si="101"/>
        <v>0</v>
      </c>
      <c r="L138" s="46"/>
      <c r="M138" s="239">
        <f t="shared" si="94"/>
        <v>0</v>
      </c>
      <c r="P138" t="str">
        <f t="shared" si="98"/>
        <v/>
      </c>
      <c r="R138" s="46" t="str">
        <f t="shared" si="99"/>
        <v/>
      </c>
      <c r="S138" s="218" t="str">
        <f t="shared" ca="1" si="100"/>
        <v/>
      </c>
    </row>
    <row r="139" spans="2:19" ht="15" customHeight="1">
      <c r="C139" s="46" t="str">
        <f t="shared" si="91"/>
        <v/>
      </c>
      <c r="D139" t="str">
        <f t="shared" si="97"/>
        <v/>
      </c>
      <c r="F139" s="188"/>
      <c r="K139" s="401">
        <f t="shared" si="101"/>
        <v>0</v>
      </c>
      <c r="L139" s="46"/>
      <c r="M139" s="239">
        <f t="shared" si="94"/>
        <v>0</v>
      </c>
      <c r="P139" t="str">
        <f t="shared" si="98"/>
        <v/>
      </c>
      <c r="R139" s="46" t="str">
        <f t="shared" si="99"/>
        <v/>
      </c>
      <c r="S139" s="218" t="str">
        <f t="shared" ca="1" si="100"/>
        <v/>
      </c>
    </row>
    <row r="140" spans="2:19" ht="15" customHeight="1">
      <c r="C140" s="46" t="str">
        <f t="shared" ref="C140:C152" si="102">IF(B140&lt;&gt;"",PROPER(TEXT(B140,"mmmm")),"")</f>
        <v/>
      </c>
      <c r="D140" t="str">
        <f t="shared" si="97"/>
        <v/>
      </c>
      <c r="F140" s="188"/>
      <c r="K140" s="401">
        <f t="shared" si="101"/>
        <v>0</v>
      </c>
      <c r="L140" s="46"/>
      <c r="M140" s="239">
        <f t="shared" si="94"/>
        <v>0</v>
      </c>
      <c r="P140" t="str">
        <f t="shared" si="98"/>
        <v/>
      </c>
      <c r="R140" s="46" t="str">
        <f t="shared" si="99"/>
        <v/>
      </c>
      <c r="S140" s="218" t="str">
        <f t="shared" ca="1" si="100"/>
        <v/>
      </c>
    </row>
    <row r="141" spans="2:19" ht="15" customHeight="1">
      <c r="C141" s="46" t="str">
        <f t="shared" si="102"/>
        <v/>
      </c>
      <c r="D141" t="str">
        <f t="shared" si="97"/>
        <v/>
      </c>
      <c r="F141" s="188"/>
      <c r="K141" s="401">
        <f t="shared" si="101"/>
        <v>0</v>
      </c>
      <c r="L141" s="46"/>
      <c r="M141" s="239">
        <f t="shared" si="94"/>
        <v>0</v>
      </c>
      <c r="S141" s="218" t="str">
        <f t="shared" ca="1" si="100"/>
        <v/>
      </c>
    </row>
    <row r="142" spans="2:19" ht="15" customHeight="1">
      <c r="B142" s="220"/>
      <c r="C142" s="46"/>
      <c r="F142" s="188"/>
      <c r="L142" s="46"/>
    </row>
    <row r="143" spans="2:19" ht="15" customHeight="1">
      <c r="C143" s="46" t="str">
        <f t="shared" si="102"/>
        <v/>
      </c>
      <c r="D143" t="str">
        <f t="shared" ref="D143:D203" si="103">IF(B143&lt;&gt;"",TEXT(B143,"aaaa"),"")</f>
        <v/>
      </c>
      <c r="F143" s="188"/>
      <c r="L143" s="46"/>
    </row>
    <row r="144" spans="2:19" ht="15" customHeight="1">
      <c r="C144" s="46" t="str">
        <f t="shared" si="102"/>
        <v/>
      </c>
      <c r="D144" t="str">
        <f t="shared" si="103"/>
        <v/>
      </c>
      <c r="F144" s="188"/>
      <c r="L144" s="46"/>
    </row>
    <row r="145" spans="3:12" ht="15" customHeight="1">
      <c r="C145" s="46" t="str">
        <f t="shared" si="102"/>
        <v/>
      </c>
      <c r="D145" t="str">
        <f t="shared" si="103"/>
        <v/>
      </c>
      <c r="F145" s="188"/>
      <c r="L145" s="46"/>
    </row>
    <row r="146" spans="3:12" ht="15" customHeight="1">
      <c r="C146" s="46" t="str">
        <f t="shared" si="102"/>
        <v/>
      </c>
      <c r="D146" t="str">
        <f t="shared" si="103"/>
        <v/>
      </c>
      <c r="F146" s="188"/>
      <c r="L146" s="46"/>
    </row>
    <row r="147" spans="3:12" ht="15" customHeight="1">
      <c r="C147" s="46" t="str">
        <f t="shared" si="102"/>
        <v/>
      </c>
      <c r="D147" t="str">
        <f t="shared" si="103"/>
        <v/>
      </c>
      <c r="F147" s="188"/>
      <c r="L147" s="46"/>
    </row>
    <row r="148" spans="3:12" ht="15" customHeight="1">
      <c r="C148" s="46" t="str">
        <f t="shared" si="102"/>
        <v/>
      </c>
      <c r="D148" t="str">
        <f t="shared" si="103"/>
        <v/>
      </c>
      <c r="F148" s="188"/>
      <c r="L148" s="46"/>
    </row>
    <row r="149" spans="3:12" ht="15" customHeight="1">
      <c r="C149" s="46" t="str">
        <f t="shared" si="102"/>
        <v/>
      </c>
      <c r="D149" t="str">
        <f t="shared" si="103"/>
        <v/>
      </c>
      <c r="F149" s="188"/>
      <c r="L149" s="46"/>
    </row>
    <row r="150" spans="3:12" ht="15" customHeight="1">
      <c r="C150" s="46" t="str">
        <f t="shared" si="102"/>
        <v/>
      </c>
      <c r="D150" t="str">
        <f t="shared" si="103"/>
        <v/>
      </c>
      <c r="F150" s="188"/>
      <c r="L150" s="46"/>
    </row>
    <row r="151" spans="3:12" ht="15" customHeight="1">
      <c r="C151" s="46" t="str">
        <f t="shared" si="102"/>
        <v/>
      </c>
      <c r="D151" t="str">
        <f t="shared" si="103"/>
        <v/>
      </c>
      <c r="F151" s="188"/>
      <c r="L151" s="46"/>
    </row>
    <row r="152" spans="3:12" ht="15" customHeight="1">
      <c r="C152" s="46" t="str">
        <f t="shared" si="102"/>
        <v/>
      </c>
      <c r="D152" t="str">
        <f t="shared" si="103"/>
        <v/>
      </c>
      <c r="F152" s="188"/>
      <c r="L152" s="46"/>
    </row>
    <row r="153" spans="3:12" ht="15" customHeight="1">
      <c r="D153" t="str">
        <f t="shared" si="103"/>
        <v/>
      </c>
      <c r="F153" s="188"/>
      <c r="L153" s="46"/>
    </row>
    <row r="154" spans="3:12" ht="15" customHeight="1">
      <c r="D154" t="str">
        <f t="shared" si="103"/>
        <v/>
      </c>
      <c r="F154" s="188"/>
      <c r="L154" s="46"/>
    </row>
    <row r="155" spans="3:12" ht="15" customHeight="1">
      <c r="D155" t="str">
        <f t="shared" si="103"/>
        <v/>
      </c>
      <c r="F155" s="188"/>
      <c r="L155" s="46"/>
    </row>
    <row r="156" spans="3:12" ht="15" customHeight="1">
      <c r="D156" t="str">
        <f t="shared" si="103"/>
        <v/>
      </c>
      <c r="F156" s="188"/>
      <c r="L156" s="46"/>
    </row>
    <row r="157" spans="3:12" ht="15" customHeight="1">
      <c r="D157" t="str">
        <f t="shared" si="103"/>
        <v/>
      </c>
      <c r="F157" s="188"/>
      <c r="L157" s="46"/>
    </row>
    <row r="158" spans="3:12" ht="15" customHeight="1">
      <c r="D158" t="str">
        <f t="shared" si="103"/>
        <v/>
      </c>
      <c r="F158" s="188"/>
      <c r="L158" s="46"/>
    </row>
    <row r="159" spans="3:12" ht="15" customHeight="1">
      <c r="D159" t="str">
        <f t="shared" si="103"/>
        <v/>
      </c>
      <c r="F159" s="188"/>
      <c r="L159" s="46"/>
    </row>
    <row r="160" spans="3:12" ht="15" customHeight="1">
      <c r="D160" t="str">
        <f t="shared" si="103"/>
        <v/>
      </c>
      <c r="F160" s="188"/>
      <c r="L160" s="46"/>
    </row>
    <row r="161" spans="4:12" ht="15" customHeight="1">
      <c r="D161" t="str">
        <f t="shared" si="103"/>
        <v/>
      </c>
      <c r="F161" s="188"/>
      <c r="L161" s="46"/>
    </row>
    <row r="162" spans="4:12" ht="15" customHeight="1">
      <c r="D162" t="str">
        <f t="shared" si="103"/>
        <v/>
      </c>
      <c r="F162" s="188"/>
      <c r="L162" s="46"/>
    </row>
    <row r="163" spans="4:12" ht="15" customHeight="1">
      <c r="D163" t="str">
        <f t="shared" si="103"/>
        <v/>
      </c>
      <c r="F163" s="188"/>
      <c r="L163" s="46"/>
    </row>
    <row r="164" spans="4:12" ht="15" customHeight="1">
      <c r="D164" t="str">
        <f t="shared" si="103"/>
        <v/>
      </c>
      <c r="F164" s="188"/>
      <c r="L164" s="46"/>
    </row>
    <row r="165" spans="4:12" ht="15" customHeight="1">
      <c r="D165" t="str">
        <f t="shared" si="103"/>
        <v/>
      </c>
      <c r="F165" s="188"/>
      <c r="L165" s="46"/>
    </row>
    <row r="166" spans="4:12" ht="15" customHeight="1">
      <c r="D166" t="str">
        <f t="shared" si="103"/>
        <v/>
      </c>
      <c r="F166" s="188"/>
      <c r="L166" s="46"/>
    </row>
    <row r="167" spans="4:12" ht="15" customHeight="1">
      <c r="D167" t="str">
        <f t="shared" si="103"/>
        <v/>
      </c>
      <c r="F167" s="188"/>
      <c r="L167" s="46"/>
    </row>
    <row r="168" spans="4:12" ht="15" customHeight="1">
      <c r="D168" t="str">
        <f t="shared" si="103"/>
        <v/>
      </c>
      <c r="F168" s="188"/>
      <c r="L168" s="46"/>
    </row>
    <row r="169" spans="4:12" ht="15" customHeight="1">
      <c r="D169" t="str">
        <f t="shared" si="103"/>
        <v/>
      </c>
      <c r="F169" s="188"/>
      <c r="L169" s="46"/>
    </row>
    <row r="170" spans="4:12" ht="15" customHeight="1">
      <c r="D170" t="str">
        <f t="shared" si="103"/>
        <v/>
      </c>
      <c r="F170" s="188"/>
      <c r="L170" s="46"/>
    </row>
    <row r="171" spans="4:12" ht="15" customHeight="1">
      <c r="D171" t="str">
        <f t="shared" si="103"/>
        <v/>
      </c>
      <c r="F171" s="188"/>
      <c r="L171" s="46"/>
    </row>
    <row r="172" spans="4:12" ht="15" customHeight="1">
      <c r="D172" t="str">
        <f t="shared" si="103"/>
        <v/>
      </c>
      <c r="F172" s="188"/>
      <c r="L172" s="46"/>
    </row>
    <row r="173" spans="4:12" ht="15" customHeight="1">
      <c r="D173" t="str">
        <f t="shared" si="103"/>
        <v/>
      </c>
      <c r="F173" s="188"/>
      <c r="L173" s="46"/>
    </row>
    <row r="174" spans="4:12" ht="15" customHeight="1">
      <c r="D174" t="str">
        <f t="shared" si="103"/>
        <v/>
      </c>
      <c r="F174" s="188"/>
      <c r="L174" s="46"/>
    </row>
    <row r="175" spans="4:12" ht="15" customHeight="1">
      <c r="D175" t="str">
        <f t="shared" si="103"/>
        <v/>
      </c>
      <c r="F175" s="188"/>
      <c r="L175" s="46"/>
    </row>
    <row r="176" spans="4:12" ht="15" customHeight="1">
      <c r="D176" t="str">
        <f t="shared" si="103"/>
        <v/>
      </c>
      <c r="F176" s="188"/>
      <c r="L176" s="46"/>
    </row>
    <row r="177" spans="4:12" ht="15" customHeight="1">
      <c r="D177" t="str">
        <f t="shared" si="103"/>
        <v/>
      </c>
      <c r="F177" s="188"/>
      <c r="L177" s="46"/>
    </row>
    <row r="178" spans="4:12" ht="15" customHeight="1">
      <c r="D178" t="str">
        <f t="shared" si="103"/>
        <v/>
      </c>
      <c r="F178" s="188"/>
      <c r="L178" s="46"/>
    </row>
    <row r="179" spans="4:12" ht="15" customHeight="1">
      <c r="D179" t="str">
        <f t="shared" si="103"/>
        <v/>
      </c>
      <c r="F179" s="188"/>
      <c r="L179" s="46"/>
    </row>
    <row r="180" spans="4:12" ht="15" customHeight="1">
      <c r="D180" t="str">
        <f t="shared" si="103"/>
        <v/>
      </c>
      <c r="F180" s="188"/>
      <c r="L180" s="46"/>
    </row>
    <row r="181" spans="4:12" ht="15" customHeight="1">
      <c r="D181" t="str">
        <f t="shared" si="103"/>
        <v/>
      </c>
      <c r="F181" s="188"/>
      <c r="L181" s="46"/>
    </row>
    <row r="182" spans="4:12" ht="15" customHeight="1">
      <c r="D182" t="str">
        <f t="shared" si="103"/>
        <v/>
      </c>
      <c r="F182" s="188"/>
      <c r="L182" s="46"/>
    </row>
    <row r="183" spans="4:12" ht="15" customHeight="1">
      <c r="D183" t="str">
        <f t="shared" si="103"/>
        <v/>
      </c>
      <c r="F183" s="188"/>
      <c r="L183" s="46"/>
    </row>
    <row r="184" spans="4:12" ht="15" customHeight="1">
      <c r="D184" t="str">
        <f t="shared" si="103"/>
        <v/>
      </c>
      <c r="F184" s="188"/>
      <c r="L184" s="46"/>
    </row>
    <row r="185" spans="4:12" ht="15" customHeight="1">
      <c r="D185" t="str">
        <f t="shared" si="103"/>
        <v/>
      </c>
      <c r="F185" s="188"/>
      <c r="L185" s="46"/>
    </row>
    <row r="186" spans="4:12" ht="15" customHeight="1">
      <c r="D186" t="str">
        <f t="shared" si="103"/>
        <v/>
      </c>
      <c r="F186" s="188"/>
      <c r="L186" s="46"/>
    </row>
    <row r="187" spans="4:12" ht="15" customHeight="1">
      <c r="D187" t="str">
        <f t="shared" si="103"/>
        <v/>
      </c>
      <c r="F187" s="188"/>
      <c r="L187" s="46"/>
    </row>
    <row r="188" spans="4:12" ht="15" customHeight="1">
      <c r="D188" t="str">
        <f t="shared" si="103"/>
        <v/>
      </c>
      <c r="F188" s="188"/>
      <c r="L188" s="46"/>
    </row>
    <row r="189" spans="4:12" ht="15" customHeight="1">
      <c r="D189" t="str">
        <f t="shared" si="103"/>
        <v/>
      </c>
      <c r="F189" s="188"/>
      <c r="L189" s="46"/>
    </row>
    <row r="190" spans="4:12" ht="15" customHeight="1">
      <c r="D190" t="str">
        <f t="shared" si="103"/>
        <v/>
      </c>
      <c r="F190" s="188"/>
      <c r="L190" s="46"/>
    </row>
    <row r="191" spans="4:12" ht="15" customHeight="1">
      <c r="D191" t="str">
        <f t="shared" si="103"/>
        <v/>
      </c>
      <c r="F191" s="188"/>
      <c r="L191" s="46"/>
    </row>
    <row r="192" spans="4:12" ht="15" customHeight="1">
      <c r="D192" t="str">
        <f t="shared" si="103"/>
        <v/>
      </c>
      <c r="F192" s="188"/>
      <c r="L192" s="46"/>
    </row>
    <row r="193" spans="4:12" ht="15" customHeight="1">
      <c r="D193" t="str">
        <f t="shared" si="103"/>
        <v/>
      </c>
      <c r="F193" s="188"/>
      <c r="L193" s="46"/>
    </row>
    <row r="194" spans="4:12" ht="15" customHeight="1">
      <c r="D194" t="str">
        <f t="shared" si="103"/>
        <v/>
      </c>
      <c r="F194" s="188"/>
      <c r="L194" s="46"/>
    </row>
    <row r="195" spans="4:12" ht="15" customHeight="1">
      <c r="D195" t="str">
        <f t="shared" si="103"/>
        <v/>
      </c>
      <c r="F195" s="188"/>
      <c r="L195" s="46"/>
    </row>
    <row r="196" spans="4:12" ht="15" customHeight="1">
      <c r="D196" t="str">
        <f t="shared" si="103"/>
        <v/>
      </c>
      <c r="F196" s="188"/>
      <c r="L196" s="46"/>
    </row>
    <row r="197" spans="4:12" ht="15" customHeight="1">
      <c r="D197" t="str">
        <f t="shared" si="103"/>
        <v/>
      </c>
      <c r="F197" s="188"/>
      <c r="L197" s="46"/>
    </row>
    <row r="198" spans="4:12" ht="15" customHeight="1">
      <c r="D198" t="str">
        <f t="shared" si="103"/>
        <v/>
      </c>
      <c r="F198" s="188"/>
      <c r="L198" s="46"/>
    </row>
    <row r="199" spans="4:12" ht="15" customHeight="1">
      <c r="D199" t="str">
        <f t="shared" si="103"/>
        <v/>
      </c>
      <c r="F199" s="188"/>
    </row>
    <row r="200" spans="4:12" ht="15" customHeight="1">
      <c r="D200" t="str">
        <f t="shared" si="103"/>
        <v/>
      </c>
      <c r="F200" s="188"/>
    </row>
    <row r="201" spans="4:12" ht="15" customHeight="1">
      <c r="D201" t="str">
        <f t="shared" si="103"/>
        <v/>
      </c>
      <c r="F201" s="188"/>
    </row>
    <row r="202" spans="4:12" ht="15" customHeight="1">
      <c r="D202" t="str">
        <f t="shared" si="103"/>
        <v/>
      </c>
      <c r="F202" s="188"/>
    </row>
    <row r="203" spans="4:12" ht="15" customHeight="1">
      <c r="D203" t="str">
        <f t="shared" si="103"/>
        <v/>
      </c>
      <c r="F203" s="188"/>
    </row>
    <row r="204" spans="4:12" ht="15" customHeight="1">
      <c r="D204" t="str">
        <f t="shared" ref="D204:D267" si="104">IF(B204&lt;&gt;"",TEXT(B204,"aaaa"),"")</f>
        <v/>
      </c>
      <c r="F204" s="188"/>
    </row>
    <row r="205" spans="4:12" ht="15" customHeight="1">
      <c r="D205" t="str">
        <f t="shared" si="104"/>
        <v/>
      </c>
      <c r="F205" s="188"/>
    </row>
    <row r="206" spans="4:12" ht="15" customHeight="1">
      <c r="D206" t="str">
        <f t="shared" si="104"/>
        <v/>
      </c>
      <c r="F206" s="188"/>
    </row>
    <row r="207" spans="4:12" ht="15" customHeight="1">
      <c r="D207" t="str">
        <f t="shared" si="104"/>
        <v/>
      </c>
      <c r="F207" s="188"/>
    </row>
    <row r="208" spans="4:12" ht="15" customHeight="1">
      <c r="D208" t="str">
        <f t="shared" si="104"/>
        <v/>
      </c>
      <c r="F208" s="188"/>
    </row>
    <row r="209" spans="4:6" ht="15" customHeight="1">
      <c r="D209" t="str">
        <f t="shared" si="104"/>
        <v/>
      </c>
      <c r="F209" s="188"/>
    </row>
    <row r="210" spans="4:6" ht="15" customHeight="1">
      <c r="D210" t="str">
        <f t="shared" si="104"/>
        <v/>
      </c>
      <c r="F210" s="188"/>
    </row>
    <row r="211" spans="4:6" ht="15" customHeight="1">
      <c r="D211" t="str">
        <f t="shared" si="104"/>
        <v/>
      </c>
      <c r="F211" s="188"/>
    </row>
    <row r="212" spans="4:6" ht="15" customHeight="1">
      <c r="D212" t="str">
        <f t="shared" si="104"/>
        <v/>
      </c>
      <c r="F212" s="188"/>
    </row>
    <row r="213" spans="4:6" ht="15" customHeight="1">
      <c r="D213" t="str">
        <f t="shared" si="104"/>
        <v/>
      </c>
      <c r="F213" s="188"/>
    </row>
    <row r="214" spans="4:6" ht="15" customHeight="1">
      <c r="D214" t="str">
        <f t="shared" si="104"/>
        <v/>
      </c>
      <c r="F214" s="188"/>
    </row>
    <row r="215" spans="4:6" ht="15" customHeight="1">
      <c r="D215" t="str">
        <f t="shared" si="104"/>
        <v/>
      </c>
      <c r="F215" s="188"/>
    </row>
    <row r="216" spans="4:6" ht="15" customHeight="1">
      <c r="D216" t="str">
        <f t="shared" si="104"/>
        <v/>
      </c>
      <c r="F216" s="188"/>
    </row>
    <row r="217" spans="4:6" ht="15" customHeight="1">
      <c r="D217" t="str">
        <f t="shared" si="104"/>
        <v/>
      </c>
      <c r="F217" s="188"/>
    </row>
    <row r="218" spans="4:6" ht="15" customHeight="1">
      <c r="D218" t="str">
        <f t="shared" si="104"/>
        <v/>
      </c>
      <c r="F218" s="188"/>
    </row>
    <row r="219" spans="4:6" ht="15" customHeight="1">
      <c r="D219" t="str">
        <f t="shared" si="104"/>
        <v/>
      </c>
      <c r="F219" s="188"/>
    </row>
    <row r="220" spans="4:6" ht="15" customHeight="1">
      <c r="D220" t="str">
        <f t="shared" si="104"/>
        <v/>
      </c>
      <c r="F220" s="188"/>
    </row>
    <row r="221" spans="4:6" ht="15" customHeight="1">
      <c r="D221" t="str">
        <f t="shared" si="104"/>
        <v/>
      </c>
      <c r="F221" s="188"/>
    </row>
    <row r="222" spans="4:6" ht="15" customHeight="1">
      <c r="D222" t="str">
        <f t="shared" si="104"/>
        <v/>
      </c>
      <c r="F222" s="188"/>
    </row>
    <row r="223" spans="4:6" ht="15" customHeight="1">
      <c r="D223" t="str">
        <f t="shared" si="104"/>
        <v/>
      </c>
      <c r="F223" s="188"/>
    </row>
    <row r="224" spans="4:6" ht="15" customHeight="1">
      <c r="D224" t="str">
        <f t="shared" si="104"/>
        <v/>
      </c>
      <c r="F224" s="188"/>
    </row>
    <row r="225" spans="4:6" ht="15" customHeight="1">
      <c r="D225" t="str">
        <f t="shared" si="104"/>
        <v/>
      </c>
      <c r="F225" s="188"/>
    </row>
    <row r="226" spans="4:6" ht="15" customHeight="1">
      <c r="D226" t="str">
        <f t="shared" si="104"/>
        <v/>
      </c>
      <c r="F226" s="188"/>
    </row>
    <row r="227" spans="4:6" ht="15" customHeight="1">
      <c r="D227" t="str">
        <f t="shared" si="104"/>
        <v/>
      </c>
      <c r="F227" s="188"/>
    </row>
    <row r="228" spans="4:6" ht="15" customHeight="1">
      <c r="D228" t="str">
        <f t="shared" si="104"/>
        <v/>
      </c>
      <c r="F228" s="188"/>
    </row>
    <row r="229" spans="4:6" ht="15" customHeight="1">
      <c r="D229" t="str">
        <f t="shared" si="104"/>
        <v/>
      </c>
      <c r="F229" s="188"/>
    </row>
    <row r="230" spans="4:6" ht="15" customHeight="1">
      <c r="D230" t="str">
        <f t="shared" si="104"/>
        <v/>
      </c>
      <c r="F230" s="188"/>
    </row>
    <row r="231" spans="4:6" ht="15" customHeight="1">
      <c r="D231" t="str">
        <f t="shared" si="104"/>
        <v/>
      </c>
      <c r="F231" s="188"/>
    </row>
    <row r="232" spans="4:6" ht="15" customHeight="1">
      <c r="D232" t="str">
        <f t="shared" si="104"/>
        <v/>
      </c>
      <c r="F232" s="188"/>
    </row>
    <row r="233" spans="4:6" ht="15" customHeight="1">
      <c r="D233" t="str">
        <f t="shared" si="104"/>
        <v/>
      </c>
      <c r="F233" s="188"/>
    </row>
    <row r="234" spans="4:6" ht="15" customHeight="1">
      <c r="D234" t="str">
        <f t="shared" si="104"/>
        <v/>
      </c>
      <c r="F234" s="188"/>
    </row>
    <row r="235" spans="4:6" ht="15" customHeight="1">
      <c r="D235" t="str">
        <f t="shared" si="104"/>
        <v/>
      </c>
      <c r="F235" s="188"/>
    </row>
    <row r="236" spans="4:6" ht="15" customHeight="1">
      <c r="D236" t="str">
        <f t="shared" si="104"/>
        <v/>
      </c>
      <c r="F236" s="188"/>
    </row>
    <row r="237" spans="4:6" ht="15" customHeight="1">
      <c r="D237" t="str">
        <f t="shared" si="104"/>
        <v/>
      </c>
      <c r="F237" s="188"/>
    </row>
    <row r="238" spans="4:6" ht="15" customHeight="1">
      <c r="D238" t="str">
        <f t="shared" si="104"/>
        <v/>
      </c>
      <c r="F238" s="188"/>
    </row>
    <row r="239" spans="4:6" ht="15" customHeight="1">
      <c r="D239" t="str">
        <f t="shared" si="104"/>
        <v/>
      </c>
      <c r="F239" s="188"/>
    </row>
    <row r="240" spans="4:6" ht="15" customHeight="1">
      <c r="D240" t="str">
        <f t="shared" si="104"/>
        <v/>
      </c>
      <c r="F240" s="188"/>
    </row>
    <row r="241" spans="4:6" ht="15" customHeight="1">
      <c r="D241" t="str">
        <f t="shared" si="104"/>
        <v/>
      </c>
      <c r="F241" s="188"/>
    </row>
    <row r="242" spans="4:6" ht="15" customHeight="1">
      <c r="D242" t="str">
        <f t="shared" si="104"/>
        <v/>
      </c>
      <c r="F242" s="188"/>
    </row>
    <row r="243" spans="4:6" ht="15" customHeight="1">
      <c r="D243" t="str">
        <f t="shared" si="104"/>
        <v/>
      </c>
      <c r="F243" s="188"/>
    </row>
    <row r="244" spans="4:6" ht="15" customHeight="1">
      <c r="D244" t="str">
        <f t="shared" si="104"/>
        <v/>
      </c>
      <c r="F244" s="188"/>
    </row>
    <row r="245" spans="4:6" ht="15" customHeight="1">
      <c r="D245" t="str">
        <f t="shared" si="104"/>
        <v/>
      </c>
      <c r="F245" s="188"/>
    </row>
    <row r="246" spans="4:6" ht="15" customHeight="1">
      <c r="D246" t="str">
        <f t="shared" si="104"/>
        <v/>
      </c>
      <c r="F246" s="188"/>
    </row>
    <row r="247" spans="4:6" ht="15" customHeight="1">
      <c r="D247" t="str">
        <f t="shared" si="104"/>
        <v/>
      </c>
      <c r="F247" s="188"/>
    </row>
    <row r="248" spans="4:6" ht="15" customHeight="1">
      <c r="D248" t="str">
        <f t="shared" si="104"/>
        <v/>
      </c>
      <c r="F248" s="188"/>
    </row>
    <row r="249" spans="4:6" ht="15" customHeight="1">
      <c r="D249" t="str">
        <f t="shared" si="104"/>
        <v/>
      </c>
      <c r="F249" s="188"/>
    </row>
    <row r="250" spans="4:6" ht="15" customHeight="1">
      <c r="D250" t="str">
        <f t="shared" si="104"/>
        <v/>
      </c>
      <c r="F250" s="188"/>
    </row>
    <row r="251" spans="4:6" ht="15" customHeight="1">
      <c r="D251" t="str">
        <f t="shared" si="104"/>
        <v/>
      </c>
      <c r="F251" s="188"/>
    </row>
    <row r="252" spans="4:6" ht="15" customHeight="1">
      <c r="D252" t="str">
        <f t="shared" si="104"/>
        <v/>
      </c>
      <c r="F252" s="188"/>
    </row>
    <row r="253" spans="4:6" ht="15" customHeight="1">
      <c r="D253" t="str">
        <f t="shared" si="104"/>
        <v/>
      </c>
      <c r="F253" s="188"/>
    </row>
    <row r="254" spans="4:6" ht="15" customHeight="1">
      <c r="D254" t="str">
        <f t="shared" si="104"/>
        <v/>
      </c>
      <c r="F254" s="188"/>
    </row>
    <row r="255" spans="4:6" ht="15" customHeight="1">
      <c r="D255" t="str">
        <f t="shared" si="104"/>
        <v/>
      </c>
      <c r="F255" s="188"/>
    </row>
    <row r="256" spans="4:6" ht="15" customHeight="1">
      <c r="D256" t="str">
        <f t="shared" si="104"/>
        <v/>
      </c>
      <c r="F256" s="188"/>
    </row>
    <row r="257" spans="4:6" ht="15" customHeight="1">
      <c r="D257" t="str">
        <f t="shared" si="104"/>
        <v/>
      </c>
      <c r="F257" s="188"/>
    </row>
    <row r="258" spans="4:6" ht="15" customHeight="1">
      <c r="D258" t="str">
        <f t="shared" si="104"/>
        <v/>
      </c>
      <c r="F258" s="188"/>
    </row>
    <row r="259" spans="4:6" ht="15" customHeight="1">
      <c r="D259" t="str">
        <f t="shared" si="104"/>
        <v/>
      </c>
      <c r="F259" s="188"/>
    </row>
    <row r="260" spans="4:6" ht="15" customHeight="1">
      <c r="D260" t="str">
        <f t="shared" si="104"/>
        <v/>
      </c>
      <c r="F260" s="188"/>
    </row>
    <row r="261" spans="4:6" ht="15" customHeight="1">
      <c r="D261" t="str">
        <f t="shared" si="104"/>
        <v/>
      </c>
      <c r="F261" s="188"/>
    </row>
    <row r="262" spans="4:6" ht="15" customHeight="1">
      <c r="D262" t="str">
        <f t="shared" si="104"/>
        <v/>
      </c>
      <c r="F262" s="188"/>
    </row>
    <row r="263" spans="4:6" ht="15" customHeight="1">
      <c r="D263" t="str">
        <f t="shared" si="104"/>
        <v/>
      </c>
      <c r="F263" s="188"/>
    </row>
    <row r="264" spans="4:6" ht="15" customHeight="1">
      <c r="D264" t="str">
        <f t="shared" si="104"/>
        <v/>
      </c>
      <c r="F264" s="188"/>
    </row>
    <row r="265" spans="4:6" ht="15" customHeight="1">
      <c r="D265" t="str">
        <f t="shared" si="104"/>
        <v/>
      </c>
      <c r="F265" s="188"/>
    </row>
    <row r="266" spans="4:6" ht="15" customHeight="1">
      <c r="D266" t="str">
        <f t="shared" si="104"/>
        <v/>
      </c>
      <c r="F266" s="188"/>
    </row>
    <row r="267" spans="4:6" ht="15" customHeight="1">
      <c r="D267" t="str">
        <f t="shared" si="104"/>
        <v/>
      </c>
      <c r="F267" s="188"/>
    </row>
    <row r="268" spans="4:6" ht="15" customHeight="1">
      <c r="D268" t="str">
        <f t="shared" ref="D268:D277" si="105">IF(B268&lt;&gt;"",TEXT(B268,"aaaa"),"")</f>
        <v/>
      </c>
      <c r="F268" s="188"/>
    </row>
    <row r="269" spans="4:6" ht="15" customHeight="1">
      <c r="D269" t="str">
        <f t="shared" si="105"/>
        <v/>
      </c>
      <c r="F269" s="188"/>
    </row>
    <row r="270" spans="4:6" ht="15" customHeight="1">
      <c r="D270" t="str">
        <f t="shared" si="105"/>
        <v/>
      </c>
      <c r="F270" s="188"/>
    </row>
    <row r="271" spans="4:6" ht="15" customHeight="1">
      <c r="D271" t="str">
        <f t="shared" si="105"/>
        <v/>
      </c>
      <c r="F271" s="188"/>
    </row>
    <row r="272" spans="4:6" ht="15" customHeight="1">
      <c r="D272" t="str">
        <f t="shared" si="105"/>
        <v/>
      </c>
      <c r="F272" s="188"/>
    </row>
    <row r="273" spans="3:15" ht="15" customHeight="1">
      <c r="D273" t="str">
        <f t="shared" si="105"/>
        <v/>
      </c>
      <c r="F273" s="188"/>
    </row>
    <row r="274" spans="3:15" ht="15" customHeight="1">
      <c r="D274" t="str">
        <f t="shared" si="105"/>
        <v/>
      </c>
      <c r="F274" s="188"/>
    </row>
    <row r="275" spans="3:15" ht="15" customHeight="1">
      <c r="D275" t="str">
        <f t="shared" si="105"/>
        <v/>
      </c>
      <c r="F275" s="188"/>
    </row>
    <row r="276" spans="3:15" ht="15" customHeight="1">
      <c r="D276" t="str">
        <f t="shared" si="105"/>
        <v/>
      </c>
      <c r="F276" s="188"/>
    </row>
    <row r="277" spans="3:15" ht="15" customHeight="1">
      <c r="D277" t="str">
        <f t="shared" si="105"/>
        <v/>
      </c>
      <c r="F277" s="188"/>
    </row>
    <row r="279" spans="3:15" ht="15" customHeight="1">
      <c r="C279" s="46" t="str">
        <f t="shared" ref="C279:C341" si="106">IF(B279&lt;&gt;"",PROPER(TEXT(B279,"mmmm")),"")</f>
        <v/>
      </c>
      <c r="D279" t="str">
        <f t="shared" ref="D279:D341" si="107">IF(B279="","",YEAR(B279))</f>
        <v/>
      </c>
      <c r="F279" s="188"/>
      <c r="J279" s="403">
        <f t="shared" ref="J279:K342" si="108">I279</f>
        <v>0</v>
      </c>
      <c r="K279" s="402">
        <f t="shared" si="108"/>
        <v>0</v>
      </c>
      <c r="L279" s="46"/>
      <c r="M279" s="239">
        <f t="shared" ref="M279:M342" si="109">J279</f>
        <v>0</v>
      </c>
      <c r="O279" s="312" t="str">
        <f t="shared" ref="O279:O341" si="110">IF(N279&lt;&gt;"",TEXT(N279,"mmmm"),"")</f>
        <v/>
      </c>
    </row>
    <row r="280" spans="3:15" ht="15" customHeight="1">
      <c r="C280" s="46" t="str">
        <f t="shared" si="106"/>
        <v/>
      </c>
      <c r="D280" t="str">
        <f t="shared" si="107"/>
        <v/>
      </c>
      <c r="F280" s="188"/>
      <c r="J280" s="403">
        <f t="shared" si="108"/>
        <v>0</v>
      </c>
      <c r="K280" s="402">
        <f t="shared" si="108"/>
        <v>0</v>
      </c>
      <c r="L280" s="46"/>
      <c r="M280" s="239">
        <f t="shared" si="109"/>
        <v>0</v>
      </c>
      <c r="O280" s="312" t="str">
        <f t="shared" si="110"/>
        <v/>
      </c>
    </row>
    <row r="281" spans="3:15" ht="15" customHeight="1">
      <c r="C281" s="46" t="str">
        <f t="shared" si="106"/>
        <v/>
      </c>
      <c r="D281" t="str">
        <f t="shared" si="107"/>
        <v/>
      </c>
      <c r="F281" s="188"/>
      <c r="J281" s="403">
        <f t="shared" si="108"/>
        <v>0</v>
      </c>
      <c r="K281" s="402">
        <f t="shared" si="108"/>
        <v>0</v>
      </c>
      <c r="L281" s="46"/>
      <c r="M281" s="239">
        <f t="shared" si="109"/>
        <v>0</v>
      </c>
      <c r="O281" s="312" t="str">
        <f t="shared" si="110"/>
        <v/>
      </c>
    </row>
    <row r="282" spans="3:15" ht="15" customHeight="1">
      <c r="C282" s="46" t="str">
        <f t="shared" si="106"/>
        <v/>
      </c>
      <c r="D282" t="str">
        <f t="shared" si="107"/>
        <v/>
      </c>
      <c r="F282" s="188"/>
      <c r="J282" s="403">
        <f t="shared" si="108"/>
        <v>0</v>
      </c>
      <c r="K282" s="402">
        <f t="shared" si="108"/>
        <v>0</v>
      </c>
      <c r="L282" s="46"/>
      <c r="M282" s="239">
        <f t="shared" si="109"/>
        <v>0</v>
      </c>
      <c r="O282" s="312" t="str">
        <f t="shared" si="110"/>
        <v/>
      </c>
    </row>
    <row r="283" spans="3:15" ht="15" customHeight="1">
      <c r="C283" s="46" t="str">
        <f t="shared" si="106"/>
        <v/>
      </c>
      <c r="D283" t="str">
        <f t="shared" si="107"/>
        <v/>
      </c>
      <c r="F283" s="188"/>
      <c r="J283" s="403">
        <f t="shared" si="108"/>
        <v>0</v>
      </c>
      <c r="K283" s="402">
        <f t="shared" si="108"/>
        <v>0</v>
      </c>
      <c r="L283" s="46"/>
      <c r="M283" s="239">
        <f t="shared" si="109"/>
        <v>0</v>
      </c>
      <c r="O283" s="312" t="str">
        <f t="shared" si="110"/>
        <v/>
      </c>
    </row>
    <row r="284" spans="3:15" ht="15" customHeight="1">
      <c r="C284" s="46" t="str">
        <f t="shared" si="106"/>
        <v/>
      </c>
      <c r="D284" t="str">
        <f t="shared" si="107"/>
        <v/>
      </c>
      <c r="F284" s="188"/>
      <c r="J284" s="403">
        <f t="shared" si="108"/>
        <v>0</v>
      </c>
      <c r="K284" s="402">
        <f t="shared" si="108"/>
        <v>0</v>
      </c>
      <c r="L284" s="46"/>
      <c r="M284" s="239">
        <f t="shared" si="109"/>
        <v>0</v>
      </c>
      <c r="O284" s="312" t="str">
        <f t="shared" si="110"/>
        <v/>
      </c>
    </row>
    <row r="285" spans="3:15" ht="15" customHeight="1">
      <c r="C285" s="46" t="str">
        <f t="shared" si="106"/>
        <v/>
      </c>
      <c r="D285" t="str">
        <f t="shared" si="107"/>
        <v/>
      </c>
      <c r="F285" s="188"/>
      <c r="J285" s="403">
        <f t="shared" si="108"/>
        <v>0</v>
      </c>
      <c r="K285" s="402">
        <f t="shared" si="108"/>
        <v>0</v>
      </c>
      <c r="L285" s="46"/>
      <c r="M285" s="239">
        <f t="shared" si="109"/>
        <v>0</v>
      </c>
      <c r="O285" s="312" t="str">
        <f t="shared" si="110"/>
        <v/>
      </c>
    </row>
    <row r="286" spans="3:15" ht="15" customHeight="1">
      <c r="C286" s="46" t="str">
        <f t="shared" si="106"/>
        <v/>
      </c>
      <c r="D286" t="str">
        <f t="shared" si="107"/>
        <v/>
      </c>
      <c r="F286" s="188"/>
      <c r="J286" s="403">
        <f t="shared" si="108"/>
        <v>0</v>
      </c>
      <c r="K286" s="402">
        <f t="shared" si="108"/>
        <v>0</v>
      </c>
      <c r="L286" s="46"/>
      <c r="M286" s="239">
        <f t="shared" si="109"/>
        <v>0</v>
      </c>
      <c r="O286" s="312" t="str">
        <f t="shared" si="110"/>
        <v/>
      </c>
    </row>
    <row r="287" spans="3:15" ht="15" customHeight="1">
      <c r="C287" s="46" t="str">
        <f t="shared" si="106"/>
        <v/>
      </c>
      <c r="D287" t="str">
        <f t="shared" si="107"/>
        <v/>
      </c>
      <c r="F287" s="188"/>
      <c r="J287" s="403">
        <f t="shared" si="108"/>
        <v>0</v>
      </c>
      <c r="K287" s="402">
        <f t="shared" si="108"/>
        <v>0</v>
      </c>
      <c r="L287" s="46"/>
      <c r="M287" s="239">
        <f t="shared" si="109"/>
        <v>0</v>
      </c>
      <c r="O287" s="312" t="str">
        <f t="shared" si="110"/>
        <v/>
      </c>
    </row>
    <row r="288" spans="3:15" ht="15" customHeight="1">
      <c r="C288" s="46" t="str">
        <f t="shared" si="106"/>
        <v/>
      </c>
      <c r="D288" t="str">
        <f t="shared" si="107"/>
        <v/>
      </c>
      <c r="F288" s="188"/>
      <c r="J288" s="403">
        <f t="shared" si="108"/>
        <v>0</v>
      </c>
      <c r="K288" s="402">
        <f t="shared" si="108"/>
        <v>0</v>
      </c>
      <c r="L288" s="46"/>
      <c r="M288" s="239">
        <f t="shared" si="109"/>
        <v>0</v>
      </c>
      <c r="O288" s="312" t="str">
        <f t="shared" si="110"/>
        <v/>
      </c>
    </row>
    <row r="289" spans="3:15" ht="15" customHeight="1">
      <c r="C289" s="46" t="str">
        <f t="shared" si="106"/>
        <v/>
      </c>
      <c r="D289" t="str">
        <f t="shared" si="107"/>
        <v/>
      </c>
      <c r="F289" s="188"/>
      <c r="J289" s="403">
        <f t="shared" si="108"/>
        <v>0</v>
      </c>
      <c r="K289" s="402">
        <f t="shared" si="108"/>
        <v>0</v>
      </c>
      <c r="L289" s="46"/>
      <c r="M289" s="239">
        <f t="shared" si="109"/>
        <v>0</v>
      </c>
      <c r="O289" s="312" t="str">
        <f t="shared" si="110"/>
        <v/>
      </c>
    </row>
    <row r="290" spans="3:15" ht="15" customHeight="1">
      <c r="C290" s="46" t="str">
        <f t="shared" si="106"/>
        <v/>
      </c>
      <c r="D290" t="str">
        <f t="shared" si="107"/>
        <v/>
      </c>
      <c r="F290" s="188"/>
      <c r="J290" s="403">
        <f t="shared" si="108"/>
        <v>0</v>
      </c>
      <c r="K290" s="402">
        <f t="shared" si="108"/>
        <v>0</v>
      </c>
      <c r="L290" s="46"/>
      <c r="M290" s="239">
        <f t="shared" si="109"/>
        <v>0</v>
      </c>
      <c r="O290" s="312" t="str">
        <f t="shared" si="110"/>
        <v/>
      </c>
    </row>
    <row r="291" spans="3:15" ht="15" customHeight="1">
      <c r="C291" s="46" t="str">
        <f t="shared" si="106"/>
        <v/>
      </c>
      <c r="D291" t="str">
        <f t="shared" si="107"/>
        <v/>
      </c>
      <c r="F291" s="188"/>
      <c r="J291" s="403">
        <f t="shared" si="108"/>
        <v>0</v>
      </c>
      <c r="K291" s="402">
        <f t="shared" si="108"/>
        <v>0</v>
      </c>
      <c r="L291" s="46"/>
      <c r="M291" s="239">
        <f t="shared" si="109"/>
        <v>0</v>
      </c>
      <c r="O291" s="312" t="str">
        <f t="shared" si="110"/>
        <v/>
      </c>
    </row>
    <row r="292" spans="3:15" ht="15" customHeight="1">
      <c r="C292" s="46" t="str">
        <f t="shared" si="106"/>
        <v/>
      </c>
      <c r="D292" t="str">
        <f t="shared" si="107"/>
        <v/>
      </c>
      <c r="F292" s="188"/>
      <c r="J292" s="403">
        <f t="shared" si="108"/>
        <v>0</v>
      </c>
      <c r="K292" s="402">
        <f t="shared" si="108"/>
        <v>0</v>
      </c>
      <c r="L292" s="46"/>
      <c r="M292" s="239">
        <f t="shared" si="109"/>
        <v>0</v>
      </c>
      <c r="O292" s="312" t="str">
        <f t="shared" si="110"/>
        <v/>
      </c>
    </row>
    <row r="293" spans="3:15" ht="15" customHeight="1">
      <c r="C293" s="46" t="str">
        <f t="shared" si="106"/>
        <v/>
      </c>
      <c r="D293" t="str">
        <f t="shared" si="107"/>
        <v/>
      </c>
      <c r="F293" s="188"/>
      <c r="J293" s="403">
        <f t="shared" si="108"/>
        <v>0</v>
      </c>
      <c r="K293" s="402">
        <f t="shared" si="108"/>
        <v>0</v>
      </c>
      <c r="L293" s="46"/>
      <c r="M293" s="239">
        <f t="shared" si="109"/>
        <v>0</v>
      </c>
      <c r="O293" s="312" t="str">
        <f t="shared" si="110"/>
        <v/>
      </c>
    </row>
    <row r="294" spans="3:15" ht="15" customHeight="1">
      <c r="C294" s="46" t="str">
        <f t="shared" si="106"/>
        <v/>
      </c>
      <c r="D294" t="str">
        <f t="shared" si="107"/>
        <v/>
      </c>
      <c r="F294" s="188"/>
      <c r="J294" s="403">
        <f t="shared" si="108"/>
        <v>0</v>
      </c>
      <c r="K294" s="402">
        <f t="shared" si="108"/>
        <v>0</v>
      </c>
      <c r="L294" s="46"/>
      <c r="M294" s="239">
        <f t="shared" si="109"/>
        <v>0</v>
      </c>
      <c r="O294" s="312" t="str">
        <f t="shared" si="110"/>
        <v/>
      </c>
    </row>
    <row r="295" spans="3:15" ht="15" customHeight="1">
      <c r="C295" s="46" t="str">
        <f t="shared" si="106"/>
        <v/>
      </c>
      <c r="D295" t="str">
        <f t="shared" si="107"/>
        <v/>
      </c>
      <c r="F295" s="188"/>
      <c r="J295" s="403">
        <f t="shared" si="108"/>
        <v>0</v>
      </c>
      <c r="K295" s="402">
        <f t="shared" si="108"/>
        <v>0</v>
      </c>
      <c r="L295" s="46"/>
      <c r="M295" s="239">
        <f t="shared" si="109"/>
        <v>0</v>
      </c>
      <c r="O295" s="312" t="str">
        <f t="shared" si="110"/>
        <v/>
      </c>
    </row>
    <row r="296" spans="3:15" ht="15" customHeight="1">
      <c r="C296" s="46" t="str">
        <f t="shared" si="106"/>
        <v/>
      </c>
      <c r="D296" t="str">
        <f t="shared" si="107"/>
        <v/>
      </c>
      <c r="F296" s="188"/>
      <c r="J296" s="403">
        <f t="shared" si="108"/>
        <v>0</v>
      </c>
      <c r="K296" s="402">
        <f t="shared" si="108"/>
        <v>0</v>
      </c>
      <c r="L296" s="46"/>
      <c r="M296" s="239">
        <f t="shared" si="109"/>
        <v>0</v>
      </c>
      <c r="O296" s="312" t="str">
        <f t="shared" si="110"/>
        <v/>
      </c>
    </row>
    <row r="297" spans="3:15" ht="15" customHeight="1">
      <c r="C297" s="46" t="str">
        <f t="shared" si="106"/>
        <v/>
      </c>
      <c r="D297" t="str">
        <f t="shared" si="107"/>
        <v/>
      </c>
      <c r="F297" s="188"/>
      <c r="J297" s="403">
        <f t="shared" si="108"/>
        <v>0</v>
      </c>
      <c r="K297" s="402">
        <f t="shared" si="108"/>
        <v>0</v>
      </c>
      <c r="L297" s="46"/>
      <c r="M297" s="239">
        <f t="shared" si="109"/>
        <v>0</v>
      </c>
      <c r="O297" s="312" t="str">
        <f t="shared" si="110"/>
        <v/>
      </c>
    </row>
    <row r="298" spans="3:15" ht="15" customHeight="1">
      <c r="C298" s="46" t="str">
        <f t="shared" si="106"/>
        <v/>
      </c>
      <c r="D298" t="str">
        <f t="shared" si="107"/>
        <v/>
      </c>
      <c r="F298" s="188"/>
      <c r="J298" s="403">
        <f t="shared" si="108"/>
        <v>0</v>
      </c>
      <c r="K298" s="402">
        <f t="shared" si="108"/>
        <v>0</v>
      </c>
      <c r="L298" s="46"/>
      <c r="M298" s="239">
        <f t="shared" si="109"/>
        <v>0</v>
      </c>
      <c r="O298" s="312" t="str">
        <f t="shared" si="110"/>
        <v/>
      </c>
    </row>
    <row r="299" spans="3:15" ht="15" customHeight="1">
      <c r="C299" s="46" t="str">
        <f t="shared" si="106"/>
        <v/>
      </c>
      <c r="D299" t="str">
        <f t="shared" si="107"/>
        <v/>
      </c>
      <c r="F299" s="188"/>
      <c r="J299" s="403">
        <f t="shared" si="108"/>
        <v>0</v>
      </c>
      <c r="K299" s="402">
        <f t="shared" si="108"/>
        <v>0</v>
      </c>
      <c r="L299" s="46"/>
      <c r="M299" s="239">
        <f t="shared" si="109"/>
        <v>0</v>
      </c>
      <c r="O299" s="312" t="str">
        <f t="shared" si="110"/>
        <v/>
      </c>
    </row>
    <row r="300" spans="3:15" ht="15" customHeight="1">
      <c r="C300" s="46" t="str">
        <f t="shared" si="106"/>
        <v/>
      </c>
      <c r="D300" t="str">
        <f t="shared" si="107"/>
        <v/>
      </c>
      <c r="F300" s="188"/>
      <c r="J300" s="403">
        <f t="shared" si="108"/>
        <v>0</v>
      </c>
      <c r="K300" s="402">
        <f t="shared" si="108"/>
        <v>0</v>
      </c>
      <c r="L300" s="46"/>
      <c r="M300" s="239">
        <f t="shared" si="109"/>
        <v>0</v>
      </c>
      <c r="O300" s="312" t="str">
        <f t="shared" si="110"/>
        <v/>
      </c>
    </row>
    <row r="301" spans="3:15" ht="15" customHeight="1">
      <c r="C301" s="46" t="str">
        <f t="shared" si="106"/>
        <v/>
      </c>
      <c r="D301" t="str">
        <f t="shared" si="107"/>
        <v/>
      </c>
      <c r="F301" s="188"/>
      <c r="J301" s="403">
        <f t="shared" si="108"/>
        <v>0</v>
      </c>
      <c r="K301" s="402">
        <f t="shared" si="108"/>
        <v>0</v>
      </c>
      <c r="L301" s="46"/>
      <c r="M301" s="239">
        <f t="shared" si="109"/>
        <v>0</v>
      </c>
      <c r="O301" s="312" t="str">
        <f t="shared" si="110"/>
        <v/>
      </c>
    </row>
    <row r="302" spans="3:15" ht="15" customHeight="1">
      <c r="C302" s="46" t="str">
        <f t="shared" si="106"/>
        <v/>
      </c>
      <c r="D302" t="str">
        <f t="shared" si="107"/>
        <v/>
      </c>
      <c r="F302" s="188"/>
      <c r="J302" s="403">
        <f t="shared" si="108"/>
        <v>0</v>
      </c>
      <c r="K302" s="402">
        <f t="shared" si="108"/>
        <v>0</v>
      </c>
      <c r="L302" s="46"/>
      <c r="M302" s="239">
        <f t="shared" si="109"/>
        <v>0</v>
      </c>
      <c r="O302" s="312" t="str">
        <f t="shared" si="110"/>
        <v/>
      </c>
    </row>
    <row r="303" spans="3:15" ht="15" customHeight="1">
      <c r="C303" s="46" t="str">
        <f t="shared" si="106"/>
        <v/>
      </c>
      <c r="D303" t="str">
        <f t="shared" si="107"/>
        <v/>
      </c>
      <c r="F303" s="188"/>
      <c r="J303" s="403">
        <f t="shared" si="108"/>
        <v>0</v>
      </c>
      <c r="K303" s="402">
        <f t="shared" si="108"/>
        <v>0</v>
      </c>
      <c r="L303" s="46"/>
      <c r="M303" s="239">
        <f t="shared" si="109"/>
        <v>0</v>
      </c>
      <c r="O303" s="312" t="str">
        <f t="shared" si="110"/>
        <v/>
      </c>
    </row>
    <row r="304" spans="3:15" ht="15" customHeight="1">
      <c r="C304" s="46" t="str">
        <f t="shared" si="106"/>
        <v/>
      </c>
      <c r="D304" t="str">
        <f t="shared" si="107"/>
        <v/>
      </c>
      <c r="F304" s="188"/>
      <c r="J304" s="403">
        <f t="shared" si="108"/>
        <v>0</v>
      </c>
      <c r="K304" s="402">
        <f t="shared" si="108"/>
        <v>0</v>
      </c>
      <c r="L304" s="46"/>
      <c r="M304" s="239">
        <f t="shared" si="109"/>
        <v>0</v>
      </c>
      <c r="O304" s="312" t="str">
        <f t="shared" si="110"/>
        <v/>
      </c>
    </row>
    <row r="305" spans="3:15" ht="15" customHeight="1">
      <c r="C305" s="46" t="str">
        <f t="shared" si="106"/>
        <v/>
      </c>
      <c r="D305" t="str">
        <f t="shared" si="107"/>
        <v/>
      </c>
      <c r="F305" s="188"/>
      <c r="J305" s="403">
        <f t="shared" si="108"/>
        <v>0</v>
      </c>
      <c r="K305" s="402">
        <f t="shared" si="108"/>
        <v>0</v>
      </c>
      <c r="L305" s="46"/>
      <c r="M305" s="239">
        <f t="shared" si="109"/>
        <v>0</v>
      </c>
      <c r="O305" s="312" t="str">
        <f t="shared" si="110"/>
        <v/>
      </c>
    </row>
    <row r="306" spans="3:15" ht="15" customHeight="1">
      <c r="C306" s="46" t="str">
        <f t="shared" si="106"/>
        <v/>
      </c>
      <c r="D306" t="str">
        <f t="shared" si="107"/>
        <v/>
      </c>
      <c r="F306" s="188"/>
      <c r="J306" s="403">
        <f t="shared" si="108"/>
        <v>0</v>
      </c>
      <c r="K306" s="402">
        <f t="shared" si="108"/>
        <v>0</v>
      </c>
      <c r="L306" s="46"/>
      <c r="M306" s="239">
        <f t="shared" si="109"/>
        <v>0</v>
      </c>
      <c r="O306" s="312" t="str">
        <f t="shared" si="110"/>
        <v/>
      </c>
    </row>
    <row r="307" spans="3:15" ht="15" customHeight="1">
      <c r="C307" s="46" t="str">
        <f t="shared" si="106"/>
        <v/>
      </c>
      <c r="D307" t="str">
        <f t="shared" si="107"/>
        <v/>
      </c>
      <c r="F307" s="188"/>
      <c r="J307" s="403">
        <f t="shared" si="108"/>
        <v>0</v>
      </c>
      <c r="K307" s="402">
        <f t="shared" si="108"/>
        <v>0</v>
      </c>
      <c r="L307" s="46"/>
      <c r="M307" s="239">
        <f t="shared" si="109"/>
        <v>0</v>
      </c>
      <c r="O307" s="312" t="str">
        <f t="shared" si="110"/>
        <v/>
      </c>
    </row>
    <row r="308" spans="3:15" ht="15" customHeight="1">
      <c r="C308" s="46" t="str">
        <f t="shared" si="106"/>
        <v/>
      </c>
      <c r="D308" t="str">
        <f t="shared" si="107"/>
        <v/>
      </c>
      <c r="F308" s="188"/>
      <c r="J308" s="403">
        <f t="shared" si="108"/>
        <v>0</v>
      </c>
      <c r="K308" s="402">
        <f t="shared" si="108"/>
        <v>0</v>
      </c>
      <c r="L308" s="46"/>
      <c r="M308" s="239">
        <f t="shared" si="109"/>
        <v>0</v>
      </c>
      <c r="O308" s="312" t="str">
        <f t="shared" si="110"/>
        <v/>
      </c>
    </row>
    <row r="309" spans="3:15" ht="15" customHeight="1">
      <c r="C309" s="46" t="str">
        <f t="shared" si="106"/>
        <v/>
      </c>
      <c r="D309" t="str">
        <f t="shared" si="107"/>
        <v/>
      </c>
      <c r="F309" s="188"/>
      <c r="J309" s="403">
        <f t="shared" si="108"/>
        <v>0</v>
      </c>
      <c r="K309" s="402">
        <f t="shared" si="108"/>
        <v>0</v>
      </c>
      <c r="L309" s="46"/>
      <c r="M309" s="239">
        <f t="shared" si="109"/>
        <v>0</v>
      </c>
      <c r="O309" s="312" t="str">
        <f t="shared" si="110"/>
        <v/>
      </c>
    </row>
    <row r="310" spans="3:15" ht="15" customHeight="1">
      <c r="C310" s="46" t="str">
        <f t="shared" si="106"/>
        <v/>
      </c>
      <c r="D310" t="str">
        <f t="shared" si="107"/>
        <v/>
      </c>
      <c r="F310" s="188"/>
      <c r="J310" s="403">
        <f t="shared" si="108"/>
        <v>0</v>
      </c>
      <c r="K310" s="402">
        <f t="shared" si="108"/>
        <v>0</v>
      </c>
      <c r="L310" s="46"/>
      <c r="M310" s="239">
        <f t="shared" si="109"/>
        <v>0</v>
      </c>
      <c r="O310" s="312" t="str">
        <f t="shared" si="110"/>
        <v/>
      </c>
    </row>
    <row r="311" spans="3:15" ht="15" customHeight="1">
      <c r="C311" s="46" t="str">
        <f t="shared" si="106"/>
        <v/>
      </c>
      <c r="D311" t="str">
        <f t="shared" si="107"/>
        <v/>
      </c>
      <c r="F311" s="188"/>
      <c r="J311" s="403">
        <f t="shared" si="108"/>
        <v>0</v>
      </c>
      <c r="K311" s="402">
        <f t="shared" si="108"/>
        <v>0</v>
      </c>
      <c r="L311" s="46"/>
      <c r="M311" s="239">
        <f t="shared" si="109"/>
        <v>0</v>
      </c>
      <c r="O311" s="312" t="str">
        <f t="shared" si="110"/>
        <v/>
      </c>
    </row>
    <row r="312" spans="3:15" ht="15" customHeight="1">
      <c r="C312" s="46" t="str">
        <f t="shared" si="106"/>
        <v/>
      </c>
      <c r="D312" t="str">
        <f t="shared" si="107"/>
        <v/>
      </c>
      <c r="F312" s="188"/>
      <c r="J312" s="403">
        <f t="shared" si="108"/>
        <v>0</v>
      </c>
      <c r="K312" s="402">
        <f t="shared" si="108"/>
        <v>0</v>
      </c>
      <c r="L312" s="46"/>
      <c r="M312" s="239">
        <f t="shared" si="109"/>
        <v>0</v>
      </c>
      <c r="O312" s="312" t="str">
        <f t="shared" si="110"/>
        <v/>
      </c>
    </row>
    <row r="313" spans="3:15" ht="15" customHeight="1">
      <c r="C313" s="46" t="str">
        <f t="shared" si="106"/>
        <v/>
      </c>
      <c r="D313" t="str">
        <f t="shared" si="107"/>
        <v/>
      </c>
      <c r="F313" s="188"/>
      <c r="J313" s="403">
        <f t="shared" si="108"/>
        <v>0</v>
      </c>
      <c r="K313" s="402">
        <f t="shared" si="108"/>
        <v>0</v>
      </c>
      <c r="L313" s="46"/>
      <c r="M313" s="239">
        <f t="shared" si="109"/>
        <v>0</v>
      </c>
      <c r="O313" s="312" t="str">
        <f t="shared" si="110"/>
        <v/>
      </c>
    </row>
    <row r="314" spans="3:15" ht="15" customHeight="1">
      <c r="C314" s="46" t="str">
        <f t="shared" si="106"/>
        <v/>
      </c>
      <c r="D314" t="str">
        <f t="shared" si="107"/>
        <v/>
      </c>
      <c r="F314" s="188"/>
      <c r="J314" s="403">
        <f t="shared" si="108"/>
        <v>0</v>
      </c>
      <c r="K314" s="402">
        <f t="shared" si="108"/>
        <v>0</v>
      </c>
      <c r="L314" s="46"/>
      <c r="M314" s="239">
        <f t="shared" si="109"/>
        <v>0</v>
      </c>
      <c r="O314" s="312" t="str">
        <f t="shared" si="110"/>
        <v/>
      </c>
    </row>
    <row r="315" spans="3:15" ht="15" customHeight="1">
      <c r="C315" s="46" t="str">
        <f t="shared" si="106"/>
        <v/>
      </c>
      <c r="D315" t="str">
        <f t="shared" si="107"/>
        <v/>
      </c>
      <c r="F315" s="188"/>
      <c r="J315" s="403">
        <f t="shared" si="108"/>
        <v>0</v>
      </c>
      <c r="K315" s="402">
        <f t="shared" si="108"/>
        <v>0</v>
      </c>
      <c r="L315" s="46"/>
      <c r="M315" s="239">
        <f t="shared" si="109"/>
        <v>0</v>
      </c>
      <c r="O315" s="312" t="str">
        <f t="shared" si="110"/>
        <v/>
      </c>
    </row>
    <row r="316" spans="3:15" ht="15" customHeight="1">
      <c r="C316" s="46" t="str">
        <f t="shared" si="106"/>
        <v/>
      </c>
      <c r="D316" t="str">
        <f t="shared" si="107"/>
        <v/>
      </c>
      <c r="F316" s="188"/>
      <c r="J316" s="403">
        <f t="shared" si="108"/>
        <v>0</v>
      </c>
      <c r="K316" s="402">
        <f t="shared" si="108"/>
        <v>0</v>
      </c>
      <c r="L316" s="46"/>
      <c r="M316" s="239">
        <f t="shared" si="109"/>
        <v>0</v>
      </c>
      <c r="O316" s="312" t="str">
        <f t="shared" si="110"/>
        <v/>
      </c>
    </row>
    <row r="317" spans="3:15" ht="15" customHeight="1">
      <c r="C317" s="46" t="str">
        <f t="shared" si="106"/>
        <v/>
      </c>
      <c r="D317" t="str">
        <f t="shared" si="107"/>
        <v/>
      </c>
      <c r="F317" s="188"/>
      <c r="J317" s="403">
        <f t="shared" si="108"/>
        <v>0</v>
      </c>
      <c r="K317" s="402">
        <f t="shared" si="108"/>
        <v>0</v>
      </c>
      <c r="L317" s="46"/>
      <c r="M317" s="239">
        <f t="shared" si="109"/>
        <v>0</v>
      </c>
      <c r="O317" s="312" t="str">
        <f t="shared" si="110"/>
        <v/>
      </c>
    </row>
    <row r="318" spans="3:15" ht="15" customHeight="1">
      <c r="C318" s="46" t="str">
        <f t="shared" si="106"/>
        <v/>
      </c>
      <c r="D318" t="str">
        <f t="shared" si="107"/>
        <v/>
      </c>
      <c r="F318" s="188"/>
      <c r="J318" s="403">
        <f t="shared" si="108"/>
        <v>0</v>
      </c>
      <c r="K318" s="402">
        <f t="shared" si="108"/>
        <v>0</v>
      </c>
      <c r="L318" s="46"/>
      <c r="M318" s="239">
        <f t="shared" si="109"/>
        <v>0</v>
      </c>
      <c r="O318" s="312" t="str">
        <f t="shared" si="110"/>
        <v/>
      </c>
    </row>
    <row r="319" spans="3:15" ht="15" customHeight="1">
      <c r="C319" s="46" t="str">
        <f t="shared" si="106"/>
        <v/>
      </c>
      <c r="D319" t="str">
        <f t="shared" si="107"/>
        <v/>
      </c>
      <c r="F319" s="188"/>
      <c r="J319" s="403">
        <f t="shared" si="108"/>
        <v>0</v>
      </c>
      <c r="K319" s="402">
        <f t="shared" si="108"/>
        <v>0</v>
      </c>
      <c r="L319" s="46"/>
      <c r="M319" s="239">
        <f t="shared" si="109"/>
        <v>0</v>
      </c>
      <c r="O319" s="312" t="str">
        <f t="shared" si="110"/>
        <v/>
      </c>
    </row>
    <row r="320" spans="3:15" ht="15" customHeight="1">
      <c r="C320" s="46" t="str">
        <f t="shared" si="106"/>
        <v/>
      </c>
      <c r="D320" t="str">
        <f t="shared" si="107"/>
        <v/>
      </c>
      <c r="F320" s="188"/>
      <c r="J320" s="403">
        <f t="shared" si="108"/>
        <v>0</v>
      </c>
      <c r="K320" s="402">
        <f t="shared" si="108"/>
        <v>0</v>
      </c>
      <c r="L320" s="46"/>
      <c r="M320" s="239">
        <f t="shared" si="109"/>
        <v>0</v>
      </c>
      <c r="O320" s="312" t="str">
        <f t="shared" si="110"/>
        <v/>
      </c>
    </row>
    <row r="321" spans="3:15" ht="15" customHeight="1">
      <c r="C321" s="46" t="str">
        <f t="shared" si="106"/>
        <v/>
      </c>
      <c r="D321" t="str">
        <f t="shared" si="107"/>
        <v/>
      </c>
      <c r="F321" s="188"/>
      <c r="J321" s="403">
        <f t="shared" si="108"/>
        <v>0</v>
      </c>
      <c r="K321" s="402">
        <f t="shared" si="108"/>
        <v>0</v>
      </c>
      <c r="L321" s="46"/>
      <c r="M321" s="239">
        <f t="shared" si="109"/>
        <v>0</v>
      </c>
      <c r="O321" s="312" t="str">
        <f t="shared" si="110"/>
        <v/>
      </c>
    </row>
    <row r="322" spans="3:15" ht="15" customHeight="1">
      <c r="C322" s="46" t="str">
        <f t="shared" si="106"/>
        <v/>
      </c>
      <c r="D322" t="str">
        <f t="shared" si="107"/>
        <v/>
      </c>
      <c r="F322" s="188"/>
      <c r="J322" s="403">
        <f t="shared" si="108"/>
        <v>0</v>
      </c>
      <c r="K322" s="402">
        <f t="shared" si="108"/>
        <v>0</v>
      </c>
      <c r="L322" s="46"/>
      <c r="M322" s="239">
        <f t="shared" si="109"/>
        <v>0</v>
      </c>
      <c r="O322" s="312" t="str">
        <f t="shared" si="110"/>
        <v/>
      </c>
    </row>
    <row r="323" spans="3:15" ht="15" customHeight="1">
      <c r="C323" s="46" t="str">
        <f t="shared" si="106"/>
        <v/>
      </c>
      <c r="D323" t="str">
        <f t="shared" si="107"/>
        <v/>
      </c>
      <c r="F323" s="188"/>
      <c r="J323" s="403">
        <f t="shared" si="108"/>
        <v>0</v>
      </c>
      <c r="K323" s="402">
        <f t="shared" si="108"/>
        <v>0</v>
      </c>
      <c r="L323" s="46"/>
      <c r="M323" s="239">
        <f t="shared" si="109"/>
        <v>0</v>
      </c>
      <c r="O323" s="312" t="str">
        <f t="shared" si="110"/>
        <v/>
      </c>
    </row>
    <row r="324" spans="3:15" ht="15" customHeight="1">
      <c r="C324" s="46" t="str">
        <f t="shared" si="106"/>
        <v/>
      </c>
      <c r="D324" t="str">
        <f t="shared" si="107"/>
        <v/>
      </c>
      <c r="F324" s="188"/>
      <c r="J324" s="403">
        <f t="shared" si="108"/>
        <v>0</v>
      </c>
      <c r="K324" s="402">
        <f t="shared" si="108"/>
        <v>0</v>
      </c>
      <c r="L324" s="46"/>
      <c r="M324" s="239">
        <f t="shared" si="109"/>
        <v>0</v>
      </c>
      <c r="O324" s="312" t="str">
        <f t="shared" si="110"/>
        <v/>
      </c>
    </row>
    <row r="325" spans="3:15" ht="15" customHeight="1">
      <c r="C325" s="46" t="str">
        <f t="shared" si="106"/>
        <v/>
      </c>
      <c r="D325" t="str">
        <f t="shared" si="107"/>
        <v/>
      </c>
      <c r="F325" s="188"/>
      <c r="J325" s="403">
        <f t="shared" si="108"/>
        <v>0</v>
      </c>
      <c r="K325" s="402">
        <f t="shared" si="108"/>
        <v>0</v>
      </c>
      <c r="L325" s="46"/>
      <c r="M325" s="239">
        <f t="shared" si="109"/>
        <v>0</v>
      </c>
      <c r="O325" s="312" t="str">
        <f t="shared" si="110"/>
        <v/>
      </c>
    </row>
    <row r="326" spans="3:15" ht="15" customHeight="1">
      <c r="C326" s="46" t="str">
        <f t="shared" si="106"/>
        <v/>
      </c>
      <c r="D326" t="str">
        <f t="shared" si="107"/>
        <v/>
      </c>
      <c r="F326" s="188"/>
      <c r="J326" s="403">
        <f t="shared" si="108"/>
        <v>0</v>
      </c>
      <c r="K326" s="402">
        <f t="shared" si="108"/>
        <v>0</v>
      </c>
      <c r="L326" s="46"/>
      <c r="M326" s="239">
        <f t="shared" si="109"/>
        <v>0</v>
      </c>
      <c r="O326" s="312" t="str">
        <f t="shared" si="110"/>
        <v/>
      </c>
    </row>
    <row r="327" spans="3:15" ht="15" customHeight="1">
      <c r="C327" s="46" t="str">
        <f t="shared" si="106"/>
        <v/>
      </c>
      <c r="D327" t="str">
        <f t="shared" si="107"/>
        <v/>
      </c>
      <c r="F327" s="188"/>
      <c r="J327" s="403">
        <f t="shared" si="108"/>
        <v>0</v>
      </c>
      <c r="K327" s="402">
        <f t="shared" si="108"/>
        <v>0</v>
      </c>
      <c r="L327" s="46"/>
      <c r="M327" s="239">
        <f t="shared" si="109"/>
        <v>0</v>
      </c>
      <c r="O327" s="312" t="str">
        <f t="shared" si="110"/>
        <v/>
      </c>
    </row>
    <row r="328" spans="3:15" ht="15" customHeight="1">
      <c r="C328" s="46" t="str">
        <f t="shared" si="106"/>
        <v/>
      </c>
      <c r="D328" t="str">
        <f t="shared" si="107"/>
        <v/>
      </c>
      <c r="F328" s="188"/>
      <c r="J328" s="403">
        <f t="shared" si="108"/>
        <v>0</v>
      </c>
      <c r="K328" s="402">
        <f t="shared" si="108"/>
        <v>0</v>
      </c>
      <c r="L328" s="46"/>
      <c r="M328" s="239">
        <f t="shared" si="109"/>
        <v>0</v>
      </c>
      <c r="O328" s="312" t="str">
        <f t="shared" si="110"/>
        <v/>
      </c>
    </row>
    <row r="329" spans="3:15" ht="15" customHeight="1">
      <c r="C329" s="46" t="str">
        <f t="shared" si="106"/>
        <v/>
      </c>
      <c r="D329" t="str">
        <f t="shared" si="107"/>
        <v/>
      </c>
      <c r="F329" s="188"/>
      <c r="J329" s="403">
        <f t="shared" si="108"/>
        <v>0</v>
      </c>
      <c r="K329" s="402">
        <f t="shared" si="108"/>
        <v>0</v>
      </c>
      <c r="L329" s="46"/>
      <c r="M329" s="239">
        <f t="shared" si="109"/>
        <v>0</v>
      </c>
      <c r="O329" s="312" t="str">
        <f t="shared" si="110"/>
        <v/>
      </c>
    </row>
    <row r="330" spans="3:15" ht="15" customHeight="1">
      <c r="C330" s="46" t="str">
        <f t="shared" si="106"/>
        <v/>
      </c>
      <c r="D330" t="str">
        <f t="shared" si="107"/>
        <v/>
      </c>
      <c r="F330" s="188"/>
      <c r="J330" s="403">
        <f t="shared" si="108"/>
        <v>0</v>
      </c>
      <c r="K330" s="402">
        <f t="shared" si="108"/>
        <v>0</v>
      </c>
      <c r="L330" s="46"/>
      <c r="M330" s="239">
        <f t="shared" si="109"/>
        <v>0</v>
      </c>
      <c r="O330" s="312" t="str">
        <f t="shared" si="110"/>
        <v/>
      </c>
    </row>
    <row r="331" spans="3:15" ht="15" customHeight="1">
      <c r="C331" s="46" t="str">
        <f t="shared" si="106"/>
        <v/>
      </c>
      <c r="D331" t="str">
        <f t="shared" si="107"/>
        <v/>
      </c>
      <c r="F331" s="188"/>
      <c r="J331" s="403">
        <f t="shared" si="108"/>
        <v>0</v>
      </c>
      <c r="K331" s="402">
        <f t="shared" si="108"/>
        <v>0</v>
      </c>
      <c r="L331" s="46"/>
      <c r="M331" s="239">
        <f t="shared" si="109"/>
        <v>0</v>
      </c>
      <c r="O331" s="312" t="str">
        <f t="shared" si="110"/>
        <v/>
      </c>
    </row>
    <row r="332" spans="3:15" ht="15" customHeight="1">
      <c r="C332" s="46" t="str">
        <f t="shared" si="106"/>
        <v/>
      </c>
      <c r="D332" t="str">
        <f t="shared" si="107"/>
        <v/>
      </c>
      <c r="F332" s="188"/>
      <c r="J332" s="403">
        <f t="shared" si="108"/>
        <v>0</v>
      </c>
      <c r="K332" s="402">
        <f t="shared" si="108"/>
        <v>0</v>
      </c>
      <c r="L332" s="46"/>
      <c r="M332" s="239">
        <f t="shared" si="109"/>
        <v>0</v>
      </c>
      <c r="O332" s="312" t="str">
        <f t="shared" si="110"/>
        <v/>
      </c>
    </row>
    <row r="333" spans="3:15" ht="15" customHeight="1">
      <c r="C333" s="46" t="str">
        <f t="shared" si="106"/>
        <v/>
      </c>
      <c r="D333" t="str">
        <f t="shared" si="107"/>
        <v/>
      </c>
      <c r="F333" s="188"/>
      <c r="J333" s="403">
        <f t="shared" si="108"/>
        <v>0</v>
      </c>
      <c r="K333" s="402">
        <f t="shared" si="108"/>
        <v>0</v>
      </c>
      <c r="L333" s="46"/>
      <c r="M333" s="239">
        <f t="shared" si="109"/>
        <v>0</v>
      </c>
      <c r="O333" s="312" t="str">
        <f t="shared" si="110"/>
        <v/>
      </c>
    </row>
    <row r="334" spans="3:15" ht="15" customHeight="1">
      <c r="C334" s="46" t="str">
        <f t="shared" si="106"/>
        <v/>
      </c>
      <c r="D334" t="str">
        <f t="shared" si="107"/>
        <v/>
      </c>
      <c r="F334" s="188"/>
      <c r="J334" s="403">
        <f t="shared" si="108"/>
        <v>0</v>
      </c>
      <c r="K334" s="402">
        <f t="shared" si="108"/>
        <v>0</v>
      </c>
      <c r="L334" s="46"/>
      <c r="M334" s="239">
        <f t="shared" si="109"/>
        <v>0</v>
      </c>
      <c r="O334" s="312" t="str">
        <f t="shared" si="110"/>
        <v/>
      </c>
    </row>
    <row r="335" spans="3:15" ht="15" customHeight="1">
      <c r="C335" s="46" t="str">
        <f t="shared" si="106"/>
        <v/>
      </c>
      <c r="D335" t="str">
        <f t="shared" si="107"/>
        <v/>
      </c>
      <c r="F335" s="188"/>
      <c r="J335" s="403">
        <f t="shared" si="108"/>
        <v>0</v>
      </c>
      <c r="K335" s="402">
        <f t="shared" si="108"/>
        <v>0</v>
      </c>
      <c r="L335" s="46"/>
      <c r="M335" s="239">
        <f t="shared" si="109"/>
        <v>0</v>
      </c>
      <c r="O335" s="312" t="str">
        <f t="shared" si="110"/>
        <v/>
      </c>
    </row>
    <row r="336" spans="3:15" ht="15" customHeight="1">
      <c r="C336" s="46" t="str">
        <f t="shared" si="106"/>
        <v/>
      </c>
      <c r="D336" t="str">
        <f t="shared" si="107"/>
        <v/>
      </c>
      <c r="F336" s="188"/>
      <c r="J336" s="403">
        <f t="shared" si="108"/>
        <v>0</v>
      </c>
      <c r="K336" s="402">
        <f t="shared" si="108"/>
        <v>0</v>
      </c>
      <c r="L336" s="46"/>
      <c r="M336" s="239">
        <f t="shared" si="109"/>
        <v>0</v>
      </c>
      <c r="O336" s="312" t="str">
        <f t="shared" si="110"/>
        <v/>
      </c>
    </row>
    <row r="337" spans="3:15" ht="15" customHeight="1">
      <c r="C337" s="46" t="str">
        <f t="shared" si="106"/>
        <v/>
      </c>
      <c r="D337" t="str">
        <f t="shared" si="107"/>
        <v/>
      </c>
      <c r="F337" s="188"/>
      <c r="J337" s="403">
        <f t="shared" si="108"/>
        <v>0</v>
      </c>
      <c r="K337" s="402">
        <f t="shared" si="108"/>
        <v>0</v>
      </c>
      <c r="L337" s="46"/>
      <c r="M337" s="239">
        <f t="shared" si="109"/>
        <v>0</v>
      </c>
      <c r="O337" s="312" t="str">
        <f t="shared" si="110"/>
        <v/>
      </c>
    </row>
    <row r="338" spans="3:15" ht="15" customHeight="1">
      <c r="C338" s="46" t="str">
        <f t="shared" si="106"/>
        <v/>
      </c>
      <c r="D338" t="str">
        <f t="shared" si="107"/>
        <v/>
      </c>
      <c r="F338" s="188"/>
      <c r="J338" s="403">
        <f t="shared" si="108"/>
        <v>0</v>
      </c>
      <c r="K338" s="402">
        <f t="shared" si="108"/>
        <v>0</v>
      </c>
      <c r="L338" s="46"/>
      <c r="M338" s="239">
        <f t="shared" si="109"/>
        <v>0</v>
      </c>
      <c r="O338" s="312" t="str">
        <f t="shared" si="110"/>
        <v/>
      </c>
    </row>
    <row r="339" spans="3:15" ht="15" customHeight="1">
      <c r="C339" s="46" t="str">
        <f t="shared" si="106"/>
        <v/>
      </c>
      <c r="D339" t="str">
        <f t="shared" si="107"/>
        <v/>
      </c>
      <c r="F339" s="188"/>
      <c r="J339" s="403">
        <f t="shared" si="108"/>
        <v>0</v>
      </c>
      <c r="K339" s="402">
        <f t="shared" si="108"/>
        <v>0</v>
      </c>
      <c r="L339" s="46"/>
      <c r="M339" s="239">
        <f t="shared" si="109"/>
        <v>0</v>
      </c>
      <c r="O339" s="312" t="str">
        <f t="shared" si="110"/>
        <v/>
      </c>
    </row>
    <row r="340" spans="3:15" ht="15" customHeight="1">
      <c r="C340" s="46" t="str">
        <f t="shared" si="106"/>
        <v/>
      </c>
      <c r="D340" t="str">
        <f t="shared" si="107"/>
        <v/>
      </c>
      <c r="F340" s="188"/>
      <c r="J340" s="403">
        <f t="shared" si="108"/>
        <v>0</v>
      </c>
      <c r="K340" s="402">
        <f t="shared" si="108"/>
        <v>0</v>
      </c>
      <c r="L340" s="46"/>
      <c r="M340" s="239">
        <f t="shared" si="109"/>
        <v>0</v>
      </c>
      <c r="O340" s="312" t="str">
        <f t="shared" si="110"/>
        <v/>
      </c>
    </row>
    <row r="341" spans="3:15" ht="15" customHeight="1">
      <c r="C341" s="46" t="str">
        <f t="shared" si="106"/>
        <v/>
      </c>
      <c r="D341" t="str">
        <f t="shared" si="107"/>
        <v/>
      </c>
      <c r="F341" s="188"/>
      <c r="J341" s="403">
        <f t="shared" si="108"/>
        <v>0</v>
      </c>
      <c r="K341" s="402">
        <f t="shared" si="108"/>
        <v>0</v>
      </c>
      <c r="L341" s="46"/>
      <c r="M341" s="239">
        <f t="shared" si="109"/>
        <v>0</v>
      </c>
      <c r="O341" s="312" t="str">
        <f t="shared" si="110"/>
        <v/>
      </c>
    </row>
    <row r="342" spans="3:15" ht="15" customHeight="1">
      <c r="C342" s="46" t="str">
        <f t="shared" ref="C342:C405" si="111">IF(B342&lt;&gt;"",PROPER(TEXT(B342,"mmmm")),"")</f>
        <v/>
      </c>
      <c r="D342" t="str">
        <f t="shared" ref="D342:D405" si="112">IF(B342="","",YEAR(B342))</f>
        <v/>
      </c>
      <c r="F342" s="188"/>
      <c r="J342" s="403">
        <f t="shared" si="108"/>
        <v>0</v>
      </c>
      <c r="K342" s="402">
        <f t="shared" si="108"/>
        <v>0</v>
      </c>
      <c r="L342" s="46"/>
      <c r="M342" s="239">
        <f t="shared" si="109"/>
        <v>0</v>
      </c>
      <c r="O342" s="312" t="str">
        <f t="shared" ref="O342:O405" si="113">IF(N342&lt;&gt;"",TEXT(N342,"mmmm"),"")</f>
        <v/>
      </c>
    </row>
    <row r="343" spans="3:15" ht="15" customHeight="1">
      <c r="C343" s="46" t="str">
        <f t="shared" si="111"/>
        <v/>
      </c>
      <c r="D343" t="str">
        <f t="shared" si="112"/>
        <v/>
      </c>
      <c r="F343" s="188"/>
      <c r="J343" s="403">
        <f t="shared" ref="J343:K406" si="114">I343</f>
        <v>0</v>
      </c>
      <c r="K343" s="402">
        <f t="shared" si="114"/>
        <v>0</v>
      </c>
      <c r="L343" s="46"/>
      <c r="M343" s="239">
        <f t="shared" ref="M343:M406" si="115">J343</f>
        <v>0</v>
      </c>
      <c r="O343" s="312" t="str">
        <f t="shared" si="113"/>
        <v/>
      </c>
    </row>
    <row r="344" spans="3:15" ht="15" customHeight="1">
      <c r="C344" s="46" t="str">
        <f t="shared" si="111"/>
        <v/>
      </c>
      <c r="D344" t="str">
        <f t="shared" si="112"/>
        <v/>
      </c>
      <c r="F344" s="188"/>
      <c r="J344" s="403">
        <f t="shared" si="114"/>
        <v>0</v>
      </c>
      <c r="K344" s="402">
        <f t="shared" si="114"/>
        <v>0</v>
      </c>
      <c r="L344" s="46"/>
      <c r="M344" s="239">
        <f t="shared" si="115"/>
        <v>0</v>
      </c>
      <c r="O344" s="312" t="str">
        <f t="shared" si="113"/>
        <v/>
      </c>
    </row>
    <row r="345" spans="3:15" ht="15" customHeight="1">
      <c r="C345" s="46" t="str">
        <f t="shared" si="111"/>
        <v/>
      </c>
      <c r="D345" t="str">
        <f t="shared" si="112"/>
        <v/>
      </c>
      <c r="J345" s="403">
        <f t="shared" si="114"/>
        <v>0</v>
      </c>
      <c r="K345" s="402">
        <f t="shared" si="114"/>
        <v>0</v>
      </c>
      <c r="L345" s="46"/>
      <c r="M345" s="239">
        <f t="shared" si="115"/>
        <v>0</v>
      </c>
      <c r="O345" s="312" t="str">
        <f t="shared" si="113"/>
        <v/>
      </c>
    </row>
    <row r="346" spans="3:15" ht="15" customHeight="1">
      <c r="C346" s="46" t="str">
        <f t="shared" si="111"/>
        <v/>
      </c>
      <c r="D346" t="str">
        <f t="shared" si="112"/>
        <v/>
      </c>
      <c r="J346" s="403">
        <f t="shared" si="114"/>
        <v>0</v>
      </c>
      <c r="K346" s="402">
        <f t="shared" si="114"/>
        <v>0</v>
      </c>
      <c r="L346" s="46"/>
      <c r="M346" s="239">
        <f t="shared" si="115"/>
        <v>0</v>
      </c>
      <c r="O346" s="312" t="str">
        <f t="shared" si="113"/>
        <v/>
      </c>
    </row>
    <row r="347" spans="3:15" ht="15" customHeight="1">
      <c r="C347" s="46" t="str">
        <f t="shared" si="111"/>
        <v/>
      </c>
      <c r="D347" t="str">
        <f t="shared" si="112"/>
        <v/>
      </c>
      <c r="J347" s="403">
        <f t="shared" si="114"/>
        <v>0</v>
      </c>
      <c r="K347" s="402">
        <f t="shared" si="114"/>
        <v>0</v>
      </c>
      <c r="L347" s="46"/>
      <c r="M347" s="239">
        <f t="shared" si="115"/>
        <v>0</v>
      </c>
      <c r="O347" s="312" t="str">
        <f t="shared" si="113"/>
        <v/>
      </c>
    </row>
    <row r="348" spans="3:15" ht="15" customHeight="1">
      <c r="C348" s="46" t="str">
        <f t="shared" si="111"/>
        <v/>
      </c>
      <c r="D348" t="str">
        <f t="shared" si="112"/>
        <v/>
      </c>
      <c r="J348" s="403">
        <f t="shared" si="114"/>
        <v>0</v>
      </c>
      <c r="K348" s="402">
        <f t="shared" si="114"/>
        <v>0</v>
      </c>
      <c r="L348" s="46"/>
      <c r="M348" s="239">
        <f t="shared" si="115"/>
        <v>0</v>
      </c>
      <c r="O348" s="312" t="str">
        <f t="shared" si="113"/>
        <v/>
      </c>
    </row>
    <row r="349" spans="3:15" ht="15" customHeight="1">
      <c r="C349" s="46" t="str">
        <f t="shared" si="111"/>
        <v/>
      </c>
      <c r="D349" t="str">
        <f t="shared" si="112"/>
        <v/>
      </c>
      <c r="J349" s="403">
        <f t="shared" si="114"/>
        <v>0</v>
      </c>
      <c r="K349" s="402">
        <f t="shared" si="114"/>
        <v>0</v>
      </c>
      <c r="L349" s="46"/>
      <c r="M349" s="239">
        <f t="shared" si="115"/>
        <v>0</v>
      </c>
      <c r="O349" s="312" t="str">
        <f t="shared" si="113"/>
        <v/>
      </c>
    </row>
    <row r="350" spans="3:15" ht="15" customHeight="1">
      <c r="C350" s="46" t="str">
        <f t="shared" si="111"/>
        <v/>
      </c>
      <c r="D350" t="str">
        <f t="shared" si="112"/>
        <v/>
      </c>
      <c r="J350" s="403">
        <f t="shared" si="114"/>
        <v>0</v>
      </c>
      <c r="K350" s="402">
        <f t="shared" si="114"/>
        <v>0</v>
      </c>
      <c r="L350" s="46"/>
      <c r="M350" s="239">
        <f t="shared" si="115"/>
        <v>0</v>
      </c>
      <c r="O350" s="312" t="str">
        <f t="shared" si="113"/>
        <v/>
      </c>
    </row>
    <row r="351" spans="3:15" ht="15" customHeight="1">
      <c r="C351" s="46" t="str">
        <f t="shared" si="111"/>
        <v/>
      </c>
      <c r="D351" t="str">
        <f t="shared" si="112"/>
        <v/>
      </c>
      <c r="J351" s="403">
        <f t="shared" si="114"/>
        <v>0</v>
      </c>
      <c r="K351" s="402">
        <f t="shared" si="114"/>
        <v>0</v>
      </c>
      <c r="L351" s="46"/>
      <c r="M351" s="239">
        <f t="shared" si="115"/>
        <v>0</v>
      </c>
      <c r="O351" s="312" t="str">
        <f t="shared" si="113"/>
        <v/>
      </c>
    </row>
    <row r="352" spans="3:15" ht="15" customHeight="1">
      <c r="C352" s="46" t="str">
        <f t="shared" si="111"/>
        <v/>
      </c>
      <c r="D352" t="str">
        <f t="shared" si="112"/>
        <v/>
      </c>
      <c r="J352" s="403">
        <f t="shared" si="114"/>
        <v>0</v>
      </c>
      <c r="K352" s="402">
        <f t="shared" si="114"/>
        <v>0</v>
      </c>
      <c r="L352" s="46"/>
      <c r="M352" s="239">
        <f t="shared" si="115"/>
        <v>0</v>
      </c>
      <c r="O352" s="312" t="str">
        <f t="shared" si="113"/>
        <v/>
      </c>
    </row>
    <row r="353" spans="3:15" ht="15" customHeight="1">
      <c r="C353" s="46" t="str">
        <f t="shared" si="111"/>
        <v/>
      </c>
      <c r="D353" t="str">
        <f t="shared" si="112"/>
        <v/>
      </c>
      <c r="J353" s="403">
        <f t="shared" si="114"/>
        <v>0</v>
      </c>
      <c r="K353" s="402">
        <f t="shared" si="114"/>
        <v>0</v>
      </c>
      <c r="L353" s="46"/>
      <c r="M353" s="239">
        <f t="shared" si="115"/>
        <v>0</v>
      </c>
      <c r="O353" s="312" t="str">
        <f t="shared" si="113"/>
        <v/>
      </c>
    </row>
    <row r="354" spans="3:15" ht="15" customHeight="1">
      <c r="C354" s="46" t="str">
        <f t="shared" si="111"/>
        <v/>
      </c>
      <c r="D354" t="str">
        <f t="shared" si="112"/>
        <v/>
      </c>
      <c r="J354" s="403">
        <f t="shared" si="114"/>
        <v>0</v>
      </c>
      <c r="K354" s="402">
        <f t="shared" si="114"/>
        <v>0</v>
      </c>
      <c r="L354" s="46"/>
      <c r="M354" s="239">
        <f t="shared" si="115"/>
        <v>0</v>
      </c>
      <c r="O354" s="312" t="str">
        <f t="shared" si="113"/>
        <v/>
      </c>
    </row>
    <row r="355" spans="3:15" ht="15" customHeight="1">
      <c r="C355" s="46" t="str">
        <f t="shared" si="111"/>
        <v/>
      </c>
      <c r="D355" t="str">
        <f t="shared" si="112"/>
        <v/>
      </c>
      <c r="J355" s="403">
        <f t="shared" si="114"/>
        <v>0</v>
      </c>
      <c r="K355" s="402">
        <f t="shared" si="114"/>
        <v>0</v>
      </c>
      <c r="L355" s="46"/>
      <c r="M355" s="239">
        <f t="shared" si="115"/>
        <v>0</v>
      </c>
      <c r="O355" s="312" t="str">
        <f t="shared" si="113"/>
        <v/>
      </c>
    </row>
    <row r="356" spans="3:15" ht="15" customHeight="1">
      <c r="C356" s="46" t="str">
        <f t="shared" si="111"/>
        <v/>
      </c>
      <c r="D356" t="str">
        <f t="shared" si="112"/>
        <v/>
      </c>
      <c r="J356" s="403">
        <f t="shared" si="114"/>
        <v>0</v>
      </c>
      <c r="K356" s="402">
        <f t="shared" si="114"/>
        <v>0</v>
      </c>
      <c r="L356" s="46"/>
      <c r="M356" s="239">
        <f t="shared" si="115"/>
        <v>0</v>
      </c>
      <c r="O356" s="312" t="str">
        <f t="shared" si="113"/>
        <v/>
      </c>
    </row>
    <row r="357" spans="3:15" ht="15" customHeight="1">
      <c r="C357" s="46" t="str">
        <f t="shared" si="111"/>
        <v/>
      </c>
      <c r="D357" t="str">
        <f t="shared" si="112"/>
        <v/>
      </c>
      <c r="J357" s="403">
        <f t="shared" si="114"/>
        <v>0</v>
      </c>
      <c r="K357" s="402">
        <f t="shared" si="114"/>
        <v>0</v>
      </c>
      <c r="L357" s="46"/>
      <c r="M357" s="239">
        <f t="shared" si="115"/>
        <v>0</v>
      </c>
      <c r="O357" s="312" t="str">
        <f t="shared" si="113"/>
        <v/>
      </c>
    </row>
    <row r="358" spans="3:15" ht="15" customHeight="1">
      <c r="C358" s="46" t="str">
        <f t="shared" si="111"/>
        <v/>
      </c>
      <c r="D358" t="str">
        <f t="shared" si="112"/>
        <v/>
      </c>
      <c r="J358" s="403">
        <f t="shared" si="114"/>
        <v>0</v>
      </c>
      <c r="K358" s="402">
        <f t="shared" si="114"/>
        <v>0</v>
      </c>
      <c r="L358" s="46"/>
      <c r="M358" s="239">
        <f t="shared" si="115"/>
        <v>0</v>
      </c>
      <c r="O358" s="312" t="str">
        <f t="shared" si="113"/>
        <v/>
      </c>
    </row>
    <row r="359" spans="3:15" ht="15" customHeight="1">
      <c r="C359" s="46" t="str">
        <f t="shared" si="111"/>
        <v/>
      </c>
      <c r="D359" t="str">
        <f t="shared" si="112"/>
        <v/>
      </c>
      <c r="J359" s="403">
        <f t="shared" si="114"/>
        <v>0</v>
      </c>
      <c r="K359" s="402">
        <f t="shared" si="114"/>
        <v>0</v>
      </c>
      <c r="L359" s="46"/>
      <c r="M359" s="239">
        <f t="shared" si="115"/>
        <v>0</v>
      </c>
      <c r="O359" s="312" t="str">
        <f t="shared" si="113"/>
        <v/>
      </c>
    </row>
    <row r="360" spans="3:15" ht="15" customHeight="1">
      <c r="C360" s="46" t="str">
        <f t="shared" si="111"/>
        <v/>
      </c>
      <c r="D360" t="str">
        <f t="shared" si="112"/>
        <v/>
      </c>
      <c r="J360" s="403">
        <f t="shared" si="114"/>
        <v>0</v>
      </c>
      <c r="K360" s="402">
        <f t="shared" si="114"/>
        <v>0</v>
      </c>
      <c r="L360" s="46"/>
      <c r="M360" s="239">
        <f t="shared" si="115"/>
        <v>0</v>
      </c>
      <c r="O360" s="312" t="str">
        <f t="shared" si="113"/>
        <v/>
      </c>
    </row>
    <row r="361" spans="3:15" ht="15" customHeight="1">
      <c r="C361" s="46" t="str">
        <f t="shared" si="111"/>
        <v/>
      </c>
      <c r="D361" t="str">
        <f t="shared" si="112"/>
        <v/>
      </c>
      <c r="J361" s="403">
        <f t="shared" si="114"/>
        <v>0</v>
      </c>
      <c r="K361" s="402">
        <f t="shared" si="114"/>
        <v>0</v>
      </c>
      <c r="L361" s="46"/>
      <c r="M361" s="239">
        <f t="shared" si="115"/>
        <v>0</v>
      </c>
      <c r="O361" s="312" t="str">
        <f t="shared" si="113"/>
        <v/>
      </c>
    </row>
    <row r="362" spans="3:15" ht="15" customHeight="1">
      <c r="C362" s="46" t="str">
        <f t="shared" si="111"/>
        <v/>
      </c>
      <c r="D362" t="str">
        <f t="shared" si="112"/>
        <v/>
      </c>
      <c r="J362" s="403">
        <f t="shared" si="114"/>
        <v>0</v>
      </c>
      <c r="K362" s="402">
        <f t="shared" si="114"/>
        <v>0</v>
      </c>
      <c r="L362" s="46"/>
      <c r="M362" s="239">
        <f t="shared" si="115"/>
        <v>0</v>
      </c>
      <c r="O362" s="312" t="str">
        <f t="shared" si="113"/>
        <v/>
      </c>
    </row>
    <row r="363" spans="3:15" ht="15" customHeight="1">
      <c r="C363" s="46" t="str">
        <f t="shared" si="111"/>
        <v/>
      </c>
      <c r="D363" t="str">
        <f t="shared" si="112"/>
        <v/>
      </c>
      <c r="J363" s="403">
        <f t="shared" si="114"/>
        <v>0</v>
      </c>
      <c r="K363" s="402">
        <f t="shared" si="114"/>
        <v>0</v>
      </c>
      <c r="L363" s="46"/>
      <c r="M363" s="239">
        <f t="shared" si="115"/>
        <v>0</v>
      </c>
      <c r="O363" s="312" t="str">
        <f t="shared" si="113"/>
        <v/>
      </c>
    </row>
    <row r="364" spans="3:15" ht="15" customHeight="1">
      <c r="C364" s="46" t="str">
        <f t="shared" si="111"/>
        <v/>
      </c>
      <c r="D364" t="str">
        <f t="shared" si="112"/>
        <v/>
      </c>
      <c r="J364" s="403">
        <f t="shared" si="114"/>
        <v>0</v>
      </c>
      <c r="K364" s="402">
        <f t="shared" si="114"/>
        <v>0</v>
      </c>
      <c r="L364" s="46"/>
      <c r="M364" s="239">
        <f t="shared" si="115"/>
        <v>0</v>
      </c>
      <c r="O364" s="312" t="str">
        <f t="shared" si="113"/>
        <v/>
      </c>
    </row>
    <row r="365" spans="3:15" ht="15" customHeight="1">
      <c r="C365" s="46" t="str">
        <f t="shared" si="111"/>
        <v/>
      </c>
      <c r="D365" t="str">
        <f t="shared" si="112"/>
        <v/>
      </c>
      <c r="J365" s="403">
        <f t="shared" si="114"/>
        <v>0</v>
      </c>
      <c r="K365" s="402">
        <f t="shared" si="114"/>
        <v>0</v>
      </c>
      <c r="L365" s="46"/>
      <c r="M365" s="239">
        <f t="shared" si="115"/>
        <v>0</v>
      </c>
      <c r="O365" s="312" t="str">
        <f t="shared" si="113"/>
        <v/>
      </c>
    </row>
    <row r="366" spans="3:15" ht="15" customHeight="1">
      <c r="C366" s="46" t="str">
        <f t="shared" si="111"/>
        <v/>
      </c>
      <c r="D366" t="str">
        <f t="shared" si="112"/>
        <v/>
      </c>
      <c r="J366" s="403">
        <f t="shared" si="114"/>
        <v>0</v>
      </c>
      <c r="K366" s="402">
        <f t="shared" si="114"/>
        <v>0</v>
      </c>
      <c r="L366" s="46"/>
      <c r="M366" s="239">
        <f t="shared" si="115"/>
        <v>0</v>
      </c>
      <c r="O366" s="312" t="str">
        <f t="shared" si="113"/>
        <v/>
      </c>
    </row>
    <row r="367" spans="3:15" ht="15" customHeight="1">
      <c r="C367" s="46" t="str">
        <f t="shared" si="111"/>
        <v/>
      </c>
      <c r="D367" t="str">
        <f t="shared" si="112"/>
        <v/>
      </c>
      <c r="J367" s="403">
        <f t="shared" si="114"/>
        <v>0</v>
      </c>
      <c r="K367" s="402">
        <f t="shared" si="114"/>
        <v>0</v>
      </c>
      <c r="L367" s="46"/>
      <c r="M367" s="239">
        <f t="shared" si="115"/>
        <v>0</v>
      </c>
      <c r="O367" s="312" t="str">
        <f t="shared" si="113"/>
        <v/>
      </c>
    </row>
    <row r="368" spans="3:15" ht="15" customHeight="1">
      <c r="C368" s="46" t="str">
        <f t="shared" si="111"/>
        <v/>
      </c>
      <c r="D368" t="str">
        <f t="shared" si="112"/>
        <v/>
      </c>
      <c r="J368" s="403">
        <f t="shared" si="114"/>
        <v>0</v>
      </c>
      <c r="K368" s="402">
        <f t="shared" si="114"/>
        <v>0</v>
      </c>
      <c r="L368" s="46"/>
      <c r="M368" s="239">
        <f t="shared" si="115"/>
        <v>0</v>
      </c>
      <c r="O368" s="312" t="str">
        <f t="shared" si="113"/>
        <v/>
      </c>
    </row>
    <row r="369" spans="3:15" ht="15" customHeight="1">
      <c r="C369" s="46" t="str">
        <f t="shared" si="111"/>
        <v/>
      </c>
      <c r="D369" t="str">
        <f t="shared" si="112"/>
        <v/>
      </c>
      <c r="J369" s="403">
        <f t="shared" si="114"/>
        <v>0</v>
      </c>
      <c r="K369" s="402">
        <f t="shared" si="114"/>
        <v>0</v>
      </c>
      <c r="L369" s="46"/>
      <c r="M369" s="239">
        <f t="shared" si="115"/>
        <v>0</v>
      </c>
      <c r="O369" s="312" t="str">
        <f t="shared" si="113"/>
        <v/>
      </c>
    </row>
    <row r="370" spans="3:15" ht="15" customHeight="1">
      <c r="C370" s="46" t="str">
        <f t="shared" si="111"/>
        <v/>
      </c>
      <c r="D370" t="str">
        <f t="shared" si="112"/>
        <v/>
      </c>
      <c r="J370" s="403">
        <f t="shared" si="114"/>
        <v>0</v>
      </c>
      <c r="K370" s="402">
        <f t="shared" si="114"/>
        <v>0</v>
      </c>
      <c r="L370" s="46"/>
      <c r="M370" s="239">
        <f t="shared" si="115"/>
        <v>0</v>
      </c>
      <c r="O370" s="312" t="str">
        <f t="shared" si="113"/>
        <v/>
      </c>
    </row>
    <row r="371" spans="3:15" ht="15" customHeight="1">
      <c r="C371" s="46" t="str">
        <f t="shared" si="111"/>
        <v/>
      </c>
      <c r="D371" t="str">
        <f t="shared" si="112"/>
        <v/>
      </c>
      <c r="J371" s="403">
        <f t="shared" si="114"/>
        <v>0</v>
      </c>
      <c r="K371" s="402">
        <f t="shared" si="114"/>
        <v>0</v>
      </c>
      <c r="L371" s="46"/>
      <c r="M371" s="239">
        <f t="shared" si="115"/>
        <v>0</v>
      </c>
      <c r="O371" s="312" t="str">
        <f t="shared" si="113"/>
        <v/>
      </c>
    </row>
    <row r="372" spans="3:15" ht="15" customHeight="1">
      <c r="C372" s="46" t="str">
        <f t="shared" si="111"/>
        <v/>
      </c>
      <c r="D372" t="str">
        <f t="shared" si="112"/>
        <v/>
      </c>
      <c r="J372" s="403">
        <f t="shared" si="114"/>
        <v>0</v>
      </c>
      <c r="K372" s="402">
        <f t="shared" si="114"/>
        <v>0</v>
      </c>
      <c r="L372" s="46"/>
      <c r="M372" s="239">
        <f t="shared" si="115"/>
        <v>0</v>
      </c>
      <c r="O372" s="312" t="str">
        <f t="shared" si="113"/>
        <v/>
      </c>
    </row>
    <row r="373" spans="3:15" ht="15" customHeight="1">
      <c r="C373" s="46" t="str">
        <f t="shared" si="111"/>
        <v/>
      </c>
      <c r="D373" t="str">
        <f t="shared" si="112"/>
        <v/>
      </c>
      <c r="J373" s="403">
        <f t="shared" si="114"/>
        <v>0</v>
      </c>
      <c r="K373" s="402">
        <f t="shared" si="114"/>
        <v>0</v>
      </c>
      <c r="L373" s="46"/>
      <c r="M373" s="239">
        <f t="shared" si="115"/>
        <v>0</v>
      </c>
      <c r="O373" s="312" t="str">
        <f t="shared" si="113"/>
        <v/>
      </c>
    </row>
    <row r="374" spans="3:15" ht="15" customHeight="1">
      <c r="C374" s="46" t="str">
        <f t="shared" si="111"/>
        <v/>
      </c>
      <c r="D374" t="str">
        <f t="shared" si="112"/>
        <v/>
      </c>
      <c r="J374" s="403">
        <f t="shared" si="114"/>
        <v>0</v>
      </c>
      <c r="K374" s="402">
        <f t="shared" si="114"/>
        <v>0</v>
      </c>
      <c r="L374" s="46"/>
      <c r="M374" s="239">
        <f t="shared" si="115"/>
        <v>0</v>
      </c>
      <c r="O374" s="312" t="str">
        <f t="shared" si="113"/>
        <v/>
      </c>
    </row>
    <row r="375" spans="3:15" ht="15" customHeight="1">
      <c r="C375" s="46" t="str">
        <f t="shared" si="111"/>
        <v/>
      </c>
      <c r="D375" t="str">
        <f t="shared" si="112"/>
        <v/>
      </c>
      <c r="J375" s="403">
        <f t="shared" si="114"/>
        <v>0</v>
      </c>
      <c r="K375" s="402">
        <f t="shared" si="114"/>
        <v>0</v>
      </c>
      <c r="L375" s="46"/>
      <c r="M375" s="239">
        <f t="shared" si="115"/>
        <v>0</v>
      </c>
      <c r="O375" s="312" t="str">
        <f t="shared" si="113"/>
        <v/>
      </c>
    </row>
    <row r="376" spans="3:15" ht="15" customHeight="1">
      <c r="C376" s="46" t="str">
        <f t="shared" si="111"/>
        <v/>
      </c>
      <c r="D376" t="str">
        <f t="shared" si="112"/>
        <v/>
      </c>
      <c r="J376" s="403">
        <f t="shared" si="114"/>
        <v>0</v>
      </c>
      <c r="K376" s="402">
        <f t="shared" si="114"/>
        <v>0</v>
      </c>
      <c r="L376" s="46"/>
      <c r="M376" s="239">
        <f t="shared" si="115"/>
        <v>0</v>
      </c>
      <c r="O376" s="312" t="str">
        <f t="shared" si="113"/>
        <v/>
      </c>
    </row>
    <row r="377" spans="3:15" ht="15" customHeight="1">
      <c r="C377" s="46" t="str">
        <f t="shared" si="111"/>
        <v/>
      </c>
      <c r="D377" t="str">
        <f t="shared" si="112"/>
        <v/>
      </c>
      <c r="J377" s="403">
        <f t="shared" si="114"/>
        <v>0</v>
      </c>
      <c r="K377" s="402">
        <f t="shared" si="114"/>
        <v>0</v>
      </c>
      <c r="L377" s="46"/>
      <c r="M377" s="239">
        <f t="shared" si="115"/>
        <v>0</v>
      </c>
      <c r="O377" s="312" t="str">
        <f t="shared" si="113"/>
        <v/>
      </c>
    </row>
    <row r="378" spans="3:15" ht="15" customHeight="1">
      <c r="C378" s="46" t="str">
        <f t="shared" si="111"/>
        <v/>
      </c>
      <c r="D378" t="str">
        <f t="shared" si="112"/>
        <v/>
      </c>
      <c r="J378" s="403">
        <f t="shared" si="114"/>
        <v>0</v>
      </c>
      <c r="K378" s="402">
        <f t="shared" si="114"/>
        <v>0</v>
      </c>
      <c r="L378" s="46"/>
      <c r="M378" s="239">
        <f t="shared" si="115"/>
        <v>0</v>
      </c>
      <c r="O378" s="312" t="str">
        <f t="shared" si="113"/>
        <v/>
      </c>
    </row>
    <row r="379" spans="3:15" ht="15" customHeight="1">
      <c r="C379" s="46" t="str">
        <f t="shared" si="111"/>
        <v/>
      </c>
      <c r="D379" t="str">
        <f t="shared" si="112"/>
        <v/>
      </c>
      <c r="J379" s="403">
        <f t="shared" si="114"/>
        <v>0</v>
      </c>
      <c r="K379" s="402">
        <f t="shared" si="114"/>
        <v>0</v>
      </c>
      <c r="L379" s="46"/>
      <c r="M379" s="239">
        <f t="shared" si="115"/>
        <v>0</v>
      </c>
      <c r="O379" s="312" t="str">
        <f t="shared" si="113"/>
        <v/>
      </c>
    </row>
    <row r="380" spans="3:15" ht="15" customHeight="1">
      <c r="C380" s="46" t="str">
        <f t="shared" si="111"/>
        <v/>
      </c>
      <c r="D380" t="str">
        <f t="shared" si="112"/>
        <v/>
      </c>
      <c r="J380" s="403">
        <f t="shared" si="114"/>
        <v>0</v>
      </c>
      <c r="K380" s="402">
        <f t="shared" si="114"/>
        <v>0</v>
      </c>
      <c r="L380" s="46"/>
      <c r="M380" s="239">
        <f t="shared" si="115"/>
        <v>0</v>
      </c>
      <c r="O380" s="312" t="str">
        <f t="shared" si="113"/>
        <v/>
      </c>
    </row>
    <row r="381" spans="3:15" ht="15" customHeight="1">
      <c r="C381" s="46" t="str">
        <f t="shared" si="111"/>
        <v/>
      </c>
      <c r="D381" t="str">
        <f t="shared" si="112"/>
        <v/>
      </c>
      <c r="J381" s="403">
        <f t="shared" si="114"/>
        <v>0</v>
      </c>
      <c r="K381" s="402">
        <f t="shared" si="114"/>
        <v>0</v>
      </c>
      <c r="L381" s="46"/>
      <c r="M381" s="239">
        <f t="shared" si="115"/>
        <v>0</v>
      </c>
      <c r="O381" s="312" t="str">
        <f t="shared" si="113"/>
        <v/>
      </c>
    </row>
    <row r="382" spans="3:15" ht="15" customHeight="1">
      <c r="C382" s="46" t="str">
        <f t="shared" si="111"/>
        <v/>
      </c>
      <c r="D382" t="str">
        <f t="shared" si="112"/>
        <v/>
      </c>
      <c r="J382" s="403">
        <f t="shared" si="114"/>
        <v>0</v>
      </c>
      <c r="K382" s="402">
        <f t="shared" si="114"/>
        <v>0</v>
      </c>
      <c r="L382" s="46"/>
      <c r="M382" s="239">
        <f t="shared" si="115"/>
        <v>0</v>
      </c>
      <c r="O382" s="312" t="str">
        <f t="shared" si="113"/>
        <v/>
      </c>
    </row>
    <row r="383" spans="3:15" ht="15" customHeight="1">
      <c r="C383" s="46" t="str">
        <f t="shared" si="111"/>
        <v/>
      </c>
      <c r="D383" t="str">
        <f t="shared" si="112"/>
        <v/>
      </c>
      <c r="J383" s="403">
        <f t="shared" si="114"/>
        <v>0</v>
      </c>
      <c r="K383" s="402">
        <f t="shared" si="114"/>
        <v>0</v>
      </c>
      <c r="L383" s="46"/>
      <c r="M383" s="239">
        <f t="shared" si="115"/>
        <v>0</v>
      </c>
      <c r="O383" s="312" t="str">
        <f t="shared" si="113"/>
        <v/>
      </c>
    </row>
    <row r="384" spans="3:15" ht="15" customHeight="1">
      <c r="C384" s="46" t="str">
        <f t="shared" si="111"/>
        <v/>
      </c>
      <c r="D384" t="str">
        <f t="shared" si="112"/>
        <v/>
      </c>
      <c r="J384" s="403">
        <f t="shared" si="114"/>
        <v>0</v>
      </c>
      <c r="K384" s="402">
        <f t="shared" si="114"/>
        <v>0</v>
      </c>
      <c r="L384" s="46"/>
      <c r="M384" s="239">
        <f t="shared" si="115"/>
        <v>0</v>
      </c>
      <c r="O384" s="312" t="str">
        <f t="shared" si="113"/>
        <v/>
      </c>
    </row>
    <row r="385" spans="3:15" ht="15" customHeight="1">
      <c r="C385" s="46" t="str">
        <f t="shared" si="111"/>
        <v/>
      </c>
      <c r="D385" t="str">
        <f t="shared" si="112"/>
        <v/>
      </c>
      <c r="J385" s="403">
        <f t="shared" si="114"/>
        <v>0</v>
      </c>
      <c r="K385" s="402">
        <f t="shared" si="114"/>
        <v>0</v>
      </c>
      <c r="L385" s="46"/>
      <c r="M385" s="239">
        <f t="shared" si="115"/>
        <v>0</v>
      </c>
      <c r="O385" s="312" t="str">
        <f t="shared" si="113"/>
        <v/>
      </c>
    </row>
    <row r="386" spans="3:15" ht="15" customHeight="1">
      <c r="C386" s="46" t="str">
        <f t="shared" si="111"/>
        <v/>
      </c>
      <c r="D386" t="str">
        <f t="shared" si="112"/>
        <v/>
      </c>
      <c r="J386" s="403">
        <f t="shared" si="114"/>
        <v>0</v>
      </c>
      <c r="K386" s="402">
        <f t="shared" si="114"/>
        <v>0</v>
      </c>
      <c r="L386" s="46"/>
      <c r="M386" s="239">
        <f t="shared" si="115"/>
        <v>0</v>
      </c>
      <c r="O386" s="312" t="str">
        <f t="shared" si="113"/>
        <v/>
      </c>
    </row>
    <row r="387" spans="3:15" ht="15" customHeight="1">
      <c r="C387" s="46" t="str">
        <f t="shared" si="111"/>
        <v/>
      </c>
      <c r="D387" t="str">
        <f t="shared" si="112"/>
        <v/>
      </c>
      <c r="J387" s="403">
        <f t="shared" si="114"/>
        <v>0</v>
      </c>
      <c r="K387" s="402">
        <f t="shared" si="114"/>
        <v>0</v>
      </c>
      <c r="L387" s="46"/>
      <c r="M387" s="239">
        <f t="shared" si="115"/>
        <v>0</v>
      </c>
      <c r="O387" s="312" t="str">
        <f t="shared" si="113"/>
        <v/>
      </c>
    </row>
    <row r="388" spans="3:15" ht="15" customHeight="1">
      <c r="C388" s="46" t="str">
        <f t="shared" si="111"/>
        <v/>
      </c>
      <c r="D388" t="str">
        <f t="shared" si="112"/>
        <v/>
      </c>
      <c r="J388" s="403">
        <f t="shared" si="114"/>
        <v>0</v>
      </c>
      <c r="K388" s="402">
        <f t="shared" si="114"/>
        <v>0</v>
      </c>
      <c r="L388" s="46"/>
      <c r="M388" s="239">
        <f t="shared" si="115"/>
        <v>0</v>
      </c>
      <c r="O388" s="312" t="str">
        <f t="shared" si="113"/>
        <v/>
      </c>
    </row>
    <row r="389" spans="3:15" ht="15" customHeight="1">
      <c r="C389" s="46" t="str">
        <f t="shared" si="111"/>
        <v/>
      </c>
      <c r="D389" t="str">
        <f t="shared" si="112"/>
        <v/>
      </c>
      <c r="J389" s="403">
        <f t="shared" si="114"/>
        <v>0</v>
      </c>
      <c r="K389" s="402">
        <f t="shared" si="114"/>
        <v>0</v>
      </c>
      <c r="L389" s="46"/>
      <c r="M389" s="239">
        <f t="shared" si="115"/>
        <v>0</v>
      </c>
      <c r="O389" s="312" t="str">
        <f t="shared" si="113"/>
        <v/>
      </c>
    </row>
    <row r="390" spans="3:15" ht="15" customHeight="1">
      <c r="C390" s="46" t="str">
        <f t="shared" si="111"/>
        <v/>
      </c>
      <c r="D390" t="str">
        <f t="shared" si="112"/>
        <v/>
      </c>
      <c r="J390" s="403">
        <f t="shared" si="114"/>
        <v>0</v>
      </c>
      <c r="K390" s="402">
        <f t="shared" si="114"/>
        <v>0</v>
      </c>
      <c r="L390" s="46"/>
      <c r="M390" s="239">
        <f t="shared" si="115"/>
        <v>0</v>
      </c>
      <c r="O390" s="312" t="str">
        <f t="shared" si="113"/>
        <v/>
      </c>
    </row>
    <row r="391" spans="3:15" ht="15" customHeight="1">
      <c r="C391" s="46" t="str">
        <f t="shared" si="111"/>
        <v/>
      </c>
      <c r="D391" t="str">
        <f t="shared" si="112"/>
        <v/>
      </c>
      <c r="J391" s="403">
        <f t="shared" si="114"/>
        <v>0</v>
      </c>
      <c r="K391" s="402">
        <f t="shared" si="114"/>
        <v>0</v>
      </c>
      <c r="L391" s="46"/>
      <c r="M391" s="239">
        <f t="shared" si="115"/>
        <v>0</v>
      </c>
      <c r="O391" s="312" t="str">
        <f t="shared" si="113"/>
        <v/>
      </c>
    </row>
    <row r="392" spans="3:15" ht="15" customHeight="1">
      <c r="C392" s="46" t="str">
        <f t="shared" si="111"/>
        <v/>
      </c>
      <c r="D392" t="str">
        <f t="shared" si="112"/>
        <v/>
      </c>
      <c r="J392" s="403">
        <f t="shared" si="114"/>
        <v>0</v>
      </c>
      <c r="K392" s="402">
        <f t="shared" si="114"/>
        <v>0</v>
      </c>
      <c r="L392" s="46"/>
      <c r="M392" s="239">
        <f t="shared" si="115"/>
        <v>0</v>
      </c>
      <c r="O392" s="312" t="str">
        <f t="shared" si="113"/>
        <v/>
      </c>
    </row>
    <row r="393" spans="3:15" ht="15" customHeight="1">
      <c r="C393" s="46" t="str">
        <f t="shared" si="111"/>
        <v/>
      </c>
      <c r="D393" t="str">
        <f t="shared" si="112"/>
        <v/>
      </c>
      <c r="J393" s="403">
        <f t="shared" si="114"/>
        <v>0</v>
      </c>
      <c r="K393" s="402">
        <f t="shared" si="114"/>
        <v>0</v>
      </c>
      <c r="L393" s="46"/>
      <c r="M393" s="239">
        <f t="shared" si="115"/>
        <v>0</v>
      </c>
      <c r="O393" s="312" t="str">
        <f t="shared" si="113"/>
        <v/>
      </c>
    </row>
    <row r="394" spans="3:15" ht="15" customHeight="1">
      <c r="C394" s="46" t="str">
        <f t="shared" si="111"/>
        <v/>
      </c>
      <c r="D394" t="str">
        <f t="shared" si="112"/>
        <v/>
      </c>
      <c r="J394" s="403">
        <f t="shared" si="114"/>
        <v>0</v>
      </c>
      <c r="K394" s="402">
        <f t="shared" si="114"/>
        <v>0</v>
      </c>
      <c r="L394" s="46"/>
      <c r="M394" s="239">
        <f t="shared" si="115"/>
        <v>0</v>
      </c>
      <c r="O394" s="312" t="str">
        <f t="shared" si="113"/>
        <v/>
      </c>
    </row>
    <row r="395" spans="3:15" ht="15" customHeight="1">
      <c r="C395" s="46" t="str">
        <f t="shared" si="111"/>
        <v/>
      </c>
      <c r="D395" t="str">
        <f t="shared" si="112"/>
        <v/>
      </c>
      <c r="J395" s="403">
        <f t="shared" si="114"/>
        <v>0</v>
      </c>
      <c r="K395" s="402">
        <f t="shared" si="114"/>
        <v>0</v>
      </c>
      <c r="L395" s="46"/>
      <c r="M395" s="239">
        <f t="shared" si="115"/>
        <v>0</v>
      </c>
      <c r="O395" s="312" t="str">
        <f t="shared" si="113"/>
        <v/>
      </c>
    </row>
    <row r="396" spans="3:15" ht="15" customHeight="1">
      <c r="C396" s="46" t="str">
        <f t="shared" si="111"/>
        <v/>
      </c>
      <c r="D396" t="str">
        <f t="shared" si="112"/>
        <v/>
      </c>
      <c r="J396" s="403">
        <f t="shared" si="114"/>
        <v>0</v>
      </c>
      <c r="K396" s="402">
        <f t="shared" si="114"/>
        <v>0</v>
      </c>
      <c r="L396" s="46"/>
      <c r="M396" s="239">
        <f t="shared" si="115"/>
        <v>0</v>
      </c>
      <c r="O396" s="312" t="str">
        <f t="shared" si="113"/>
        <v/>
      </c>
    </row>
    <row r="397" spans="3:15" ht="15" customHeight="1">
      <c r="C397" s="46" t="str">
        <f t="shared" si="111"/>
        <v/>
      </c>
      <c r="D397" t="str">
        <f t="shared" si="112"/>
        <v/>
      </c>
      <c r="J397" s="403">
        <f t="shared" si="114"/>
        <v>0</v>
      </c>
      <c r="K397" s="402">
        <f t="shared" si="114"/>
        <v>0</v>
      </c>
      <c r="L397" s="46"/>
      <c r="M397" s="239">
        <f t="shared" si="115"/>
        <v>0</v>
      </c>
      <c r="O397" s="312" t="str">
        <f t="shared" si="113"/>
        <v/>
      </c>
    </row>
    <row r="398" spans="3:15" ht="15" customHeight="1">
      <c r="C398" s="46" t="str">
        <f t="shared" si="111"/>
        <v/>
      </c>
      <c r="D398" t="str">
        <f t="shared" si="112"/>
        <v/>
      </c>
      <c r="J398" s="403">
        <f t="shared" si="114"/>
        <v>0</v>
      </c>
      <c r="K398" s="402">
        <f t="shared" si="114"/>
        <v>0</v>
      </c>
      <c r="L398" s="46"/>
      <c r="M398" s="239">
        <f t="shared" si="115"/>
        <v>0</v>
      </c>
      <c r="O398" s="312" t="str">
        <f t="shared" si="113"/>
        <v/>
      </c>
    </row>
    <row r="399" spans="3:15" ht="15" customHeight="1">
      <c r="C399" s="46" t="str">
        <f t="shared" si="111"/>
        <v/>
      </c>
      <c r="D399" t="str">
        <f t="shared" si="112"/>
        <v/>
      </c>
      <c r="J399" s="403">
        <f t="shared" si="114"/>
        <v>0</v>
      </c>
      <c r="K399" s="402">
        <f t="shared" si="114"/>
        <v>0</v>
      </c>
      <c r="L399" s="46"/>
      <c r="M399" s="239">
        <f t="shared" si="115"/>
        <v>0</v>
      </c>
      <c r="O399" s="312" t="str">
        <f t="shared" si="113"/>
        <v/>
      </c>
    </row>
    <row r="400" spans="3:15" ht="15" customHeight="1">
      <c r="C400" s="46" t="str">
        <f t="shared" si="111"/>
        <v/>
      </c>
      <c r="D400" t="str">
        <f t="shared" si="112"/>
        <v/>
      </c>
      <c r="J400" s="403">
        <f t="shared" si="114"/>
        <v>0</v>
      </c>
      <c r="K400" s="402">
        <f t="shared" si="114"/>
        <v>0</v>
      </c>
      <c r="L400" s="46"/>
      <c r="M400" s="239">
        <f t="shared" si="115"/>
        <v>0</v>
      </c>
      <c r="O400" s="312" t="str">
        <f t="shared" si="113"/>
        <v/>
      </c>
    </row>
    <row r="401" spans="3:15" ht="15" customHeight="1">
      <c r="C401" s="46" t="str">
        <f t="shared" si="111"/>
        <v/>
      </c>
      <c r="D401" t="str">
        <f t="shared" si="112"/>
        <v/>
      </c>
      <c r="J401" s="403">
        <f t="shared" si="114"/>
        <v>0</v>
      </c>
      <c r="K401" s="402">
        <f t="shared" si="114"/>
        <v>0</v>
      </c>
      <c r="L401" s="46"/>
      <c r="M401" s="239">
        <f t="shared" si="115"/>
        <v>0</v>
      </c>
      <c r="O401" s="312" t="str">
        <f t="shared" si="113"/>
        <v/>
      </c>
    </row>
    <row r="402" spans="3:15" ht="15" customHeight="1">
      <c r="C402" s="46" t="str">
        <f t="shared" si="111"/>
        <v/>
      </c>
      <c r="D402" t="str">
        <f t="shared" si="112"/>
        <v/>
      </c>
      <c r="J402" s="403">
        <f t="shared" si="114"/>
        <v>0</v>
      </c>
      <c r="K402" s="402">
        <f t="shared" si="114"/>
        <v>0</v>
      </c>
      <c r="L402" s="46"/>
      <c r="M402" s="239">
        <f t="shared" si="115"/>
        <v>0</v>
      </c>
      <c r="O402" s="312" t="str">
        <f t="shared" si="113"/>
        <v/>
      </c>
    </row>
    <row r="403" spans="3:15" ht="15" customHeight="1">
      <c r="C403" s="46" t="str">
        <f t="shared" si="111"/>
        <v/>
      </c>
      <c r="D403" t="str">
        <f t="shared" si="112"/>
        <v/>
      </c>
      <c r="J403" s="403">
        <f t="shared" si="114"/>
        <v>0</v>
      </c>
      <c r="K403" s="402">
        <f t="shared" si="114"/>
        <v>0</v>
      </c>
      <c r="L403" s="46"/>
      <c r="M403" s="239">
        <f t="shared" si="115"/>
        <v>0</v>
      </c>
      <c r="O403" s="312" t="str">
        <f t="shared" si="113"/>
        <v/>
      </c>
    </row>
    <row r="404" spans="3:15" ht="15" customHeight="1">
      <c r="C404" s="46" t="str">
        <f t="shared" si="111"/>
        <v/>
      </c>
      <c r="D404" t="str">
        <f t="shared" si="112"/>
        <v/>
      </c>
      <c r="J404" s="403">
        <f t="shared" si="114"/>
        <v>0</v>
      </c>
      <c r="K404" s="402">
        <f t="shared" si="114"/>
        <v>0</v>
      </c>
      <c r="L404" s="46"/>
      <c r="M404" s="239">
        <f t="shared" si="115"/>
        <v>0</v>
      </c>
      <c r="O404" s="312" t="str">
        <f t="shared" si="113"/>
        <v/>
      </c>
    </row>
    <row r="405" spans="3:15" ht="15" customHeight="1">
      <c r="C405" s="46" t="str">
        <f t="shared" si="111"/>
        <v/>
      </c>
      <c r="D405" t="str">
        <f t="shared" si="112"/>
        <v/>
      </c>
      <c r="J405" s="403">
        <f t="shared" si="114"/>
        <v>0</v>
      </c>
      <c r="K405" s="402">
        <f t="shared" si="114"/>
        <v>0</v>
      </c>
      <c r="L405" s="46"/>
      <c r="M405" s="239">
        <f t="shared" si="115"/>
        <v>0</v>
      </c>
      <c r="O405" s="312" t="str">
        <f t="shared" si="113"/>
        <v/>
      </c>
    </row>
    <row r="406" spans="3:15" ht="15" customHeight="1">
      <c r="C406" s="46" t="str">
        <f t="shared" ref="C406:C469" si="116">IF(B406&lt;&gt;"",PROPER(TEXT(B406,"mmmm")),"")</f>
        <v/>
      </c>
      <c r="D406" t="str">
        <f t="shared" ref="D406:D469" si="117">IF(B406="","",YEAR(B406))</f>
        <v/>
      </c>
      <c r="J406" s="403">
        <f t="shared" si="114"/>
        <v>0</v>
      </c>
      <c r="K406" s="402">
        <f t="shared" si="114"/>
        <v>0</v>
      </c>
      <c r="L406" s="46"/>
      <c r="M406" s="239">
        <f t="shared" si="115"/>
        <v>0</v>
      </c>
      <c r="O406" s="312" t="str">
        <f t="shared" ref="O406:O469" si="118">IF(N406&lt;&gt;"",TEXT(N406,"mmmm"),"")</f>
        <v/>
      </c>
    </row>
    <row r="407" spans="3:15" ht="15" customHeight="1">
      <c r="C407" s="46" t="str">
        <f t="shared" si="116"/>
        <v/>
      </c>
      <c r="D407" t="str">
        <f t="shared" si="117"/>
        <v/>
      </c>
      <c r="J407" s="403">
        <f t="shared" ref="J407:K470" si="119">I407</f>
        <v>0</v>
      </c>
      <c r="K407" s="402">
        <f t="shared" si="119"/>
        <v>0</v>
      </c>
      <c r="L407" s="46"/>
      <c r="M407" s="239">
        <f t="shared" ref="M407:M470" si="120">J407</f>
        <v>0</v>
      </c>
      <c r="O407" s="312" t="str">
        <f t="shared" si="118"/>
        <v/>
      </c>
    </row>
    <row r="408" spans="3:15" ht="15" customHeight="1">
      <c r="C408" s="46" t="str">
        <f t="shared" si="116"/>
        <v/>
      </c>
      <c r="D408" t="str">
        <f t="shared" si="117"/>
        <v/>
      </c>
      <c r="J408" s="403">
        <f t="shared" si="119"/>
        <v>0</v>
      </c>
      <c r="K408" s="402">
        <f t="shared" si="119"/>
        <v>0</v>
      </c>
      <c r="L408" s="46"/>
      <c r="M408" s="239">
        <f t="shared" si="120"/>
        <v>0</v>
      </c>
      <c r="O408" s="312" t="str">
        <f t="shared" si="118"/>
        <v/>
      </c>
    </row>
    <row r="409" spans="3:15" ht="15" customHeight="1">
      <c r="C409" s="46" t="str">
        <f t="shared" si="116"/>
        <v/>
      </c>
      <c r="D409" t="str">
        <f t="shared" si="117"/>
        <v/>
      </c>
      <c r="J409" s="403">
        <f t="shared" si="119"/>
        <v>0</v>
      </c>
      <c r="K409" s="402">
        <f t="shared" si="119"/>
        <v>0</v>
      </c>
      <c r="L409" s="46"/>
      <c r="M409" s="239">
        <f t="shared" si="120"/>
        <v>0</v>
      </c>
      <c r="O409" s="312" t="str">
        <f t="shared" si="118"/>
        <v/>
      </c>
    </row>
    <row r="410" spans="3:15" ht="15" customHeight="1">
      <c r="C410" s="46" t="str">
        <f t="shared" si="116"/>
        <v/>
      </c>
      <c r="D410" t="str">
        <f t="shared" si="117"/>
        <v/>
      </c>
      <c r="J410" s="403">
        <f t="shared" si="119"/>
        <v>0</v>
      </c>
      <c r="K410" s="402">
        <f t="shared" si="119"/>
        <v>0</v>
      </c>
      <c r="L410" s="46"/>
      <c r="M410" s="239">
        <f t="shared" si="120"/>
        <v>0</v>
      </c>
      <c r="O410" s="312" t="str">
        <f t="shared" si="118"/>
        <v/>
      </c>
    </row>
    <row r="411" spans="3:15" ht="15" customHeight="1">
      <c r="C411" s="46" t="str">
        <f t="shared" si="116"/>
        <v/>
      </c>
      <c r="D411" t="str">
        <f t="shared" si="117"/>
        <v/>
      </c>
      <c r="J411" s="403">
        <f t="shared" si="119"/>
        <v>0</v>
      </c>
      <c r="K411" s="402">
        <f t="shared" si="119"/>
        <v>0</v>
      </c>
      <c r="L411" s="46"/>
      <c r="M411" s="239">
        <f t="shared" si="120"/>
        <v>0</v>
      </c>
      <c r="O411" s="312" t="str">
        <f t="shared" si="118"/>
        <v/>
      </c>
    </row>
    <row r="412" spans="3:15" ht="15" customHeight="1">
      <c r="C412" s="46" t="str">
        <f t="shared" si="116"/>
        <v/>
      </c>
      <c r="D412" t="str">
        <f t="shared" si="117"/>
        <v/>
      </c>
      <c r="J412" s="403">
        <f t="shared" si="119"/>
        <v>0</v>
      </c>
      <c r="K412" s="402">
        <f t="shared" si="119"/>
        <v>0</v>
      </c>
      <c r="L412" s="46"/>
      <c r="M412" s="239">
        <f t="shared" si="120"/>
        <v>0</v>
      </c>
      <c r="O412" s="312" t="str">
        <f t="shared" si="118"/>
        <v/>
      </c>
    </row>
    <row r="413" spans="3:15" ht="15" customHeight="1">
      <c r="C413" s="46" t="str">
        <f t="shared" si="116"/>
        <v/>
      </c>
      <c r="D413" t="str">
        <f t="shared" si="117"/>
        <v/>
      </c>
      <c r="J413" s="403">
        <f t="shared" si="119"/>
        <v>0</v>
      </c>
      <c r="K413" s="402">
        <f t="shared" si="119"/>
        <v>0</v>
      </c>
      <c r="L413" s="46"/>
      <c r="M413" s="239">
        <f t="shared" si="120"/>
        <v>0</v>
      </c>
      <c r="O413" s="312" t="str">
        <f t="shared" si="118"/>
        <v/>
      </c>
    </row>
    <row r="414" spans="3:15" ht="15" customHeight="1">
      <c r="C414" s="46" t="str">
        <f t="shared" si="116"/>
        <v/>
      </c>
      <c r="D414" t="str">
        <f t="shared" si="117"/>
        <v/>
      </c>
      <c r="J414" s="403">
        <f t="shared" si="119"/>
        <v>0</v>
      </c>
      <c r="K414" s="402">
        <f t="shared" si="119"/>
        <v>0</v>
      </c>
      <c r="L414" s="46"/>
      <c r="M414" s="239">
        <f t="shared" si="120"/>
        <v>0</v>
      </c>
      <c r="O414" s="312" t="str">
        <f t="shared" si="118"/>
        <v/>
      </c>
    </row>
    <row r="415" spans="3:15" ht="15" customHeight="1">
      <c r="C415" s="46" t="str">
        <f t="shared" si="116"/>
        <v/>
      </c>
      <c r="D415" t="str">
        <f t="shared" si="117"/>
        <v/>
      </c>
      <c r="J415" s="403">
        <f t="shared" si="119"/>
        <v>0</v>
      </c>
      <c r="K415" s="402">
        <f t="shared" si="119"/>
        <v>0</v>
      </c>
      <c r="L415" s="46"/>
      <c r="M415" s="239">
        <f t="shared" si="120"/>
        <v>0</v>
      </c>
      <c r="O415" s="312" t="str">
        <f t="shared" si="118"/>
        <v/>
      </c>
    </row>
    <row r="416" spans="3:15" ht="15" customHeight="1">
      <c r="C416" s="46" t="str">
        <f t="shared" si="116"/>
        <v/>
      </c>
      <c r="D416" t="str">
        <f t="shared" si="117"/>
        <v/>
      </c>
      <c r="J416" s="403">
        <f t="shared" si="119"/>
        <v>0</v>
      </c>
      <c r="K416" s="402">
        <f t="shared" si="119"/>
        <v>0</v>
      </c>
      <c r="L416" s="46"/>
      <c r="M416" s="239">
        <f t="shared" si="120"/>
        <v>0</v>
      </c>
      <c r="O416" s="312" t="str">
        <f t="shared" si="118"/>
        <v/>
      </c>
    </row>
    <row r="417" spans="3:15" ht="15" customHeight="1">
      <c r="C417" s="46" t="str">
        <f t="shared" si="116"/>
        <v/>
      </c>
      <c r="D417" t="str">
        <f t="shared" si="117"/>
        <v/>
      </c>
      <c r="J417" s="403">
        <f t="shared" si="119"/>
        <v>0</v>
      </c>
      <c r="K417" s="402">
        <f t="shared" si="119"/>
        <v>0</v>
      </c>
      <c r="L417" s="46"/>
      <c r="M417" s="239">
        <f t="shared" si="120"/>
        <v>0</v>
      </c>
      <c r="O417" s="312" t="str">
        <f t="shared" si="118"/>
        <v/>
      </c>
    </row>
    <row r="418" spans="3:15" ht="15" customHeight="1">
      <c r="C418" s="46" t="str">
        <f t="shared" si="116"/>
        <v/>
      </c>
      <c r="D418" t="str">
        <f t="shared" si="117"/>
        <v/>
      </c>
      <c r="J418" s="403">
        <f t="shared" si="119"/>
        <v>0</v>
      </c>
      <c r="K418" s="402">
        <f t="shared" si="119"/>
        <v>0</v>
      </c>
      <c r="L418" s="46"/>
      <c r="M418" s="239">
        <f t="shared" si="120"/>
        <v>0</v>
      </c>
      <c r="O418" s="312" t="str">
        <f t="shared" si="118"/>
        <v/>
      </c>
    </row>
    <row r="419" spans="3:15" ht="15" customHeight="1">
      <c r="C419" s="46" t="str">
        <f t="shared" si="116"/>
        <v/>
      </c>
      <c r="D419" t="str">
        <f t="shared" si="117"/>
        <v/>
      </c>
      <c r="J419" s="403">
        <f t="shared" si="119"/>
        <v>0</v>
      </c>
      <c r="K419" s="402">
        <f t="shared" si="119"/>
        <v>0</v>
      </c>
      <c r="L419" s="46"/>
      <c r="M419" s="239">
        <f t="shared" si="120"/>
        <v>0</v>
      </c>
      <c r="O419" s="312" t="str">
        <f t="shared" si="118"/>
        <v/>
      </c>
    </row>
    <row r="420" spans="3:15" ht="15" customHeight="1">
      <c r="C420" s="46" t="str">
        <f t="shared" si="116"/>
        <v/>
      </c>
      <c r="D420" t="str">
        <f t="shared" si="117"/>
        <v/>
      </c>
      <c r="J420" s="403">
        <f t="shared" si="119"/>
        <v>0</v>
      </c>
      <c r="K420" s="402">
        <f t="shared" si="119"/>
        <v>0</v>
      </c>
      <c r="L420" s="46"/>
      <c r="M420" s="239">
        <f t="shared" si="120"/>
        <v>0</v>
      </c>
      <c r="O420" s="312" t="str">
        <f t="shared" si="118"/>
        <v/>
      </c>
    </row>
    <row r="421" spans="3:15" ht="15" customHeight="1">
      <c r="C421" s="46" t="str">
        <f t="shared" si="116"/>
        <v/>
      </c>
      <c r="D421" t="str">
        <f t="shared" si="117"/>
        <v/>
      </c>
      <c r="J421" s="403">
        <f t="shared" si="119"/>
        <v>0</v>
      </c>
      <c r="K421" s="402">
        <f t="shared" si="119"/>
        <v>0</v>
      </c>
      <c r="L421" s="46"/>
      <c r="M421" s="239">
        <f t="shared" si="120"/>
        <v>0</v>
      </c>
      <c r="O421" s="312" t="str">
        <f t="shared" si="118"/>
        <v/>
      </c>
    </row>
    <row r="422" spans="3:15" ht="15" customHeight="1">
      <c r="C422" s="46" t="str">
        <f t="shared" si="116"/>
        <v/>
      </c>
      <c r="D422" t="str">
        <f t="shared" si="117"/>
        <v/>
      </c>
      <c r="J422" s="403">
        <f t="shared" si="119"/>
        <v>0</v>
      </c>
      <c r="K422" s="402">
        <f t="shared" si="119"/>
        <v>0</v>
      </c>
      <c r="L422" s="46"/>
      <c r="M422" s="239">
        <f t="shared" si="120"/>
        <v>0</v>
      </c>
      <c r="O422" s="312" t="str">
        <f t="shared" si="118"/>
        <v/>
      </c>
    </row>
    <row r="423" spans="3:15" ht="15" customHeight="1">
      <c r="C423" s="46" t="str">
        <f t="shared" si="116"/>
        <v/>
      </c>
      <c r="D423" t="str">
        <f t="shared" si="117"/>
        <v/>
      </c>
      <c r="J423" s="403">
        <f t="shared" si="119"/>
        <v>0</v>
      </c>
      <c r="K423" s="402">
        <f t="shared" si="119"/>
        <v>0</v>
      </c>
      <c r="L423" s="46"/>
      <c r="M423" s="239">
        <f t="shared" si="120"/>
        <v>0</v>
      </c>
      <c r="O423" s="312" t="str">
        <f t="shared" si="118"/>
        <v/>
      </c>
    </row>
    <row r="424" spans="3:15" ht="15" customHeight="1">
      <c r="C424" s="46" t="str">
        <f t="shared" si="116"/>
        <v/>
      </c>
      <c r="D424" t="str">
        <f t="shared" si="117"/>
        <v/>
      </c>
      <c r="J424" s="403">
        <f t="shared" si="119"/>
        <v>0</v>
      </c>
      <c r="K424" s="402">
        <f t="shared" si="119"/>
        <v>0</v>
      </c>
      <c r="L424" s="46"/>
      <c r="M424" s="239">
        <f t="shared" si="120"/>
        <v>0</v>
      </c>
      <c r="O424" s="312" t="str">
        <f t="shared" si="118"/>
        <v/>
      </c>
    </row>
    <row r="425" spans="3:15" ht="15" customHeight="1">
      <c r="C425" s="46" t="str">
        <f t="shared" si="116"/>
        <v/>
      </c>
      <c r="D425" t="str">
        <f t="shared" si="117"/>
        <v/>
      </c>
      <c r="J425" s="403">
        <f t="shared" si="119"/>
        <v>0</v>
      </c>
      <c r="K425" s="402">
        <f t="shared" si="119"/>
        <v>0</v>
      </c>
      <c r="L425" s="46"/>
      <c r="M425" s="239">
        <f t="shared" si="120"/>
        <v>0</v>
      </c>
      <c r="O425" s="312" t="str">
        <f t="shared" si="118"/>
        <v/>
      </c>
    </row>
    <row r="426" spans="3:15" ht="15" customHeight="1">
      <c r="C426" s="46" t="str">
        <f t="shared" si="116"/>
        <v/>
      </c>
      <c r="D426" t="str">
        <f t="shared" si="117"/>
        <v/>
      </c>
      <c r="J426" s="403">
        <f t="shared" si="119"/>
        <v>0</v>
      </c>
      <c r="K426" s="402">
        <f t="shared" si="119"/>
        <v>0</v>
      </c>
      <c r="L426" s="46"/>
      <c r="M426" s="239">
        <f t="shared" si="120"/>
        <v>0</v>
      </c>
      <c r="O426" s="312" t="str">
        <f t="shared" si="118"/>
        <v/>
      </c>
    </row>
    <row r="427" spans="3:15" ht="15" customHeight="1">
      <c r="C427" s="46" t="str">
        <f t="shared" si="116"/>
        <v/>
      </c>
      <c r="D427" t="str">
        <f t="shared" si="117"/>
        <v/>
      </c>
      <c r="J427" s="403">
        <f t="shared" si="119"/>
        <v>0</v>
      </c>
      <c r="K427" s="402">
        <f t="shared" si="119"/>
        <v>0</v>
      </c>
      <c r="L427" s="46"/>
      <c r="M427" s="239">
        <f t="shared" si="120"/>
        <v>0</v>
      </c>
      <c r="O427" s="312" t="str">
        <f t="shared" si="118"/>
        <v/>
      </c>
    </row>
    <row r="428" spans="3:15" ht="15" customHeight="1">
      <c r="C428" s="46" t="str">
        <f t="shared" si="116"/>
        <v/>
      </c>
      <c r="D428" t="str">
        <f t="shared" si="117"/>
        <v/>
      </c>
      <c r="J428" s="403">
        <f t="shared" si="119"/>
        <v>0</v>
      </c>
      <c r="K428" s="402">
        <f t="shared" si="119"/>
        <v>0</v>
      </c>
      <c r="L428" s="46"/>
      <c r="M428" s="239">
        <f t="shared" si="120"/>
        <v>0</v>
      </c>
      <c r="O428" s="312" t="str">
        <f t="shared" si="118"/>
        <v/>
      </c>
    </row>
    <row r="429" spans="3:15" ht="15" customHeight="1">
      <c r="C429" s="46" t="str">
        <f t="shared" si="116"/>
        <v/>
      </c>
      <c r="D429" t="str">
        <f t="shared" si="117"/>
        <v/>
      </c>
      <c r="J429" s="403">
        <f t="shared" si="119"/>
        <v>0</v>
      </c>
      <c r="K429" s="402">
        <f t="shared" si="119"/>
        <v>0</v>
      </c>
      <c r="L429" s="46"/>
      <c r="M429" s="239">
        <f t="shared" si="120"/>
        <v>0</v>
      </c>
      <c r="O429" s="312" t="str">
        <f t="shared" si="118"/>
        <v/>
      </c>
    </row>
    <row r="430" spans="3:15" ht="15" customHeight="1">
      <c r="C430" s="46" t="str">
        <f t="shared" si="116"/>
        <v/>
      </c>
      <c r="D430" t="str">
        <f t="shared" si="117"/>
        <v/>
      </c>
      <c r="J430" s="403">
        <f t="shared" si="119"/>
        <v>0</v>
      </c>
      <c r="K430" s="402">
        <f t="shared" si="119"/>
        <v>0</v>
      </c>
      <c r="L430" s="46"/>
      <c r="M430" s="239">
        <f t="shared" si="120"/>
        <v>0</v>
      </c>
      <c r="O430" s="312" t="str">
        <f t="shared" si="118"/>
        <v/>
      </c>
    </row>
    <row r="431" spans="3:15" ht="15" customHeight="1">
      <c r="C431" s="46" t="str">
        <f t="shared" si="116"/>
        <v/>
      </c>
      <c r="D431" t="str">
        <f t="shared" si="117"/>
        <v/>
      </c>
      <c r="J431" s="403">
        <f t="shared" si="119"/>
        <v>0</v>
      </c>
      <c r="K431" s="402">
        <f t="shared" si="119"/>
        <v>0</v>
      </c>
      <c r="L431" s="46"/>
      <c r="M431" s="239">
        <f t="shared" si="120"/>
        <v>0</v>
      </c>
      <c r="O431" s="312" t="str">
        <f t="shared" si="118"/>
        <v/>
      </c>
    </row>
    <row r="432" spans="3:15" ht="15" customHeight="1">
      <c r="C432" s="46" t="str">
        <f t="shared" si="116"/>
        <v/>
      </c>
      <c r="D432" t="str">
        <f t="shared" si="117"/>
        <v/>
      </c>
      <c r="J432" s="403">
        <f t="shared" si="119"/>
        <v>0</v>
      </c>
      <c r="K432" s="402">
        <f t="shared" si="119"/>
        <v>0</v>
      </c>
      <c r="L432" s="46"/>
      <c r="M432" s="239">
        <f t="shared" si="120"/>
        <v>0</v>
      </c>
      <c r="O432" s="312" t="str">
        <f t="shared" si="118"/>
        <v/>
      </c>
    </row>
    <row r="433" spans="3:15" ht="15" customHeight="1">
      <c r="C433" s="46" t="str">
        <f t="shared" si="116"/>
        <v/>
      </c>
      <c r="D433" t="str">
        <f t="shared" si="117"/>
        <v/>
      </c>
      <c r="J433" s="403">
        <f t="shared" si="119"/>
        <v>0</v>
      </c>
      <c r="K433" s="402">
        <f t="shared" si="119"/>
        <v>0</v>
      </c>
      <c r="L433" s="46"/>
      <c r="M433" s="239">
        <f t="shared" si="120"/>
        <v>0</v>
      </c>
      <c r="O433" s="312" t="str">
        <f t="shared" si="118"/>
        <v/>
      </c>
    </row>
    <row r="434" spans="3:15" ht="15" customHeight="1">
      <c r="C434" s="46" t="str">
        <f t="shared" si="116"/>
        <v/>
      </c>
      <c r="D434" t="str">
        <f t="shared" si="117"/>
        <v/>
      </c>
      <c r="J434" s="403">
        <f t="shared" si="119"/>
        <v>0</v>
      </c>
      <c r="K434" s="402">
        <f t="shared" si="119"/>
        <v>0</v>
      </c>
      <c r="L434" s="46"/>
      <c r="M434" s="239">
        <f t="shared" si="120"/>
        <v>0</v>
      </c>
      <c r="O434" s="312" t="str">
        <f t="shared" si="118"/>
        <v/>
      </c>
    </row>
    <row r="435" spans="3:15" ht="15" customHeight="1">
      <c r="C435" s="46" t="str">
        <f t="shared" si="116"/>
        <v/>
      </c>
      <c r="D435" t="str">
        <f t="shared" si="117"/>
        <v/>
      </c>
      <c r="J435" s="403">
        <f t="shared" si="119"/>
        <v>0</v>
      </c>
      <c r="K435" s="402">
        <f t="shared" si="119"/>
        <v>0</v>
      </c>
      <c r="L435" s="46"/>
      <c r="M435" s="239">
        <f t="shared" si="120"/>
        <v>0</v>
      </c>
      <c r="O435" s="312" t="str">
        <f t="shared" si="118"/>
        <v/>
      </c>
    </row>
    <row r="436" spans="3:15" ht="15" customHeight="1">
      <c r="C436" s="46" t="str">
        <f t="shared" si="116"/>
        <v/>
      </c>
      <c r="D436" t="str">
        <f t="shared" si="117"/>
        <v/>
      </c>
      <c r="J436" s="403">
        <f t="shared" si="119"/>
        <v>0</v>
      </c>
      <c r="K436" s="402">
        <f t="shared" si="119"/>
        <v>0</v>
      </c>
      <c r="L436" s="46"/>
      <c r="M436" s="239">
        <f t="shared" si="120"/>
        <v>0</v>
      </c>
      <c r="O436" s="312" t="str">
        <f t="shared" si="118"/>
        <v/>
      </c>
    </row>
    <row r="437" spans="3:15" ht="15" customHeight="1">
      <c r="C437" s="46" t="str">
        <f t="shared" si="116"/>
        <v/>
      </c>
      <c r="D437" t="str">
        <f t="shared" si="117"/>
        <v/>
      </c>
      <c r="J437" s="403">
        <f t="shared" si="119"/>
        <v>0</v>
      </c>
      <c r="K437" s="402">
        <f t="shared" si="119"/>
        <v>0</v>
      </c>
      <c r="L437" s="46"/>
      <c r="M437" s="239">
        <f t="shared" si="120"/>
        <v>0</v>
      </c>
      <c r="O437" s="312" t="str">
        <f t="shared" si="118"/>
        <v/>
      </c>
    </row>
    <row r="438" spans="3:15" ht="15" customHeight="1">
      <c r="C438" s="46" t="str">
        <f t="shared" si="116"/>
        <v/>
      </c>
      <c r="D438" t="str">
        <f t="shared" si="117"/>
        <v/>
      </c>
      <c r="J438" s="403">
        <f t="shared" si="119"/>
        <v>0</v>
      </c>
      <c r="K438" s="402">
        <f t="shared" si="119"/>
        <v>0</v>
      </c>
      <c r="L438" s="46"/>
      <c r="M438" s="239">
        <f t="shared" si="120"/>
        <v>0</v>
      </c>
      <c r="O438" s="312" t="str">
        <f t="shared" si="118"/>
        <v/>
      </c>
    </row>
    <row r="439" spans="3:15" ht="15" customHeight="1">
      <c r="C439" s="46" t="str">
        <f t="shared" si="116"/>
        <v/>
      </c>
      <c r="D439" t="str">
        <f t="shared" si="117"/>
        <v/>
      </c>
      <c r="J439" s="403">
        <f t="shared" si="119"/>
        <v>0</v>
      </c>
      <c r="K439" s="402">
        <f t="shared" si="119"/>
        <v>0</v>
      </c>
      <c r="L439" s="46"/>
      <c r="M439" s="239">
        <f t="shared" si="120"/>
        <v>0</v>
      </c>
      <c r="O439" s="312" t="str">
        <f t="shared" si="118"/>
        <v/>
      </c>
    </row>
    <row r="440" spans="3:15" ht="15" customHeight="1">
      <c r="C440" s="46" t="str">
        <f t="shared" si="116"/>
        <v/>
      </c>
      <c r="D440" t="str">
        <f t="shared" si="117"/>
        <v/>
      </c>
      <c r="J440" s="403">
        <f t="shared" si="119"/>
        <v>0</v>
      </c>
      <c r="K440" s="402">
        <f t="shared" si="119"/>
        <v>0</v>
      </c>
      <c r="L440" s="46"/>
      <c r="M440" s="239">
        <f t="shared" si="120"/>
        <v>0</v>
      </c>
      <c r="O440" s="312" t="str">
        <f t="shared" si="118"/>
        <v/>
      </c>
    </row>
    <row r="441" spans="3:15" ht="15" customHeight="1">
      <c r="C441" s="46" t="str">
        <f t="shared" si="116"/>
        <v/>
      </c>
      <c r="D441" t="str">
        <f t="shared" si="117"/>
        <v/>
      </c>
      <c r="J441" s="403">
        <f t="shared" si="119"/>
        <v>0</v>
      </c>
      <c r="K441" s="402">
        <f t="shared" si="119"/>
        <v>0</v>
      </c>
      <c r="L441" s="46"/>
      <c r="M441" s="239">
        <f t="shared" si="120"/>
        <v>0</v>
      </c>
      <c r="O441" s="312" t="str">
        <f t="shared" si="118"/>
        <v/>
      </c>
    </row>
    <row r="442" spans="3:15" ht="15" customHeight="1">
      <c r="C442" s="46" t="str">
        <f t="shared" si="116"/>
        <v/>
      </c>
      <c r="D442" t="str">
        <f t="shared" si="117"/>
        <v/>
      </c>
      <c r="J442" s="403">
        <f t="shared" si="119"/>
        <v>0</v>
      </c>
      <c r="K442" s="402">
        <f t="shared" si="119"/>
        <v>0</v>
      </c>
      <c r="L442" s="46"/>
      <c r="M442" s="239">
        <f t="shared" si="120"/>
        <v>0</v>
      </c>
      <c r="O442" s="312" t="str">
        <f t="shared" si="118"/>
        <v/>
      </c>
    </row>
    <row r="443" spans="3:15" ht="15" customHeight="1">
      <c r="C443" s="46" t="str">
        <f t="shared" si="116"/>
        <v/>
      </c>
      <c r="D443" t="str">
        <f t="shared" si="117"/>
        <v/>
      </c>
      <c r="J443" s="403">
        <f t="shared" si="119"/>
        <v>0</v>
      </c>
      <c r="K443" s="402">
        <f t="shared" si="119"/>
        <v>0</v>
      </c>
      <c r="L443" s="46"/>
      <c r="M443" s="239">
        <f t="shared" si="120"/>
        <v>0</v>
      </c>
      <c r="O443" s="312" t="str">
        <f t="shared" si="118"/>
        <v/>
      </c>
    </row>
    <row r="444" spans="3:15" ht="15" customHeight="1">
      <c r="C444" s="46" t="str">
        <f t="shared" si="116"/>
        <v/>
      </c>
      <c r="D444" t="str">
        <f t="shared" si="117"/>
        <v/>
      </c>
      <c r="J444" s="403">
        <f t="shared" si="119"/>
        <v>0</v>
      </c>
      <c r="K444" s="402">
        <f t="shared" si="119"/>
        <v>0</v>
      </c>
      <c r="L444" s="46"/>
      <c r="M444" s="239">
        <f t="shared" si="120"/>
        <v>0</v>
      </c>
      <c r="O444" s="312" t="str">
        <f t="shared" si="118"/>
        <v/>
      </c>
    </row>
    <row r="445" spans="3:15" ht="15" customHeight="1">
      <c r="C445" s="46" t="str">
        <f t="shared" si="116"/>
        <v/>
      </c>
      <c r="D445" t="str">
        <f t="shared" si="117"/>
        <v/>
      </c>
      <c r="J445" s="403">
        <f t="shared" si="119"/>
        <v>0</v>
      </c>
      <c r="K445" s="402">
        <f t="shared" si="119"/>
        <v>0</v>
      </c>
      <c r="L445" s="46"/>
      <c r="M445" s="239">
        <f t="shared" si="120"/>
        <v>0</v>
      </c>
      <c r="O445" s="312" t="str">
        <f t="shared" si="118"/>
        <v/>
      </c>
    </row>
    <row r="446" spans="3:15" ht="15" customHeight="1">
      <c r="C446" s="46" t="str">
        <f t="shared" si="116"/>
        <v/>
      </c>
      <c r="D446" t="str">
        <f t="shared" si="117"/>
        <v/>
      </c>
      <c r="J446" s="403">
        <f t="shared" si="119"/>
        <v>0</v>
      </c>
      <c r="K446" s="402">
        <f t="shared" si="119"/>
        <v>0</v>
      </c>
      <c r="L446" s="46"/>
      <c r="M446" s="239">
        <f t="shared" si="120"/>
        <v>0</v>
      </c>
      <c r="O446" s="312" t="str">
        <f t="shared" si="118"/>
        <v/>
      </c>
    </row>
    <row r="447" spans="3:15" ht="15" customHeight="1">
      <c r="C447" s="46" t="str">
        <f t="shared" si="116"/>
        <v/>
      </c>
      <c r="D447" t="str">
        <f t="shared" si="117"/>
        <v/>
      </c>
      <c r="J447" s="403">
        <f t="shared" si="119"/>
        <v>0</v>
      </c>
      <c r="K447" s="402">
        <f t="shared" si="119"/>
        <v>0</v>
      </c>
      <c r="L447" s="46"/>
      <c r="M447" s="239">
        <f t="shared" si="120"/>
        <v>0</v>
      </c>
      <c r="O447" s="312" t="str">
        <f t="shared" si="118"/>
        <v/>
      </c>
    </row>
    <row r="448" spans="3:15" ht="15" customHeight="1">
      <c r="C448" s="46" t="str">
        <f t="shared" si="116"/>
        <v/>
      </c>
      <c r="D448" t="str">
        <f t="shared" si="117"/>
        <v/>
      </c>
      <c r="J448" s="403">
        <f t="shared" si="119"/>
        <v>0</v>
      </c>
      <c r="K448" s="402">
        <f t="shared" si="119"/>
        <v>0</v>
      </c>
      <c r="L448" s="46"/>
      <c r="M448" s="239">
        <f t="shared" si="120"/>
        <v>0</v>
      </c>
      <c r="O448" s="312" t="str">
        <f t="shared" si="118"/>
        <v/>
      </c>
    </row>
    <row r="449" spans="3:15" ht="15" customHeight="1">
      <c r="C449" s="46" t="str">
        <f t="shared" si="116"/>
        <v/>
      </c>
      <c r="D449" t="str">
        <f t="shared" si="117"/>
        <v/>
      </c>
      <c r="J449" s="403">
        <f t="shared" si="119"/>
        <v>0</v>
      </c>
      <c r="K449" s="402">
        <f t="shared" si="119"/>
        <v>0</v>
      </c>
      <c r="L449" s="46"/>
      <c r="M449" s="239">
        <f t="shared" si="120"/>
        <v>0</v>
      </c>
      <c r="O449" s="312" t="str">
        <f t="shared" si="118"/>
        <v/>
      </c>
    </row>
    <row r="450" spans="3:15" ht="15" customHeight="1">
      <c r="C450" s="46" t="str">
        <f t="shared" si="116"/>
        <v/>
      </c>
      <c r="D450" t="str">
        <f t="shared" si="117"/>
        <v/>
      </c>
      <c r="J450" s="403">
        <f t="shared" si="119"/>
        <v>0</v>
      </c>
      <c r="K450" s="402">
        <f t="shared" si="119"/>
        <v>0</v>
      </c>
      <c r="L450" s="46"/>
      <c r="M450" s="239">
        <f t="shared" si="120"/>
        <v>0</v>
      </c>
      <c r="O450" s="312" t="str">
        <f t="shared" si="118"/>
        <v/>
      </c>
    </row>
    <row r="451" spans="3:15" ht="15" customHeight="1">
      <c r="C451" s="46" t="str">
        <f t="shared" si="116"/>
        <v/>
      </c>
      <c r="D451" t="str">
        <f t="shared" si="117"/>
        <v/>
      </c>
      <c r="J451" s="403">
        <f t="shared" si="119"/>
        <v>0</v>
      </c>
      <c r="K451" s="402">
        <f t="shared" si="119"/>
        <v>0</v>
      </c>
      <c r="L451" s="46"/>
      <c r="M451" s="239">
        <f t="shared" si="120"/>
        <v>0</v>
      </c>
      <c r="O451" s="312" t="str">
        <f t="shared" si="118"/>
        <v/>
      </c>
    </row>
    <row r="452" spans="3:15" ht="15" customHeight="1">
      <c r="C452" s="46" t="str">
        <f t="shared" si="116"/>
        <v/>
      </c>
      <c r="D452" t="str">
        <f t="shared" si="117"/>
        <v/>
      </c>
      <c r="J452" s="403">
        <f t="shared" si="119"/>
        <v>0</v>
      </c>
      <c r="K452" s="402">
        <f t="shared" si="119"/>
        <v>0</v>
      </c>
      <c r="L452" s="46"/>
      <c r="M452" s="239">
        <f t="shared" si="120"/>
        <v>0</v>
      </c>
      <c r="O452" s="312" t="str">
        <f t="shared" si="118"/>
        <v/>
      </c>
    </row>
    <row r="453" spans="3:15" ht="15" customHeight="1">
      <c r="C453" s="46" t="str">
        <f t="shared" si="116"/>
        <v/>
      </c>
      <c r="D453" t="str">
        <f t="shared" si="117"/>
        <v/>
      </c>
      <c r="J453" s="403">
        <f t="shared" si="119"/>
        <v>0</v>
      </c>
      <c r="K453" s="402">
        <f t="shared" si="119"/>
        <v>0</v>
      </c>
      <c r="L453" s="46"/>
      <c r="M453" s="239">
        <f t="shared" si="120"/>
        <v>0</v>
      </c>
      <c r="O453" s="312" t="str">
        <f t="shared" si="118"/>
        <v/>
      </c>
    </row>
    <row r="454" spans="3:15" ht="15" customHeight="1">
      <c r="C454" s="46" t="str">
        <f t="shared" si="116"/>
        <v/>
      </c>
      <c r="D454" t="str">
        <f t="shared" si="117"/>
        <v/>
      </c>
      <c r="J454" s="403">
        <f t="shared" si="119"/>
        <v>0</v>
      </c>
      <c r="K454" s="402">
        <f t="shared" si="119"/>
        <v>0</v>
      </c>
      <c r="L454" s="46"/>
      <c r="M454" s="239">
        <f t="shared" si="120"/>
        <v>0</v>
      </c>
      <c r="O454" s="312" t="str">
        <f t="shared" si="118"/>
        <v/>
      </c>
    </row>
    <row r="455" spans="3:15" ht="15" customHeight="1">
      <c r="C455" s="46" t="str">
        <f t="shared" si="116"/>
        <v/>
      </c>
      <c r="D455" t="str">
        <f t="shared" si="117"/>
        <v/>
      </c>
      <c r="J455" s="403">
        <f t="shared" si="119"/>
        <v>0</v>
      </c>
      <c r="K455" s="402">
        <f t="shared" si="119"/>
        <v>0</v>
      </c>
      <c r="L455" s="46"/>
      <c r="M455" s="239">
        <f t="shared" si="120"/>
        <v>0</v>
      </c>
      <c r="O455" s="312" t="str">
        <f t="shared" si="118"/>
        <v/>
      </c>
    </row>
    <row r="456" spans="3:15" ht="15" customHeight="1">
      <c r="C456" s="46" t="str">
        <f t="shared" si="116"/>
        <v/>
      </c>
      <c r="D456" t="str">
        <f t="shared" si="117"/>
        <v/>
      </c>
      <c r="J456" s="403">
        <f t="shared" si="119"/>
        <v>0</v>
      </c>
      <c r="K456" s="402">
        <f t="shared" si="119"/>
        <v>0</v>
      </c>
      <c r="L456" s="46"/>
      <c r="M456" s="239">
        <f t="shared" si="120"/>
        <v>0</v>
      </c>
      <c r="O456" s="312" t="str">
        <f t="shared" si="118"/>
        <v/>
      </c>
    </row>
    <row r="457" spans="3:15" ht="15" customHeight="1">
      <c r="C457" s="46" t="str">
        <f t="shared" si="116"/>
        <v/>
      </c>
      <c r="D457" t="str">
        <f t="shared" si="117"/>
        <v/>
      </c>
      <c r="J457" s="403">
        <f t="shared" si="119"/>
        <v>0</v>
      </c>
      <c r="K457" s="402">
        <f t="shared" si="119"/>
        <v>0</v>
      </c>
      <c r="L457" s="46"/>
      <c r="M457" s="239">
        <f t="shared" si="120"/>
        <v>0</v>
      </c>
      <c r="O457" s="312" t="str">
        <f t="shared" si="118"/>
        <v/>
      </c>
    </row>
    <row r="458" spans="3:15" ht="15" customHeight="1">
      <c r="C458" s="46" t="str">
        <f t="shared" si="116"/>
        <v/>
      </c>
      <c r="D458" t="str">
        <f t="shared" si="117"/>
        <v/>
      </c>
      <c r="J458" s="403">
        <f t="shared" si="119"/>
        <v>0</v>
      </c>
      <c r="K458" s="402">
        <f t="shared" si="119"/>
        <v>0</v>
      </c>
      <c r="L458" s="46"/>
      <c r="M458" s="239">
        <f t="shared" si="120"/>
        <v>0</v>
      </c>
      <c r="O458" s="312" t="str">
        <f t="shared" si="118"/>
        <v/>
      </c>
    </row>
    <row r="459" spans="3:15" ht="15" customHeight="1">
      <c r="C459" s="46" t="str">
        <f t="shared" si="116"/>
        <v/>
      </c>
      <c r="D459" t="str">
        <f t="shared" si="117"/>
        <v/>
      </c>
      <c r="J459" s="403">
        <f t="shared" si="119"/>
        <v>0</v>
      </c>
      <c r="K459" s="402">
        <f t="shared" si="119"/>
        <v>0</v>
      </c>
      <c r="L459" s="46"/>
      <c r="M459" s="239">
        <f t="shared" si="120"/>
        <v>0</v>
      </c>
      <c r="O459" s="312" t="str">
        <f t="shared" si="118"/>
        <v/>
      </c>
    </row>
    <row r="460" spans="3:15" ht="15" customHeight="1">
      <c r="C460" s="46" t="str">
        <f t="shared" si="116"/>
        <v/>
      </c>
      <c r="D460" t="str">
        <f t="shared" si="117"/>
        <v/>
      </c>
      <c r="J460" s="403">
        <f t="shared" si="119"/>
        <v>0</v>
      </c>
      <c r="K460" s="402">
        <f t="shared" si="119"/>
        <v>0</v>
      </c>
      <c r="L460" s="46"/>
      <c r="M460" s="239">
        <f t="shared" si="120"/>
        <v>0</v>
      </c>
      <c r="O460" s="312" t="str">
        <f t="shared" si="118"/>
        <v/>
      </c>
    </row>
    <row r="461" spans="3:15" ht="15" customHeight="1">
      <c r="C461" s="46" t="str">
        <f t="shared" si="116"/>
        <v/>
      </c>
      <c r="D461" t="str">
        <f t="shared" si="117"/>
        <v/>
      </c>
      <c r="J461" s="403">
        <f t="shared" si="119"/>
        <v>0</v>
      </c>
      <c r="K461" s="402">
        <f t="shared" si="119"/>
        <v>0</v>
      </c>
      <c r="L461" s="46"/>
      <c r="M461" s="239">
        <f t="shared" si="120"/>
        <v>0</v>
      </c>
      <c r="O461" s="312" t="str">
        <f t="shared" si="118"/>
        <v/>
      </c>
    </row>
    <row r="462" spans="3:15" ht="15" customHeight="1">
      <c r="C462" s="46" t="str">
        <f t="shared" si="116"/>
        <v/>
      </c>
      <c r="D462" t="str">
        <f t="shared" si="117"/>
        <v/>
      </c>
      <c r="J462" s="403">
        <f t="shared" si="119"/>
        <v>0</v>
      </c>
      <c r="K462" s="402">
        <f t="shared" si="119"/>
        <v>0</v>
      </c>
      <c r="L462" s="46"/>
      <c r="M462" s="239">
        <f t="shared" si="120"/>
        <v>0</v>
      </c>
      <c r="O462" s="312" t="str">
        <f t="shared" si="118"/>
        <v/>
      </c>
    </row>
    <row r="463" spans="3:15" ht="15" customHeight="1">
      <c r="C463" s="46" t="str">
        <f t="shared" si="116"/>
        <v/>
      </c>
      <c r="D463" t="str">
        <f t="shared" si="117"/>
        <v/>
      </c>
      <c r="J463" s="403">
        <f t="shared" si="119"/>
        <v>0</v>
      </c>
      <c r="K463" s="402">
        <f t="shared" si="119"/>
        <v>0</v>
      </c>
      <c r="L463" s="46"/>
      <c r="M463" s="239">
        <f t="shared" si="120"/>
        <v>0</v>
      </c>
      <c r="O463" s="312" t="str">
        <f t="shared" si="118"/>
        <v/>
      </c>
    </row>
    <row r="464" spans="3:15" ht="15" customHeight="1">
      <c r="C464" s="46" t="str">
        <f t="shared" si="116"/>
        <v/>
      </c>
      <c r="D464" t="str">
        <f t="shared" si="117"/>
        <v/>
      </c>
      <c r="J464" s="403">
        <f t="shared" si="119"/>
        <v>0</v>
      </c>
      <c r="K464" s="402">
        <f t="shared" si="119"/>
        <v>0</v>
      </c>
      <c r="L464" s="46"/>
      <c r="M464" s="239">
        <f t="shared" si="120"/>
        <v>0</v>
      </c>
      <c r="O464" s="312" t="str">
        <f t="shared" si="118"/>
        <v/>
      </c>
    </row>
    <row r="465" spans="3:15" ht="15" customHeight="1">
      <c r="C465" s="46" t="str">
        <f t="shared" si="116"/>
        <v/>
      </c>
      <c r="D465" t="str">
        <f t="shared" si="117"/>
        <v/>
      </c>
      <c r="J465" s="403">
        <f t="shared" si="119"/>
        <v>0</v>
      </c>
      <c r="K465" s="402">
        <f t="shared" si="119"/>
        <v>0</v>
      </c>
      <c r="L465" s="46"/>
      <c r="M465" s="239">
        <f t="shared" si="120"/>
        <v>0</v>
      </c>
      <c r="O465" s="312" t="str">
        <f t="shared" si="118"/>
        <v/>
      </c>
    </row>
    <row r="466" spans="3:15" ht="15" customHeight="1">
      <c r="C466" s="46" t="str">
        <f t="shared" si="116"/>
        <v/>
      </c>
      <c r="D466" t="str">
        <f t="shared" si="117"/>
        <v/>
      </c>
      <c r="J466" s="403">
        <f t="shared" si="119"/>
        <v>0</v>
      </c>
      <c r="K466" s="402">
        <f t="shared" si="119"/>
        <v>0</v>
      </c>
      <c r="L466" s="46"/>
      <c r="M466" s="239">
        <f t="shared" si="120"/>
        <v>0</v>
      </c>
      <c r="O466" s="312" t="str">
        <f t="shared" si="118"/>
        <v/>
      </c>
    </row>
    <row r="467" spans="3:15" ht="15" customHeight="1">
      <c r="C467" s="46" t="str">
        <f t="shared" si="116"/>
        <v/>
      </c>
      <c r="D467" t="str">
        <f t="shared" si="117"/>
        <v/>
      </c>
      <c r="J467" s="403">
        <f t="shared" si="119"/>
        <v>0</v>
      </c>
      <c r="K467" s="402">
        <f t="shared" si="119"/>
        <v>0</v>
      </c>
      <c r="L467" s="46"/>
      <c r="M467" s="239">
        <f t="shared" si="120"/>
        <v>0</v>
      </c>
      <c r="O467" s="312" t="str">
        <f t="shared" si="118"/>
        <v/>
      </c>
    </row>
    <row r="468" spans="3:15" ht="15" customHeight="1">
      <c r="C468" s="46" t="str">
        <f t="shared" si="116"/>
        <v/>
      </c>
      <c r="D468" t="str">
        <f t="shared" si="117"/>
        <v/>
      </c>
      <c r="J468" s="403">
        <f t="shared" si="119"/>
        <v>0</v>
      </c>
      <c r="K468" s="402">
        <f t="shared" si="119"/>
        <v>0</v>
      </c>
      <c r="L468" s="46"/>
      <c r="M468" s="239">
        <f t="shared" si="120"/>
        <v>0</v>
      </c>
      <c r="O468" s="312" t="str">
        <f t="shared" si="118"/>
        <v/>
      </c>
    </row>
    <row r="469" spans="3:15" ht="15" customHeight="1">
      <c r="C469" s="46" t="str">
        <f t="shared" si="116"/>
        <v/>
      </c>
      <c r="D469" t="str">
        <f t="shared" si="117"/>
        <v/>
      </c>
      <c r="J469" s="403">
        <f t="shared" si="119"/>
        <v>0</v>
      </c>
      <c r="K469" s="402">
        <f t="shared" si="119"/>
        <v>0</v>
      </c>
      <c r="L469" s="46"/>
      <c r="M469" s="239">
        <f t="shared" si="120"/>
        <v>0</v>
      </c>
      <c r="O469" s="312" t="str">
        <f t="shared" si="118"/>
        <v/>
      </c>
    </row>
    <row r="470" spans="3:15" ht="15" customHeight="1">
      <c r="C470" s="46" t="str">
        <f t="shared" ref="C470:C533" si="121">IF(B470&lt;&gt;"",PROPER(TEXT(B470,"mmmm")),"")</f>
        <v/>
      </c>
      <c r="D470" t="str">
        <f t="shared" ref="D470:D533" si="122">IF(B470="","",YEAR(B470))</f>
        <v/>
      </c>
      <c r="J470" s="403">
        <f t="shared" si="119"/>
        <v>0</v>
      </c>
      <c r="K470" s="402">
        <f t="shared" si="119"/>
        <v>0</v>
      </c>
      <c r="L470" s="46"/>
      <c r="M470" s="239">
        <f t="shared" si="120"/>
        <v>0</v>
      </c>
      <c r="O470" s="312" t="str">
        <f t="shared" ref="O470:O533" si="123">IF(N470&lt;&gt;"",TEXT(N470,"mmmm"),"")</f>
        <v/>
      </c>
    </row>
    <row r="471" spans="3:15" ht="15" customHeight="1">
      <c r="C471" s="46" t="str">
        <f t="shared" si="121"/>
        <v/>
      </c>
      <c r="D471" t="str">
        <f t="shared" si="122"/>
        <v/>
      </c>
      <c r="J471" s="403">
        <f t="shared" ref="J471:K534" si="124">I471</f>
        <v>0</v>
      </c>
      <c r="K471" s="402">
        <f t="shared" si="124"/>
        <v>0</v>
      </c>
      <c r="L471" s="46"/>
      <c r="M471" s="239">
        <f t="shared" ref="M471:M534" si="125">J471</f>
        <v>0</v>
      </c>
      <c r="O471" s="312" t="str">
        <f t="shared" si="123"/>
        <v/>
      </c>
    </row>
    <row r="472" spans="3:15" ht="15" customHeight="1">
      <c r="C472" s="46" t="str">
        <f t="shared" si="121"/>
        <v/>
      </c>
      <c r="D472" t="str">
        <f t="shared" si="122"/>
        <v/>
      </c>
      <c r="J472" s="403">
        <f t="shared" si="124"/>
        <v>0</v>
      </c>
      <c r="K472" s="402">
        <f t="shared" si="124"/>
        <v>0</v>
      </c>
      <c r="L472" s="46"/>
      <c r="M472" s="239">
        <f t="shared" si="125"/>
        <v>0</v>
      </c>
      <c r="O472" s="312" t="str">
        <f t="shared" si="123"/>
        <v/>
      </c>
    </row>
    <row r="473" spans="3:15" ht="15" customHeight="1">
      <c r="C473" s="46" t="str">
        <f t="shared" si="121"/>
        <v/>
      </c>
      <c r="D473" t="str">
        <f t="shared" si="122"/>
        <v/>
      </c>
      <c r="J473" s="403">
        <f t="shared" si="124"/>
        <v>0</v>
      </c>
      <c r="K473" s="402">
        <f t="shared" si="124"/>
        <v>0</v>
      </c>
      <c r="L473" s="46"/>
      <c r="M473" s="239">
        <f t="shared" si="125"/>
        <v>0</v>
      </c>
      <c r="O473" s="312" t="str">
        <f t="shared" si="123"/>
        <v/>
      </c>
    </row>
    <row r="474" spans="3:15" ht="15" customHeight="1">
      <c r="C474" s="46" t="str">
        <f t="shared" si="121"/>
        <v/>
      </c>
      <c r="D474" t="str">
        <f t="shared" si="122"/>
        <v/>
      </c>
      <c r="J474" s="403">
        <f t="shared" si="124"/>
        <v>0</v>
      </c>
      <c r="K474" s="402">
        <f t="shared" si="124"/>
        <v>0</v>
      </c>
      <c r="L474" s="46"/>
      <c r="M474" s="239">
        <f t="shared" si="125"/>
        <v>0</v>
      </c>
      <c r="O474" s="312" t="str">
        <f t="shared" si="123"/>
        <v/>
      </c>
    </row>
    <row r="475" spans="3:15" ht="15" customHeight="1">
      <c r="C475" s="46" t="str">
        <f t="shared" si="121"/>
        <v/>
      </c>
      <c r="D475" t="str">
        <f t="shared" si="122"/>
        <v/>
      </c>
      <c r="J475" s="403">
        <f t="shared" si="124"/>
        <v>0</v>
      </c>
      <c r="K475" s="402">
        <f t="shared" si="124"/>
        <v>0</v>
      </c>
      <c r="L475" s="46"/>
      <c r="M475" s="239">
        <f t="shared" si="125"/>
        <v>0</v>
      </c>
      <c r="O475" s="312" t="str">
        <f t="shared" si="123"/>
        <v/>
      </c>
    </row>
    <row r="476" spans="3:15" ht="15" customHeight="1">
      <c r="C476" s="46" t="str">
        <f t="shared" si="121"/>
        <v/>
      </c>
      <c r="D476" t="str">
        <f t="shared" si="122"/>
        <v/>
      </c>
      <c r="J476" s="403">
        <f t="shared" si="124"/>
        <v>0</v>
      </c>
      <c r="K476" s="402">
        <f t="shared" si="124"/>
        <v>0</v>
      </c>
      <c r="L476" s="46"/>
      <c r="M476" s="239">
        <f t="shared" si="125"/>
        <v>0</v>
      </c>
      <c r="O476" s="312" t="str">
        <f t="shared" si="123"/>
        <v/>
      </c>
    </row>
    <row r="477" spans="3:15" ht="15" customHeight="1">
      <c r="C477" s="46" t="str">
        <f t="shared" si="121"/>
        <v/>
      </c>
      <c r="D477" t="str">
        <f t="shared" si="122"/>
        <v/>
      </c>
      <c r="J477" s="403">
        <f t="shared" si="124"/>
        <v>0</v>
      </c>
      <c r="K477" s="402">
        <f t="shared" si="124"/>
        <v>0</v>
      </c>
      <c r="L477" s="46"/>
      <c r="M477" s="239">
        <f t="shared" si="125"/>
        <v>0</v>
      </c>
      <c r="O477" s="312" t="str">
        <f t="shared" si="123"/>
        <v/>
      </c>
    </row>
    <row r="478" spans="3:15" ht="15" customHeight="1">
      <c r="C478" s="46" t="str">
        <f t="shared" si="121"/>
        <v/>
      </c>
      <c r="D478" t="str">
        <f t="shared" si="122"/>
        <v/>
      </c>
      <c r="J478" s="403">
        <f t="shared" si="124"/>
        <v>0</v>
      </c>
      <c r="K478" s="402">
        <f t="shared" si="124"/>
        <v>0</v>
      </c>
      <c r="L478" s="46"/>
      <c r="M478" s="239">
        <f t="shared" si="125"/>
        <v>0</v>
      </c>
      <c r="O478" s="312" t="str">
        <f t="shared" si="123"/>
        <v/>
      </c>
    </row>
    <row r="479" spans="3:15" ht="15" customHeight="1">
      <c r="C479" s="46" t="str">
        <f t="shared" si="121"/>
        <v/>
      </c>
      <c r="D479" t="str">
        <f t="shared" si="122"/>
        <v/>
      </c>
      <c r="J479" s="403">
        <f t="shared" si="124"/>
        <v>0</v>
      </c>
      <c r="K479" s="402">
        <f t="shared" si="124"/>
        <v>0</v>
      </c>
      <c r="L479" s="46"/>
      <c r="M479" s="239">
        <f t="shared" si="125"/>
        <v>0</v>
      </c>
      <c r="O479" s="312" t="str">
        <f t="shared" si="123"/>
        <v/>
      </c>
    </row>
    <row r="480" spans="3:15" ht="15" customHeight="1">
      <c r="C480" s="46" t="str">
        <f t="shared" si="121"/>
        <v/>
      </c>
      <c r="D480" t="str">
        <f t="shared" si="122"/>
        <v/>
      </c>
      <c r="J480" s="403">
        <f t="shared" si="124"/>
        <v>0</v>
      </c>
      <c r="K480" s="402">
        <f t="shared" si="124"/>
        <v>0</v>
      </c>
      <c r="L480" s="46"/>
      <c r="M480" s="239">
        <f t="shared" si="125"/>
        <v>0</v>
      </c>
      <c r="O480" s="312" t="str">
        <f t="shared" si="123"/>
        <v/>
      </c>
    </row>
    <row r="481" spans="3:15" ht="15" customHeight="1">
      <c r="C481" s="46" t="str">
        <f t="shared" si="121"/>
        <v/>
      </c>
      <c r="D481" t="str">
        <f t="shared" si="122"/>
        <v/>
      </c>
      <c r="J481" s="403">
        <f t="shared" si="124"/>
        <v>0</v>
      </c>
      <c r="K481" s="402">
        <f t="shared" si="124"/>
        <v>0</v>
      </c>
      <c r="L481" s="46"/>
      <c r="M481" s="239">
        <f t="shared" si="125"/>
        <v>0</v>
      </c>
      <c r="O481" s="312" t="str">
        <f t="shared" si="123"/>
        <v/>
      </c>
    </row>
    <row r="482" spans="3:15" ht="15" customHeight="1">
      <c r="C482" s="46" t="str">
        <f t="shared" si="121"/>
        <v/>
      </c>
      <c r="D482" t="str">
        <f t="shared" si="122"/>
        <v/>
      </c>
      <c r="J482" s="403">
        <f t="shared" si="124"/>
        <v>0</v>
      </c>
      <c r="K482" s="402">
        <f t="shared" si="124"/>
        <v>0</v>
      </c>
      <c r="L482" s="46"/>
      <c r="M482" s="239">
        <f t="shared" si="125"/>
        <v>0</v>
      </c>
      <c r="O482" s="312" t="str">
        <f t="shared" si="123"/>
        <v/>
      </c>
    </row>
    <row r="483" spans="3:15" ht="15" customHeight="1">
      <c r="C483" s="46" t="str">
        <f t="shared" si="121"/>
        <v/>
      </c>
      <c r="D483" t="str">
        <f t="shared" si="122"/>
        <v/>
      </c>
      <c r="J483" s="403">
        <f t="shared" si="124"/>
        <v>0</v>
      </c>
      <c r="K483" s="402">
        <f t="shared" si="124"/>
        <v>0</v>
      </c>
      <c r="L483" s="46"/>
      <c r="M483" s="239">
        <f t="shared" si="125"/>
        <v>0</v>
      </c>
      <c r="O483" s="312" t="str">
        <f t="shared" si="123"/>
        <v/>
      </c>
    </row>
    <row r="484" spans="3:15" ht="15" customHeight="1">
      <c r="C484" s="46" t="str">
        <f t="shared" si="121"/>
        <v/>
      </c>
      <c r="D484" t="str">
        <f t="shared" si="122"/>
        <v/>
      </c>
      <c r="J484" s="403">
        <f t="shared" si="124"/>
        <v>0</v>
      </c>
      <c r="K484" s="402">
        <f t="shared" si="124"/>
        <v>0</v>
      </c>
      <c r="L484" s="46"/>
      <c r="M484" s="239">
        <f t="shared" si="125"/>
        <v>0</v>
      </c>
      <c r="O484" s="312" t="str">
        <f t="shared" si="123"/>
        <v/>
      </c>
    </row>
    <row r="485" spans="3:15" ht="15" customHeight="1">
      <c r="C485" s="46" t="str">
        <f t="shared" si="121"/>
        <v/>
      </c>
      <c r="D485" t="str">
        <f t="shared" si="122"/>
        <v/>
      </c>
      <c r="J485" s="403">
        <f t="shared" si="124"/>
        <v>0</v>
      </c>
      <c r="K485" s="402">
        <f t="shared" si="124"/>
        <v>0</v>
      </c>
      <c r="L485" s="46"/>
      <c r="M485" s="239">
        <f t="shared" si="125"/>
        <v>0</v>
      </c>
      <c r="O485" s="312" t="str">
        <f t="shared" si="123"/>
        <v/>
      </c>
    </row>
    <row r="486" spans="3:15" ht="15" customHeight="1">
      <c r="C486" s="46" t="str">
        <f t="shared" si="121"/>
        <v/>
      </c>
      <c r="D486" t="str">
        <f t="shared" si="122"/>
        <v/>
      </c>
      <c r="J486" s="403">
        <f t="shared" si="124"/>
        <v>0</v>
      </c>
      <c r="K486" s="402">
        <f t="shared" si="124"/>
        <v>0</v>
      </c>
      <c r="L486" s="46"/>
      <c r="M486" s="239">
        <f t="shared" si="125"/>
        <v>0</v>
      </c>
      <c r="O486" s="312" t="str">
        <f t="shared" si="123"/>
        <v/>
      </c>
    </row>
    <row r="487" spans="3:15" ht="15" customHeight="1">
      <c r="C487" s="46" t="str">
        <f t="shared" si="121"/>
        <v/>
      </c>
      <c r="D487" t="str">
        <f t="shared" si="122"/>
        <v/>
      </c>
      <c r="J487" s="403">
        <f t="shared" si="124"/>
        <v>0</v>
      </c>
      <c r="K487" s="402">
        <f t="shared" si="124"/>
        <v>0</v>
      </c>
      <c r="L487" s="46"/>
      <c r="M487" s="239">
        <f t="shared" si="125"/>
        <v>0</v>
      </c>
      <c r="O487" s="312" t="str">
        <f t="shared" si="123"/>
        <v/>
      </c>
    </row>
    <row r="488" spans="3:15" ht="15" customHeight="1">
      <c r="C488" s="46" t="str">
        <f t="shared" si="121"/>
        <v/>
      </c>
      <c r="D488" t="str">
        <f t="shared" si="122"/>
        <v/>
      </c>
      <c r="J488" s="403">
        <f t="shared" si="124"/>
        <v>0</v>
      </c>
      <c r="K488" s="402">
        <f t="shared" si="124"/>
        <v>0</v>
      </c>
      <c r="L488" s="46"/>
      <c r="M488" s="239">
        <f t="shared" si="125"/>
        <v>0</v>
      </c>
      <c r="O488" s="312" t="str">
        <f t="shared" si="123"/>
        <v/>
      </c>
    </row>
    <row r="489" spans="3:15" ht="15" customHeight="1">
      <c r="C489" s="46" t="str">
        <f t="shared" si="121"/>
        <v/>
      </c>
      <c r="D489" t="str">
        <f t="shared" si="122"/>
        <v/>
      </c>
      <c r="J489" s="403">
        <f t="shared" si="124"/>
        <v>0</v>
      </c>
      <c r="K489" s="402">
        <f t="shared" si="124"/>
        <v>0</v>
      </c>
      <c r="L489" s="46"/>
      <c r="M489" s="239">
        <f t="shared" si="125"/>
        <v>0</v>
      </c>
      <c r="O489" s="312" t="str">
        <f t="shared" si="123"/>
        <v/>
      </c>
    </row>
    <row r="490" spans="3:15" ht="15" customHeight="1">
      <c r="C490" s="46" t="str">
        <f t="shared" si="121"/>
        <v/>
      </c>
      <c r="D490" t="str">
        <f t="shared" si="122"/>
        <v/>
      </c>
      <c r="J490" s="403">
        <f t="shared" si="124"/>
        <v>0</v>
      </c>
      <c r="K490" s="402">
        <f t="shared" si="124"/>
        <v>0</v>
      </c>
      <c r="L490" s="46"/>
      <c r="M490" s="239">
        <f t="shared" si="125"/>
        <v>0</v>
      </c>
      <c r="O490" s="312" t="str">
        <f t="shared" si="123"/>
        <v/>
      </c>
    </row>
    <row r="491" spans="3:15" ht="15" customHeight="1">
      <c r="C491" s="46" t="str">
        <f t="shared" si="121"/>
        <v/>
      </c>
      <c r="D491" t="str">
        <f t="shared" si="122"/>
        <v/>
      </c>
      <c r="J491" s="403">
        <f t="shared" si="124"/>
        <v>0</v>
      </c>
      <c r="K491" s="402">
        <f t="shared" si="124"/>
        <v>0</v>
      </c>
      <c r="L491" s="46"/>
      <c r="M491" s="239">
        <f t="shared" si="125"/>
        <v>0</v>
      </c>
      <c r="O491" s="312" t="str">
        <f t="shared" si="123"/>
        <v/>
      </c>
    </row>
    <row r="492" spans="3:15" ht="15" customHeight="1">
      <c r="C492" s="46" t="str">
        <f t="shared" si="121"/>
        <v/>
      </c>
      <c r="D492" t="str">
        <f t="shared" si="122"/>
        <v/>
      </c>
      <c r="J492" s="403">
        <f t="shared" si="124"/>
        <v>0</v>
      </c>
      <c r="K492" s="402">
        <f t="shared" si="124"/>
        <v>0</v>
      </c>
      <c r="L492" s="46"/>
      <c r="M492" s="239">
        <f t="shared" si="125"/>
        <v>0</v>
      </c>
      <c r="O492" s="312" t="str">
        <f t="shared" si="123"/>
        <v/>
      </c>
    </row>
    <row r="493" spans="3:15" ht="15" customHeight="1">
      <c r="C493" s="46" t="str">
        <f t="shared" si="121"/>
        <v/>
      </c>
      <c r="D493" t="str">
        <f t="shared" si="122"/>
        <v/>
      </c>
      <c r="J493" s="403">
        <f t="shared" si="124"/>
        <v>0</v>
      </c>
      <c r="K493" s="402">
        <f t="shared" si="124"/>
        <v>0</v>
      </c>
      <c r="L493" s="46"/>
      <c r="M493" s="239">
        <f t="shared" si="125"/>
        <v>0</v>
      </c>
      <c r="O493" s="312" t="str">
        <f t="shared" si="123"/>
        <v/>
      </c>
    </row>
    <row r="494" spans="3:15" ht="15" customHeight="1">
      <c r="C494" s="46" t="str">
        <f t="shared" si="121"/>
        <v/>
      </c>
      <c r="D494" t="str">
        <f t="shared" si="122"/>
        <v/>
      </c>
      <c r="J494" s="403">
        <f t="shared" si="124"/>
        <v>0</v>
      </c>
      <c r="K494" s="402">
        <f t="shared" si="124"/>
        <v>0</v>
      </c>
      <c r="L494" s="46"/>
      <c r="M494" s="239">
        <f t="shared" si="125"/>
        <v>0</v>
      </c>
      <c r="O494" s="312" t="str">
        <f t="shared" si="123"/>
        <v/>
      </c>
    </row>
    <row r="495" spans="3:15" ht="15" customHeight="1">
      <c r="C495" s="46" t="str">
        <f t="shared" si="121"/>
        <v/>
      </c>
      <c r="D495" t="str">
        <f t="shared" si="122"/>
        <v/>
      </c>
      <c r="J495" s="403">
        <f t="shared" si="124"/>
        <v>0</v>
      </c>
      <c r="K495" s="402">
        <f t="shared" si="124"/>
        <v>0</v>
      </c>
      <c r="L495" s="46"/>
      <c r="M495" s="239">
        <f t="shared" si="125"/>
        <v>0</v>
      </c>
      <c r="O495" s="312" t="str">
        <f t="shared" si="123"/>
        <v/>
      </c>
    </row>
    <row r="496" spans="3:15" ht="15" customHeight="1">
      <c r="C496" s="46" t="str">
        <f t="shared" si="121"/>
        <v/>
      </c>
      <c r="D496" t="str">
        <f t="shared" si="122"/>
        <v/>
      </c>
      <c r="J496" s="403">
        <f t="shared" si="124"/>
        <v>0</v>
      </c>
      <c r="K496" s="402">
        <f t="shared" si="124"/>
        <v>0</v>
      </c>
      <c r="L496" s="46"/>
      <c r="M496" s="239">
        <f t="shared" si="125"/>
        <v>0</v>
      </c>
      <c r="O496" s="312" t="str">
        <f t="shared" si="123"/>
        <v/>
      </c>
    </row>
    <row r="497" spans="3:15" ht="15" customHeight="1">
      <c r="C497" s="46" t="str">
        <f t="shared" si="121"/>
        <v/>
      </c>
      <c r="D497" t="str">
        <f t="shared" si="122"/>
        <v/>
      </c>
      <c r="J497" s="403">
        <f t="shared" si="124"/>
        <v>0</v>
      </c>
      <c r="K497" s="402">
        <f t="shared" si="124"/>
        <v>0</v>
      </c>
      <c r="L497" s="46"/>
      <c r="M497" s="239">
        <f t="shared" si="125"/>
        <v>0</v>
      </c>
      <c r="O497" s="312" t="str">
        <f t="shared" si="123"/>
        <v/>
      </c>
    </row>
    <row r="498" spans="3:15" ht="15" customHeight="1">
      <c r="C498" s="46" t="str">
        <f t="shared" si="121"/>
        <v/>
      </c>
      <c r="D498" t="str">
        <f t="shared" si="122"/>
        <v/>
      </c>
      <c r="J498" s="403">
        <f t="shared" si="124"/>
        <v>0</v>
      </c>
      <c r="K498" s="402">
        <f t="shared" si="124"/>
        <v>0</v>
      </c>
      <c r="L498" s="46"/>
      <c r="M498" s="239">
        <f t="shared" si="125"/>
        <v>0</v>
      </c>
      <c r="O498" s="312" t="str">
        <f t="shared" si="123"/>
        <v/>
      </c>
    </row>
    <row r="499" spans="3:15" ht="15" customHeight="1">
      <c r="C499" s="46" t="str">
        <f t="shared" si="121"/>
        <v/>
      </c>
      <c r="D499" t="str">
        <f t="shared" si="122"/>
        <v/>
      </c>
      <c r="J499" s="403">
        <f t="shared" si="124"/>
        <v>0</v>
      </c>
      <c r="K499" s="402">
        <f t="shared" si="124"/>
        <v>0</v>
      </c>
      <c r="L499" s="46"/>
      <c r="M499" s="239">
        <f t="shared" si="125"/>
        <v>0</v>
      </c>
      <c r="O499" s="312" t="str">
        <f t="shared" si="123"/>
        <v/>
      </c>
    </row>
    <row r="500" spans="3:15" ht="15" customHeight="1">
      <c r="C500" s="46" t="str">
        <f t="shared" si="121"/>
        <v/>
      </c>
      <c r="D500" t="str">
        <f t="shared" si="122"/>
        <v/>
      </c>
      <c r="J500" s="403">
        <f t="shared" si="124"/>
        <v>0</v>
      </c>
      <c r="K500" s="402">
        <f t="shared" si="124"/>
        <v>0</v>
      </c>
      <c r="L500" s="46"/>
      <c r="M500" s="239">
        <f t="shared" si="125"/>
        <v>0</v>
      </c>
      <c r="O500" s="312" t="str">
        <f t="shared" si="123"/>
        <v/>
      </c>
    </row>
    <row r="501" spans="3:15" ht="15" customHeight="1">
      <c r="C501" s="46" t="str">
        <f t="shared" si="121"/>
        <v/>
      </c>
      <c r="D501" t="str">
        <f t="shared" si="122"/>
        <v/>
      </c>
      <c r="J501" s="403">
        <f t="shared" si="124"/>
        <v>0</v>
      </c>
      <c r="K501" s="402">
        <f t="shared" si="124"/>
        <v>0</v>
      </c>
      <c r="L501" s="46"/>
      <c r="M501" s="239">
        <f t="shared" si="125"/>
        <v>0</v>
      </c>
      <c r="O501" s="312" t="str">
        <f t="shared" si="123"/>
        <v/>
      </c>
    </row>
    <row r="502" spans="3:15" ht="15" customHeight="1">
      <c r="C502" s="46" t="str">
        <f t="shared" si="121"/>
        <v/>
      </c>
      <c r="D502" t="str">
        <f t="shared" si="122"/>
        <v/>
      </c>
      <c r="J502" s="403">
        <f t="shared" si="124"/>
        <v>0</v>
      </c>
      <c r="K502" s="402">
        <f t="shared" si="124"/>
        <v>0</v>
      </c>
      <c r="L502" s="46"/>
      <c r="M502" s="239">
        <f t="shared" si="125"/>
        <v>0</v>
      </c>
      <c r="O502" s="312" t="str">
        <f t="shared" si="123"/>
        <v/>
      </c>
    </row>
    <row r="503" spans="3:15" ht="15" customHeight="1">
      <c r="C503" s="46" t="str">
        <f t="shared" si="121"/>
        <v/>
      </c>
      <c r="D503" t="str">
        <f t="shared" si="122"/>
        <v/>
      </c>
      <c r="J503" s="403">
        <f t="shared" si="124"/>
        <v>0</v>
      </c>
      <c r="K503" s="402">
        <f t="shared" si="124"/>
        <v>0</v>
      </c>
      <c r="L503" s="46"/>
      <c r="M503" s="239">
        <f t="shared" si="125"/>
        <v>0</v>
      </c>
      <c r="O503" s="312" t="str">
        <f t="shared" si="123"/>
        <v/>
      </c>
    </row>
    <row r="504" spans="3:15" ht="15" customHeight="1">
      <c r="C504" s="46" t="str">
        <f t="shared" si="121"/>
        <v/>
      </c>
      <c r="D504" t="str">
        <f t="shared" si="122"/>
        <v/>
      </c>
      <c r="J504" s="403">
        <f t="shared" si="124"/>
        <v>0</v>
      </c>
      <c r="K504" s="402">
        <f t="shared" si="124"/>
        <v>0</v>
      </c>
      <c r="L504" s="46"/>
      <c r="M504" s="239">
        <f t="shared" si="125"/>
        <v>0</v>
      </c>
      <c r="O504" s="312" t="str">
        <f t="shared" si="123"/>
        <v/>
      </c>
    </row>
    <row r="505" spans="3:15" ht="15" customHeight="1">
      <c r="C505" s="46" t="str">
        <f t="shared" si="121"/>
        <v/>
      </c>
      <c r="D505" t="str">
        <f t="shared" si="122"/>
        <v/>
      </c>
      <c r="J505" s="403">
        <f t="shared" si="124"/>
        <v>0</v>
      </c>
      <c r="K505" s="402">
        <f t="shared" si="124"/>
        <v>0</v>
      </c>
      <c r="L505" s="46"/>
      <c r="M505" s="239">
        <f t="shared" si="125"/>
        <v>0</v>
      </c>
      <c r="O505" s="312" t="str">
        <f t="shared" si="123"/>
        <v/>
      </c>
    </row>
    <row r="506" spans="3:15" ht="15" customHeight="1">
      <c r="C506" s="46" t="str">
        <f t="shared" si="121"/>
        <v/>
      </c>
      <c r="D506" t="str">
        <f t="shared" si="122"/>
        <v/>
      </c>
      <c r="J506" s="403">
        <f t="shared" si="124"/>
        <v>0</v>
      </c>
      <c r="K506" s="402">
        <f t="shared" si="124"/>
        <v>0</v>
      </c>
      <c r="L506" s="46"/>
      <c r="M506" s="239">
        <f t="shared" si="125"/>
        <v>0</v>
      </c>
      <c r="O506" s="312" t="str">
        <f t="shared" si="123"/>
        <v/>
      </c>
    </row>
    <row r="507" spans="3:15" ht="15" customHeight="1">
      <c r="C507" s="46" t="str">
        <f t="shared" si="121"/>
        <v/>
      </c>
      <c r="D507" t="str">
        <f t="shared" si="122"/>
        <v/>
      </c>
      <c r="J507" s="403">
        <f t="shared" si="124"/>
        <v>0</v>
      </c>
      <c r="K507" s="402">
        <f t="shared" si="124"/>
        <v>0</v>
      </c>
      <c r="L507" s="46"/>
      <c r="M507" s="239">
        <f t="shared" si="125"/>
        <v>0</v>
      </c>
      <c r="O507" s="312" t="str">
        <f t="shared" si="123"/>
        <v/>
      </c>
    </row>
    <row r="508" spans="3:15" ht="15" customHeight="1">
      <c r="C508" s="46" t="str">
        <f t="shared" si="121"/>
        <v/>
      </c>
      <c r="D508" t="str">
        <f t="shared" si="122"/>
        <v/>
      </c>
      <c r="J508" s="403">
        <f t="shared" si="124"/>
        <v>0</v>
      </c>
      <c r="K508" s="402">
        <f t="shared" si="124"/>
        <v>0</v>
      </c>
      <c r="L508" s="46"/>
      <c r="M508" s="239">
        <f t="shared" si="125"/>
        <v>0</v>
      </c>
      <c r="O508" s="312" t="str">
        <f t="shared" si="123"/>
        <v/>
      </c>
    </row>
    <row r="509" spans="3:15" ht="15" customHeight="1">
      <c r="C509" s="46" t="str">
        <f t="shared" si="121"/>
        <v/>
      </c>
      <c r="D509" t="str">
        <f t="shared" si="122"/>
        <v/>
      </c>
      <c r="J509" s="403">
        <f t="shared" si="124"/>
        <v>0</v>
      </c>
      <c r="K509" s="402">
        <f t="shared" si="124"/>
        <v>0</v>
      </c>
      <c r="L509" s="46"/>
      <c r="M509" s="239">
        <f t="shared" si="125"/>
        <v>0</v>
      </c>
      <c r="O509" s="312" t="str">
        <f t="shared" si="123"/>
        <v/>
      </c>
    </row>
    <row r="510" spans="3:15" ht="15" customHeight="1">
      <c r="C510" s="46" t="str">
        <f t="shared" si="121"/>
        <v/>
      </c>
      <c r="D510" t="str">
        <f t="shared" si="122"/>
        <v/>
      </c>
      <c r="J510" s="403">
        <f t="shared" si="124"/>
        <v>0</v>
      </c>
      <c r="K510" s="402">
        <f t="shared" si="124"/>
        <v>0</v>
      </c>
      <c r="L510" s="46"/>
      <c r="M510" s="239">
        <f t="shared" si="125"/>
        <v>0</v>
      </c>
      <c r="O510" s="312" t="str">
        <f t="shared" si="123"/>
        <v/>
      </c>
    </row>
    <row r="511" spans="3:15" ht="15" customHeight="1">
      <c r="C511" s="46" t="str">
        <f t="shared" si="121"/>
        <v/>
      </c>
      <c r="D511" t="str">
        <f t="shared" si="122"/>
        <v/>
      </c>
      <c r="J511" s="403">
        <f t="shared" si="124"/>
        <v>0</v>
      </c>
      <c r="K511" s="402">
        <f t="shared" si="124"/>
        <v>0</v>
      </c>
      <c r="L511" s="46"/>
      <c r="M511" s="239">
        <f t="shared" si="125"/>
        <v>0</v>
      </c>
      <c r="O511" s="312" t="str">
        <f t="shared" si="123"/>
        <v/>
      </c>
    </row>
    <row r="512" spans="3:15" ht="15" customHeight="1">
      <c r="C512" s="46" t="str">
        <f t="shared" si="121"/>
        <v/>
      </c>
      <c r="D512" t="str">
        <f t="shared" si="122"/>
        <v/>
      </c>
      <c r="J512" s="403">
        <f t="shared" si="124"/>
        <v>0</v>
      </c>
      <c r="K512" s="402">
        <f t="shared" si="124"/>
        <v>0</v>
      </c>
      <c r="L512" s="46"/>
      <c r="M512" s="239">
        <f t="shared" si="125"/>
        <v>0</v>
      </c>
      <c r="O512" s="312" t="str">
        <f t="shared" si="123"/>
        <v/>
      </c>
    </row>
    <row r="513" spans="3:15" ht="15" customHeight="1">
      <c r="C513" s="46" t="str">
        <f t="shared" si="121"/>
        <v/>
      </c>
      <c r="D513" t="str">
        <f t="shared" si="122"/>
        <v/>
      </c>
      <c r="J513" s="403">
        <f t="shared" si="124"/>
        <v>0</v>
      </c>
      <c r="K513" s="402">
        <f t="shared" si="124"/>
        <v>0</v>
      </c>
      <c r="L513" s="46"/>
      <c r="M513" s="239">
        <f t="shared" si="125"/>
        <v>0</v>
      </c>
      <c r="O513" s="312" t="str">
        <f t="shared" si="123"/>
        <v/>
      </c>
    </row>
    <row r="514" spans="3:15" ht="15" customHeight="1">
      <c r="C514" s="46" t="str">
        <f t="shared" si="121"/>
        <v/>
      </c>
      <c r="D514" t="str">
        <f t="shared" si="122"/>
        <v/>
      </c>
      <c r="J514" s="403">
        <f t="shared" si="124"/>
        <v>0</v>
      </c>
      <c r="K514" s="402">
        <f t="shared" si="124"/>
        <v>0</v>
      </c>
      <c r="L514" s="46"/>
      <c r="M514" s="239">
        <f t="shared" si="125"/>
        <v>0</v>
      </c>
      <c r="O514" s="312" t="str">
        <f t="shared" si="123"/>
        <v/>
      </c>
    </row>
    <row r="515" spans="3:15" ht="15" customHeight="1">
      <c r="C515" s="46" t="str">
        <f t="shared" si="121"/>
        <v/>
      </c>
      <c r="D515" t="str">
        <f t="shared" si="122"/>
        <v/>
      </c>
      <c r="J515" s="403">
        <f t="shared" si="124"/>
        <v>0</v>
      </c>
      <c r="K515" s="402">
        <f t="shared" si="124"/>
        <v>0</v>
      </c>
      <c r="L515" s="46"/>
      <c r="M515" s="239">
        <f t="shared" si="125"/>
        <v>0</v>
      </c>
      <c r="O515" s="312" t="str">
        <f t="shared" si="123"/>
        <v/>
      </c>
    </row>
    <row r="516" spans="3:15" ht="15" customHeight="1">
      <c r="C516" s="46" t="str">
        <f t="shared" si="121"/>
        <v/>
      </c>
      <c r="D516" t="str">
        <f t="shared" si="122"/>
        <v/>
      </c>
      <c r="J516" s="403">
        <f t="shared" si="124"/>
        <v>0</v>
      </c>
      <c r="K516" s="402">
        <f t="shared" si="124"/>
        <v>0</v>
      </c>
      <c r="L516" s="46"/>
      <c r="M516" s="239">
        <f t="shared" si="125"/>
        <v>0</v>
      </c>
      <c r="O516" s="312" t="str">
        <f t="shared" si="123"/>
        <v/>
      </c>
    </row>
    <row r="517" spans="3:15" ht="15" customHeight="1">
      <c r="C517" s="46" t="str">
        <f t="shared" si="121"/>
        <v/>
      </c>
      <c r="D517" t="str">
        <f t="shared" si="122"/>
        <v/>
      </c>
      <c r="J517" s="403">
        <f t="shared" si="124"/>
        <v>0</v>
      </c>
      <c r="K517" s="402">
        <f t="shared" si="124"/>
        <v>0</v>
      </c>
      <c r="L517" s="46"/>
      <c r="M517" s="239">
        <f t="shared" si="125"/>
        <v>0</v>
      </c>
      <c r="O517" s="312" t="str">
        <f t="shared" si="123"/>
        <v/>
      </c>
    </row>
    <row r="518" spans="3:15" ht="15" customHeight="1">
      <c r="C518" s="46" t="str">
        <f t="shared" si="121"/>
        <v/>
      </c>
      <c r="D518" t="str">
        <f t="shared" si="122"/>
        <v/>
      </c>
      <c r="J518" s="403">
        <f t="shared" si="124"/>
        <v>0</v>
      </c>
      <c r="K518" s="402">
        <f t="shared" si="124"/>
        <v>0</v>
      </c>
      <c r="L518" s="46"/>
      <c r="M518" s="239">
        <f t="shared" si="125"/>
        <v>0</v>
      </c>
      <c r="O518" s="312" t="str">
        <f t="shared" si="123"/>
        <v/>
      </c>
    </row>
    <row r="519" spans="3:15" ht="15" customHeight="1">
      <c r="C519" s="46" t="str">
        <f t="shared" si="121"/>
        <v/>
      </c>
      <c r="D519" t="str">
        <f t="shared" si="122"/>
        <v/>
      </c>
      <c r="J519" s="403">
        <f t="shared" si="124"/>
        <v>0</v>
      </c>
      <c r="K519" s="402">
        <f t="shared" si="124"/>
        <v>0</v>
      </c>
      <c r="L519" s="46"/>
      <c r="M519" s="239">
        <f t="shared" si="125"/>
        <v>0</v>
      </c>
      <c r="O519" s="312" t="str">
        <f t="shared" si="123"/>
        <v/>
      </c>
    </row>
    <row r="520" spans="3:15" ht="15" customHeight="1">
      <c r="C520" s="46" t="str">
        <f t="shared" si="121"/>
        <v/>
      </c>
      <c r="D520" t="str">
        <f t="shared" si="122"/>
        <v/>
      </c>
      <c r="J520" s="403">
        <f t="shared" si="124"/>
        <v>0</v>
      </c>
      <c r="K520" s="402">
        <f t="shared" si="124"/>
        <v>0</v>
      </c>
      <c r="L520" s="46"/>
      <c r="M520" s="239">
        <f t="shared" si="125"/>
        <v>0</v>
      </c>
      <c r="O520" s="312" t="str">
        <f t="shared" si="123"/>
        <v/>
      </c>
    </row>
    <row r="521" spans="3:15" ht="15" customHeight="1">
      <c r="C521" s="46" t="str">
        <f t="shared" si="121"/>
        <v/>
      </c>
      <c r="D521" t="str">
        <f t="shared" si="122"/>
        <v/>
      </c>
      <c r="J521" s="403">
        <f t="shared" si="124"/>
        <v>0</v>
      </c>
      <c r="K521" s="402">
        <f t="shared" si="124"/>
        <v>0</v>
      </c>
      <c r="L521" s="46"/>
      <c r="M521" s="239">
        <f t="shared" si="125"/>
        <v>0</v>
      </c>
      <c r="O521" s="312" t="str">
        <f t="shared" si="123"/>
        <v/>
      </c>
    </row>
    <row r="522" spans="3:15" ht="15" customHeight="1">
      <c r="C522" s="46" t="str">
        <f t="shared" si="121"/>
        <v/>
      </c>
      <c r="D522" t="str">
        <f t="shared" si="122"/>
        <v/>
      </c>
      <c r="J522" s="403">
        <f t="shared" si="124"/>
        <v>0</v>
      </c>
      <c r="K522" s="402">
        <f t="shared" si="124"/>
        <v>0</v>
      </c>
      <c r="L522" s="46"/>
      <c r="M522" s="239">
        <f t="shared" si="125"/>
        <v>0</v>
      </c>
      <c r="O522" s="312" t="str">
        <f t="shared" si="123"/>
        <v/>
      </c>
    </row>
    <row r="523" spans="3:15" ht="15" customHeight="1">
      <c r="C523" s="46" t="str">
        <f t="shared" si="121"/>
        <v/>
      </c>
      <c r="D523" t="str">
        <f t="shared" si="122"/>
        <v/>
      </c>
      <c r="J523" s="403">
        <f t="shared" si="124"/>
        <v>0</v>
      </c>
      <c r="K523" s="402">
        <f t="shared" si="124"/>
        <v>0</v>
      </c>
      <c r="L523" s="46"/>
      <c r="M523" s="239">
        <f t="shared" si="125"/>
        <v>0</v>
      </c>
      <c r="O523" s="312" t="str">
        <f t="shared" si="123"/>
        <v/>
      </c>
    </row>
    <row r="524" spans="3:15" ht="15" customHeight="1">
      <c r="C524" s="46" t="str">
        <f t="shared" si="121"/>
        <v/>
      </c>
      <c r="D524" t="str">
        <f t="shared" si="122"/>
        <v/>
      </c>
      <c r="J524" s="403">
        <f t="shared" si="124"/>
        <v>0</v>
      </c>
      <c r="K524" s="402">
        <f t="shared" si="124"/>
        <v>0</v>
      </c>
      <c r="L524" s="46"/>
      <c r="M524" s="239">
        <f t="shared" si="125"/>
        <v>0</v>
      </c>
      <c r="O524" s="312" t="str">
        <f t="shared" si="123"/>
        <v/>
      </c>
    </row>
    <row r="525" spans="3:15" ht="15" customHeight="1">
      <c r="C525" s="46" t="str">
        <f t="shared" si="121"/>
        <v/>
      </c>
      <c r="D525" t="str">
        <f t="shared" si="122"/>
        <v/>
      </c>
      <c r="J525" s="403">
        <f t="shared" si="124"/>
        <v>0</v>
      </c>
      <c r="K525" s="402">
        <f t="shared" si="124"/>
        <v>0</v>
      </c>
      <c r="L525" s="46"/>
      <c r="M525" s="239">
        <f t="shared" si="125"/>
        <v>0</v>
      </c>
      <c r="O525" s="312" t="str">
        <f t="shared" si="123"/>
        <v/>
      </c>
    </row>
    <row r="526" spans="3:15" ht="15" customHeight="1">
      <c r="C526" s="46" t="str">
        <f t="shared" si="121"/>
        <v/>
      </c>
      <c r="D526" t="str">
        <f t="shared" si="122"/>
        <v/>
      </c>
      <c r="J526" s="403">
        <f t="shared" si="124"/>
        <v>0</v>
      </c>
      <c r="K526" s="402">
        <f t="shared" si="124"/>
        <v>0</v>
      </c>
      <c r="L526" s="46"/>
      <c r="M526" s="239">
        <f t="shared" si="125"/>
        <v>0</v>
      </c>
      <c r="O526" s="312" t="str">
        <f t="shared" si="123"/>
        <v/>
      </c>
    </row>
    <row r="527" spans="3:15" ht="15" customHeight="1">
      <c r="C527" s="46" t="str">
        <f t="shared" si="121"/>
        <v/>
      </c>
      <c r="D527" t="str">
        <f t="shared" si="122"/>
        <v/>
      </c>
      <c r="J527" s="403">
        <f t="shared" si="124"/>
        <v>0</v>
      </c>
      <c r="K527" s="402">
        <f t="shared" si="124"/>
        <v>0</v>
      </c>
      <c r="L527" s="46"/>
      <c r="M527" s="239">
        <f t="shared" si="125"/>
        <v>0</v>
      </c>
      <c r="O527" s="312" t="str">
        <f t="shared" si="123"/>
        <v/>
      </c>
    </row>
    <row r="528" spans="3:15" ht="15" customHeight="1">
      <c r="C528" s="46" t="str">
        <f t="shared" si="121"/>
        <v/>
      </c>
      <c r="D528" t="str">
        <f t="shared" si="122"/>
        <v/>
      </c>
      <c r="J528" s="403">
        <f t="shared" si="124"/>
        <v>0</v>
      </c>
      <c r="K528" s="402">
        <f t="shared" si="124"/>
        <v>0</v>
      </c>
      <c r="L528" s="46"/>
      <c r="M528" s="239">
        <f t="shared" si="125"/>
        <v>0</v>
      </c>
      <c r="O528" s="312" t="str">
        <f t="shared" si="123"/>
        <v/>
      </c>
    </row>
    <row r="529" spans="3:15" ht="15" customHeight="1">
      <c r="C529" s="46" t="str">
        <f t="shared" si="121"/>
        <v/>
      </c>
      <c r="D529" t="str">
        <f t="shared" si="122"/>
        <v/>
      </c>
      <c r="J529" s="403">
        <f t="shared" si="124"/>
        <v>0</v>
      </c>
      <c r="K529" s="402">
        <f t="shared" si="124"/>
        <v>0</v>
      </c>
      <c r="L529" s="46"/>
      <c r="M529" s="239">
        <f t="shared" si="125"/>
        <v>0</v>
      </c>
      <c r="O529" s="312" t="str">
        <f t="shared" si="123"/>
        <v/>
      </c>
    </row>
    <row r="530" spans="3:15" ht="15" customHeight="1">
      <c r="C530" s="46" t="str">
        <f t="shared" si="121"/>
        <v/>
      </c>
      <c r="D530" t="str">
        <f t="shared" si="122"/>
        <v/>
      </c>
      <c r="J530" s="403">
        <f t="shared" si="124"/>
        <v>0</v>
      </c>
      <c r="K530" s="402">
        <f t="shared" si="124"/>
        <v>0</v>
      </c>
      <c r="L530" s="46"/>
      <c r="M530" s="239">
        <f t="shared" si="125"/>
        <v>0</v>
      </c>
      <c r="O530" s="312" t="str">
        <f t="shared" si="123"/>
        <v/>
      </c>
    </row>
    <row r="531" spans="3:15" ht="15" customHeight="1">
      <c r="C531" s="46" t="str">
        <f t="shared" si="121"/>
        <v/>
      </c>
      <c r="D531" t="str">
        <f t="shared" si="122"/>
        <v/>
      </c>
      <c r="J531" s="403">
        <f t="shared" si="124"/>
        <v>0</v>
      </c>
      <c r="K531" s="402">
        <f t="shared" si="124"/>
        <v>0</v>
      </c>
      <c r="L531" s="46"/>
      <c r="M531" s="239">
        <f t="shared" si="125"/>
        <v>0</v>
      </c>
      <c r="O531" s="312" t="str">
        <f t="shared" si="123"/>
        <v/>
      </c>
    </row>
    <row r="532" spans="3:15" ht="15" customHeight="1">
      <c r="C532" s="46" t="str">
        <f t="shared" si="121"/>
        <v/>
      </c>
      <c r="D532" t="str">
        <f t="shared" si="122"/>
        <v/>
      </c>
      <c r="J532" s="403">
        <f t="shared" si="124"/>
        <v>0</v>
      </c>
      <c r="K532" s="402">
        <f t="shared" si="124"/>
        <v>0</v>
      </c>
      <c r="L532" s="46"/>
      <c r="M532" s="239">
        <f t="shared" si="125"/>
        <v>0</v>
      </c>
      <c r="O532" s="312" t="str">
        <f t="shared" si="123"/>
        <v/>
      </c>
    </row>
    <row r="533" spans="3:15" ht="15" customHeight="1">
      <c r="C533" s="46" t="str">
        <f t="shared" si="121"/>
        <v/>
      </c>
      <c r="D533" t="str">
        <f t="shared" si="122"/>
        <v/>
      </c>
      <c r="J533" s="403">
        <f t="shared" si="124"/>
        <v>0</v>
      </c>
      <c r="K533" s="402">
        <f t="shared" si="124"/>
        <v>0</v>
      </c>
      <c r="L533" s="46"/>
      <c r="M533" s="239">
        <f t="shared" si="125"/>
        <v>0</v>
      </c>
      <c r="O533" s="312" t="str">
        <f t="shared" si="123"/>
        <v/>
      </c>
    </row>
    <row r="534" spans="3:15" ht="15" customHeight="1">
      <c r="C534" s="46" t="str">
        <f t="shared" ref="C534:C597" si="126">IF(B534&lt;&gt;"",PROPER(TEXT(B534,"mmmm")),"")</f>
        <v/>
      </c>
      <c r="D534" t="str">
        <f t="shared" ref="D534:D597" si="127">IF(B534="","",YEAR(B534))</f>
        <v/>
      </c>
      <c r="J534" s="403">
        <f t="shared" si="124"/>
        <v>0</v>
      </c>
      <c r="K534" s="402">
        <f t="shared" si="124"/>
        <v>0</v>
      </c>
      <c r="L534" s="46"/>
      <c r="M534" s="239">
        <f t="shared" si="125"/>
        <v>0</v>
      </c>
      <c r="O534" s="312" t="str">
        <f t="shared" ref="O534:O597" si="128">IF(N534&lt;&gt;"",TEXT(N534,"mmmm"),"")</f>
        <v/>
      </c>
    </row>
    <row r="535" spans="3:15" ht="15" customHeight="1">
      <c r="C535" s="46" t="str">
        <f t="shared" si="126"/>
        <v/>
      </c>
      <c r="D535" t="str">
        <f t="shared" si="127"/>
        <v/>
      </c>
      <c r="J535" s="403">
        <f t="shared" ref="J535:K598" si="129">I535</f>
        <v>0</v>
      </c>
      <c r="K535" s="402">
        <f t="shared" si="129"/>
        <v>0</v>
      </c>
      <c r="L535" s="46"/>
      <c r="M535" s="239">
        <f t="shared" ref="M535:M598" si="130">J535</f>
        <v>0</v>
      </c>
      <c r="O535" s="312" t="str">
        <f t="shared" si="128"/>
        <v/>
      </c>
    </row>
    <row r="536" spans="3:15" ht="15" customHeight="1">
      <c r="C536" s="46" t="str">
        <f t="shared" si="126"/>
        <v/>
      </c>
      <c r="D536" t="str">
        <f t="shared" si="127"/>
        <v/>
      </c>
      <c r="J536" s="403">
        <f t="shared" si="129"/>
        <v>0</v>
      </c>
      <c r="K536" s="402">
        <f t="shared" si="129"/>
        <v>0</v>
      </c>
      <c r="L536" s="46"/>
      <c r="M536" s="239">
        <f t="shared" si="130"/>
        <v>0</v>
      </c>
      <c r="O536" s="312" t="str">
        <f t="shared" si="128"/>
        <v/>
      </c>
    </row>
    <row r="537" spans="3:15" ht="15" customHeight="1">
      <c r="C537" s="46" t="str">
        <f t="shared" si="126"/>
        <v/>
      </c>
      <c r="D537" t="str">
        <f t="shared" si="127"/>
        <v/>
      </c>
      <c r="J537" s="403">
        <f t="shared" si="129"/>
        <v>0</v>
      </c>
      <c r="K537" s="402">
        <f t="shared" si="129"/>
        <v>0</v>
      </c>
      <c r="L537" s="46"/>
      <c r="M537" s="239">
        <f t="shared" si="130"/>
        <v>0</v>
      </c>
      <c r="O537" s="312" t="str">
        <f t="shared" si="128"/>
        <v/>
      </c>
    </row>
    <row r="538" spans="3:15" ht="15" customHeight="1">
      <c r="C538" s="46" t="str">
        <f t="shared" si="126"/>
        <v/>
      </c>
      <c r="D538" t="str">
        <f t="shared" si="127"/>
        <v/>
      </c>
      <c r="J538" s="403">
        <f t="shared" si="129"/>
        <v>0</v>
      </c>
      <c r="K538" s="402">
        <f t="shared" si="129"/>
        <v>0</v>
      </c>
      <c r="L538" s="46"/>
      <c r="M538" s="239">
        <f t="shared" si="130"/>
        <v>0</v>
      </c>
      <c r="O538" s="312" t="str">
        <f t="shared" si="128"/>
        <v/>
      </c>
    </row>
    <row r="539" spans="3:15" ht="15" customHeight="1">
      <c r="C539" s="46" t="str">
        <f t="shared" si="126"/>
        <v/>
      </c>
      <c r="D539" t="str">
        <f t="shared" si="127"/>
        <v/>
      </c>
      <c r="J539" s="403">
        <f t="shared" si="129"/>
        <v>0</v>
      </c>
      <c r="K539" s="402">
        <f t="shared" si="129"/>
        <v>0</v>
      </c>
      <c r="L539" s="46"/>
      <c r="M539" s="239">
        <f t="shared" si="130"/>
        <v>0</v>
      </c>
      <c r="O539" s="312" t="str">
        <f t="shared" si="128"/>
        <v/>
      </c>
    </row>
    <row r="540" spans="3:15" ht="15" customHeight="1">
      <c r="C540" s="46" t="str">
        <f t="shared" si="126"/>
        <v/>
      </c>
      <c r="D540" t="str">
        <f t="shared" si="127"/>
        <v/>
      </c>
      <c r="J540" s="403">
        <f t="shared" si="129"/>
        <v>0</v>
      </c>
      <c r="K540" s="402">
        <f t="shared" si="129"/>
        <v>0</v>
      </c>
      <c r="L540" s="46"/>
      <c r="M540" s="239">
        <f t="shared" si="130"/>
        <v>0</v>
      </c>
      <c r="O540" s="312" t="str">
        <f t="shared" si="128"/>
        <v/>
      </c>
    </row>
    <row r="541" spans="3:15" ht="15" customHeight="1">
      <c r="C541" s="46" t="str">
        <f t="shared" si="126"/>
        <v/>
      </c>
      <c r="D541" t="str">
        <f t="shared" si="127"/>
        <v/>
      </c>
      <c r="J541" s="403">
        <f t="shared" si="129"/>
        <v>0</v>
      </c>
      <c r="K541" s="402">
        <f t="shared" si="129"/>
        <v>0</v>
      </c>
      <c r="L541" s="46"/>
      <c r="M541" s="239">
        <f t="shared" si="130"/>
        <v>0</v>
      </c>
      <c r="O541" s="312" t="str">
        <f t="shared" si="128"/>
        <v/>
      </c>
    </row>
    <row r="542" spans="3:15" ht="15" customHeight="1">
      <c r="C542" s="46" t="str">
        <f t="shared" si="126"/>
        <v/>
      </c>
      <c r="D542" t="str">
        <f t="shared" si="127"/>
        <v/>
      </c>
      <c r="J542" s="403">
        <f t="shared" si="129"/>
        <v>0</v>
      </c>
      <c r="K542" s="402">
        <f t="shared" si="129"/>
        <v>0</v>
      </c>
      <c r="L542" s="46"/>
      <c r="M542" s="239">
        <f t="shared" si="130"/>
        <v>0</v>
      </c>
      <c r="O542" s="312" t="str">
        <f t="shared" si="128"/>
        <v/>
      </c>
    </row>
    <row r="543" spans="3:15" ht="15" customHeight="1">
      <c r="C543" s="46" t="str">
        <f t="shared" si="126"/>
        <v/>
      </c>
      <c r="D543" t="str">
        <f t="shared" si="127"/>
        <v/>
      </c>
      <c r="J543" s="403">
        <f t="shared" si="129"/>
        <v>0</v>
      </c>
      <c r="K543" s="402">
        <f t="shared" si="129"/>
        <v>0</v>
      </c>
      <c r="L543" s="46"/>
      <c r="M543" s="239">
        <f t="shared" si="130"/>
        <v>0</v>
      </c>
      <c r="O543" s="312" t="str">
        <f t="shared" si="128"/>
        <v/>
      </c>
    </row>
    <row r="544" spans="3:15" ht="15" customHeight="1">
      <c r="C544" s="46" t="str">
        <f t="shared" si="126"/>
        <v/>
      </c>
      <c r="D544" t="str">
        <f t="shared" si="127"/>
        <v/>
      </c>
      <c r="J544" s="403">
        <f t="shared" si="129"/>
        <v>0</v>
      </c>
      <c r="K544" s="402">
        <f t="shared" si="129"/>
        <v>0</v>
      </c>
      <c r="L544" s="46"/>
      <c r="M544" s="239">
        <f t="shared" si="130"/>
        <v>0</v>
      </c>
      <c r="O544" s="312" t="str">
        <f t="shared" si="128"/>
        <v/>
      </c>
    </row>
    <row r="545" spans="3:15" ht="15" customHeight="1">
      <c r="C545" s="46" t="str">
        <f t="shared" si="126"/>
        <v/>
      </c>
      <c r="D545" t="str">
        <f t="shared" si="127"/>
        <v/>
      </c>
      <c r="J545" s="403">
        <f t="shared" si="129"/>
        <v>0</v>
      </c>
      <c r="K545" s="402">
        <f t="shared" si="129"/>
        <v>0</v>
      </c>
      <c r="L545" s="46"/>
      <c r="M545" s="239">
        <f t="shared" si="130"/>
        <v>0</v>
      </c>
      <c r="O545" s="312" t="str">
        <f t="shared" si="128"/>
        <v/>
      </c>
    </row>
    <row r="546" spans="3:15" ht="15" customHeight="1">
      <c r="C546" s="46" t="str">
        <f t="shared" si="126"/>
        <v/>
      </c>
      <c r="D546" t="str">
        <f t="shared" si="127"/>
        <v/>
      </c>
      <c r="J546" s="403">
        <f t="shared" si="129"/>
        <v>0</v>
      </c>
      <c r="K546" s="402">
        <f t="shared" si="129"/>
        <v>0</v>
      </c>
      <c r="L546" s="46"/>
      <c r="M546" s="239">
        <f t="shared" si="130"/>
        <v>0</v>
      </c>
      <c r="O546" s="312" t="str">
        <f t="shared" si="128"/>
        <v/>
      </c>
    </row>
    <row r="547" spans="3:15" ht="15" customHeight="1">
      <c r="C547" s="46" t="str">
        <f t="shared" si="126"/>
        <v/>
      </c>
      <c r="D547" t="str">
        <f t="shared" si="127"/>
        <v/>
      </c>
      <c r="J547" s="403">
        <f t="shared" si="129"/>
        <v>0</v>
      </c>
      <c r="K547" s="402">
        <f t="shared" si="129"/>
        <v>0</v>
      </c>
      <c r="L547" s="46"/>
      <c r="M547" s="239">
        <f t="shared" si="130"/>
        <v>0</v>
      </c>
      <c r="O547" s="312" t="str">
        <f t="shared" si="128"/>
        <v/>
      </c>
    </row>
    <row r="548" spans="3:15" ht="15" customHeight="1">
      <c r="C548" s="46" t="str">
        <f t="shared" si="126"/>
        <v/>
      </c>
      <c r="D548" t="str">
        <f t="shared" si="127"/>
        <v/>
      </c>
      <c r="J548" s="403">
        <f t="shared" si="129"/>
        <v>0</v>
      </c>
      <c r="K548" s="402">
        <f t="shared" si="129"/>
        <v>0</v>
      </c>
      <c r="L548" s="46"/>
      <c r="M548" s="239">
        <f t="shared" si="130"/>
        <v>0</v>
      </c>
      <c r="O548" s="312" t="str">
        <f t="shared" si="128"/>
        <v/>
      </c>
    </row>
    <row r="549" spans="3:15" ht="15" customHeight="1">
      <c r="C549" s="46" t="str">
        <f t="shared" si="126"/>
        <v/>
      </c>
      <c r="D549" t="str">
        <f t="shared" si="127"/>
        <v/>
      </c>
      <c r="J549" s="403">
        <f t="shared" si="129"/>
        <v>0</v>
      </c>
      <c r="K549" s="402">
        <f t="shared" si="129"/>
        <v>0</v>
      </c>
      <c r="L549" s="46"/>
      <c r="M549" s="239">
        <f t="shared" si="130"/>
        <v>0</v>
      </c>
      <c r="O549" s="312" t="str">
        <f t="shared" si="128"/>
        <v/>
      </c>
    </row>
    <row r="550" spans="3:15" ht="15" customHeight="1">
      <c r="C550" s="46" t="str">
        <f t="shared" si="126"/>
        <v/>
      </c>
      <c r="D550" t="str">
        <f t="shared" si="127"/>
        <v/>
      </c>
      <c r="J550" s="403">
        <f t="shared" si="129"/>
        <v>0</v>
      </c>
      <c r="K550" s="402">
        <f t="shared" si="129"/>
        <v>0</v>
      </c>
      <c r="L550" s="46"/>
      <c r="M550" s="239">
        <f t="shared" si="130"/>
        <v>0</v>
      </c>
      <c r="O550" s="312" t="str">
        <f t="shared" si="128"/>
        <v/>
      </c>
    </row>
    <row r="551" spans="3:15" ht="15" customHeight="1">
      <c r="C551" s="46" t="str">
        <f t="shared" si="126"/>
        <v/>
      </c>
      <c r="D551" t="str">
        <f t="shared" si="127"/>
        <v/>
      </c>
      <c r="J551" s="403">
        <f t="shared" si="129"/>
        <v>0</v>
      </c>
      <c r="K551" s="402">
        <f t="shared" si="129"/>
        <v>0</v>
      </c>
      <c r="L551" s="46"/>
      <c r="M551" s="239">
        <f t="shared" si="130"/>
        <v>0</v>
      </c>
      <c r="O551" s="312" t="str">
        <f t="shared" si="128"/>
        <v/>
      </c>
    </row>
    <row r="552" spans="3:15" ht="15" customHeight="1">
      <c r="C552" s="46" t="str">
        <f t="shared" si="126"/>
        <v/>
      </c>
      <c r="D552" t="str">
        <f t="shared" si="127"/>
        <v/>
      </c>
      <c r="J552" s="403">
        <f t="shared" si="129"/>
        <v>0</v>
      </c>
      <c r="K552" s="402">
        <f t="shared" si="129"/>
        <v>0</v>
      </c>
      <c r="L552" s="46"/>
      <c r="M552" s="239">
        <f t="shared" si="130"/>
        <v>0</v>
      </c>
      <c r="O552" s="312" t="str">
        <f t="shared" si="128"/>
        <v/>
      </c>
    </row>
    <row r="553" spans="3:15" ht="15" customHeight="1">
      <c r="C553" s="46" t="str">
        <f t="shared" si="126"/>
        <v/>
      </c>
      <c r="D553" t="str">
        <f t="shared" si="127"/>
        <v/>
      </c>
      <c r="J553" s="403">
        <f t="shared" si="129"/>
        <v>0</v>
      </c>
      <c r="K553" s="402">
        <f t="shared" si="129"/>
        <v>0</v>
      </c>
      <c r="L553" s="46"/>
      <c r="M553" s="239">
        <f t="shared" si="130"/>
        <v>0</v>
      </c>
      <c r="O553" s="312" t="str">
        <f t="shared" si="128"/>
        <v/>
      </c>
    </row>
    <row r="554" spans="3:15" ht="15" customHeight="1">
      <c r="C554" s="46" t="str">
        <f t="shared" si="126"/>
        <v/>
      </c>
      <c r="D554" t="str">
        <f t="shared" si="127"/>
        <v/>
      </c>
      <c r="J554" s="403">
        <f t="shared" si="129"/>
        <v>0</v>
      </c>
      <c r="K554" s="402">
        <f t="shared" si="129"/>
        <v>0</v>
      </c>
      <c r="L554" s="46"/>
      <c r="M554" s="239">
        <f t="shared" si="130"/>
        <v>0</v>
      </c>
      <c r="O554" s="312" t="str">
        <f t="shared" si="128"/>
        <v/>
      </c>
    </row>
    <row r="555" spans="3:15" ht="15" customHeight="1">
      <c r="C555" s="46" t="str">
        <f t="shared" si="126"/>
        <v/>
      </c>
      <c r="D555" t="str">
        <f t="shared" si="127"/>
        <v/>
      </c>
      <c r="J555" s="403">
        <f t="shared" si="129"/>
        <v>0</v>
      </c>
      <c r="K555" s="402">
        <f t="shared" si="129"/>
        <v>0</v>
      </c>
      <c r="L555" s="46"/>
      <c r="M555" s="239">
        <f t="shared" si="130"/>
        <v>0</v>
      </c>
      <c r="O555" s="312" t="str">
        <f t="shared" si="128"/>
        <v/>
      </c>
    </row>
    <row r="556" spans="3:15" ht="15" customHeight="1">
      <c r="C556" s="46" t="str">
        <f t="shared" si="126"/>
        <v/>
      </c>
      <c r="D556" t="str">
        <f t="shared" si="127"/>
        <v/>
      </c>
      <c r="J556" s="403">
        <f t="shared" si="129"/>
        <v>0</v>
      </c>
      <c r="K556" s="402">
        <f t="shared" si="129"/>
        <v>0</v>
      </c>
      <c r="L556" s="46"/>
      <c r="M556" s="239">
        <f t="shared" si="130"/>
        <v>0</v>
      </c>
      <c r="O556" s="312" t="str">
        <f t="shared" si="128"/>
        <v/>
      </c>
    </row>
    <row r="557" spans="3:15" ht="15" customHeight="1">
      <c r="C557" s="46" t="str">
        <f t="shared" si="126"/>
        <v/>
      </c>
      <c r="D557" t="str">
        <f t="shared" si="127"/>
        <v/>
      </c>
      <c r="J557" s="403">
        <f t="shared" si="129"/>
        <v>0</v>
      </c>
      <c r="K557" s="402">
        <f t="shared" si="129"/>
        <v>0</v>
      </c>
      <c r="L557" s="46"/>
      <c r="M557" s="239">
        <f t="shared" si="130"/>
        <v>0</v>
      </c>
      <c r="O557" s="312" t="str">
        <f t="shared" si="128"/>
        <v/>
      </c>
    </row>
    <row r="558" spans="3:15" ht="15" customHeight="1">
      <c r="C558" s="46" t="str">
        <f t="shared" si="126"/>
        <v/>
      </c>
      <c r="D558" t="str">
        <f t="shared" si="127"/>
        <v/>
      </c>
      <c r="J558" s="403">
        <f t="shared" si="129"/>
        <v>0</v>
      </c>
      <c r="K558" s="402">
        <f t="shared" si="129"/>
        <v>0</v>
      </c>
      <c r="L558" s="46"/>
      <c r="M558" s="239">
        <f t="shared" si="130"/>
        <v>0</v>
      </c>
      <c r="O558" s="312" t="str">
        <f t="shared" si="128"/>
        <v/>
      </c>
    </row>
    <row r="559" spans="3:15" ht="15" customHeight="1">
      <c r="C559" s="46" t="str">
        <f t="shared" si="126"/>
        <v/>
      </c>
      <c r="D559" t="str">
        <f t="shared" si="127"/>
        <v/>
      </c>
      <c r="J559" s="403">
        <f t="shared" si="129"/>
        <v>0</v>
      </c>
      <c r="K559" s="402">
        <f t="shared" si="129"/>
        <v>0</v>
      </c>
      <c r="L559" s="46"/>
      <c r="M559" s="239">
        <f t="shared" si="130"/>
        <v>0</v>
      </c>
      <c r="O559" s="312" t="str">
        <f t="shared" si="128"/>
        <v/>
      </c>
    </row>
    <row r="560" spans="3:15" ht="15" customHeight="1">
      <c r="C560" s="46" t="str">
        <f t="shared" si="126"/>
        <v/>
      </c>
      <c r="D560" t="str">
        <f t="shared" si="127"/>
        <v/>
      </c>
      <c r="J560" s="403">
        <f t="shared" si="129"/>
        <v>0</v>
      </c>
      <c r="K560" s="402">
        <f t="shared" si="129"/>
        <v>0</v>
      </c>
      <c r="L560" s="46"/>
      <c r="M560" s="239">
        <f t="shared" si="130"/>
        <v>0</v>
      </c>
      <c r="O560" s="312" t="str">
        <f t="shared" si="128"/>
        <v/>
      </c>
    </row>
    <row r="561" spans="3:15" ht="15" customHeight="1">
      <c r="C561" s="46" t="str">
        <f t="shared" si="126"/>
        <v/>
      </c>
      <c r="D561" t="str">
        <f t="shared" si="127"/>
        <v/>
      </c>
      <c r="J561" s="403">
        <f t="shared" si="129"/>
        <v>0</v>
      </c>
      <c r="K561" s="402">
        <f t="shared" si="129"/>
        <v>0</v>
      </c>
      <c r="L561" s="46"/>
      <c r="M561" s="239">
        <f t="shared" si="130"/>
        <v>0</v>
      </c>
      <c r="O561" s="312" t="str">
        <f t="shared" si="128"/>
        <v/>
      </c>
    </row>
    <row r="562" spans="3:15" ht="15" customHeight="1">
      <c r="C562" s="46" t="str">
        <f t="shared" si="126"/>
        <v/>
      </c>
      <c r="D562" t="str">
        <f t="shared" si="127"/>
        <v/>
      </c>
      <c r="J562" s="403">
        <f t="shared" si="129"/>
        <v>0</v>
      </c>
      <c r="K562" s="402">
        <f t="shared" si="129"/>
        <v>0</v>
      </c>
      <c r="L562" s="46"/>
      <c r="M562" s="239">
        <f t="shared" si="130"/>
        <v>0</v>
      </c>
      <c r="O562" s="312" t="str">
        <f t="shared" si="128"/>
        <v/>
      </c>
    </row>
    <row r="563" spans="3:15" ht="15" customHeight="1">
      <c r="C563" s="46" t="str">
        <f t="shared" si="126"/>
        <v/>
      </c>
      <c r="D563" t="str">
        <f t="shared" si="127"/>
        <v/>
      </c>
      <c r="J563" s="403">
        <f t="shared" si="129"/>
        <v>0</v>
      </c>
      <c r="K563" s="402">
        <f t="shared" si="129"/>
        <v>0</v>
      </c>
      <c r="L563" s="46"/>
      <c r="M563" s="239">
        <f t="shared" si="130"/>
        <v>0</v>
      </c>
      <c r="O563" s="312" t="str">
        <f t="shared" si="128"/>
        <v/>
      </c>
    </row>
    <row r="564" spans="3:15" ht="15" customHeight="1">
      <c r="C564" s="46" t="str">
        <f t="shared" si="126"/>
        <v/>
      </c>
      <c r="D564" t="str">
        <f t="shared" si="127"/>
        <v/>
      </c>
      <c r="J564" s="403">
        <f t="shared" si="129"/>
        <v>0</v>
      </c>
      <c r="K564" s="402">
        <f t="shared" si="129"/>
        <v>0</v>
      </c>
      <c r="L564" s="46"/>
      <c r="M564" s="239">
        <f t="shared" si="130"/>
        <v>0</v>
      </c>
      <c r="O564" s="312" t="str">
        <f t="shared" si="128"/>
        <v/>
      </c>
    </row>
    <row r="565" spans="3:15" ht="15" customHeight="1">
      <c r="C565" s="46" t="str">
        <f t="shared" si="126"/>
        <v/>
      </c>
      <c r="D565" t="str">
        <f t="shared" si="127"/>
        <v/>
      </c>
      <c r="J565" s="403">
        <f t="shared" si="129"/>
        <v>0</v>
      </c>
      <c r="K565" s="402">
        <f t="shared" si="129"/>
        <v>0</v>
      </c>
      <c r="L565" s="46"/>
      <c r="M565" s="239">
        <f t="shared" si="130"/>
        <v>0</v>
      </c>
      <c r="O565" s="312" t="str">
        <f t="shared" si="128"/>
        <v/>
      </c>
    </row>
    <row r="566" spans="3:15" ht="15" customHeight="1">
      <c r="C566" s="46" t="str">
        <f t="shared" si="126"/>
        <v/>
      </c>
      <c r="D566" t="str">
        <f t="shared" si="127"/>
        <v/>
      </c>
      <c r="J566" s="403">
        <f t="shared" si="129"/>
        <v>0</v>
      </c>
      <c r="K566" s="402">
        <f t="shared" si="129"/>
        <v>0</v>
      </c>
      <c r="L566" s="46"/>
      <c r="M566" s="239">
        <f t="shared" si="130"/>
        <v>0</v>
      </c>
      <c r="O566" s="312" t="str">
        <f t="shared" si="128"/>
        <v/>
      </c>
    </row>
    <row r="567" spans="3:15" ht="15" customHeight="1">
      <c r="C567" s="46" t="str">
        <f t="shared" si="126"/>
        <v/>
      </c>
      <c r="D567" t="str">
        <f t="shared" si="127"/>
        <v/>
      </c>
      <c r="J567" s="403">
        <f t="shared" si="129"/>
        <v>0</v>
      </c>
      <c r="K567" s="402">
        <f t="shared" si="129"/>
        <v>0</v>
      </c>
      <c r="L567" s="46"/>
      <c r="M567" s="239">
        <f t="shared" si="130"/>
        <v>0</v>
      </c>
      <c r="O567" s="312" t="str">
        <f t="shared" si="128"/>
        <v/>
      </c>
    </row>
    <row r="568" spans="3:15" ht="15" customHeight="1">
      <c r="C568" s="46" t="str">
        <f t="shared" si="126"/>
        <v/>
      </c>
      <c r="D568" t="str">
        <f t="shared" si="127"/>
        <v/>
      </c>
      <c r="J568" s="403">
        <f t="shared" si="129"/>
        <v>0</v>
      </c>
      <c r="K568" s="402">
        <f t="shared" si="129"/>
        <v>0</v>
      </c>
      <c r="L568" s="46"/>
      <c r="M568" s="239">
        <f t="shared" si="130"/>
        <v>0</v>
      </c>
      <c r="O568" s="312" t="str">
        <f t="shared" si="128"/>
        <v/>
      </c>
    </row>
    <row r="569" spans="3:15" ht="15" customHeight="1">
      <c r="C569" s="46" t="str">
        <f t="shared" si="126"/>
        <v/>
      </c>
      <c r="D569" t="str">
        <f t="shared" si="127"/>
        <v/>
      </c>
      <c r="J569" s="403">
        <f t="shared" si="129"/>
        <v>0</v>
      </c>
      <c r="K569" s="402">
        <f t="shared" si="129"/>
        <v>0</v>
      </c>
      <c r="L569" s="46"/>
      <c r="M569" s="239">
        <f t="shared" si="130"/>
        <v>0</v>
      </c>
      <c r="O569" s="312" t="str">
        <f t="shared" si="128"/>
        <v/>
      </c>
    </row>
    <row r="570" spans="3:15" ht="15" customHeight="1">
      <c r="C570" s="46" t="str">
        <f t="shared" si="126"/>
        <v/>
      </c>
      <c r="D570" t="str">
        <f t="shared" si="127"/>
        <v/>
      </c>
      <c r="J570" s="403">
        <f t="shared" si="129"/>
        <v>0</v>
      </c>
      <c r="K570" s="402">
        <f t="shared" si="129"/>
        <v>0</v>
      </c>
      <c r="L570" s="46"/>
      <c r="M570" s="239">
        <f t="shared" si="130"/>
        <v>0</v>
      </c>
      <c r="O570" s="312" t="str">
        <f t="shared" si="128"/>
        <v/>
      </c>
    </row>
    <row r="571" spans="3:15" ht="15" customHeight="1">
      <c r="C571" s="46" t="str">
        <f t="shared" si="126"/>
        <v/>
      </c>
      <c r="D571" t="str">
        <f t="shared" si="127"/>
        <v/>
      </c>
      <c r="J571" s="403">
        <f t="shared" si="129"/>
        <v>0</v>
      </c>
      <c r="K571" s="402">
        <f t="shared" si="129"/>
        <v>0</v>
      </c>
      <c r="L571" s="46"/>
      <c r="M571" s="239">
        <f t="shared" si="130"/>
        <v>0</v>
      </c>
      <c r="O571" s="312" t="str">
        <f t="shared" si="128"/>
        <v/>
      </c>
    </row>
    <row r="572" spans="3:15" ht="15" customHeight="1">
      <c r="C572" s="46" t="str">
        <f t="shared" si="126"/>
        <v/>
      </c>
      <c r="D572" t="str">
        <f t="shared" si="127"/>
        <v/>
      </c>
      <c r="J572" s="403">
        <f t="shared" si="129"/>
        <v>0</v>
      </c>
      <c r="K572" s="402">
        <f t="shared" si="129"/>
        <v>0</v>
      </c>
      <c r="L572" s="46"/>
      <c r="M572" s="239">
        <f t="shared" si="130"/>
        <v>0</v>
      </c>
      <c r="O572" s="312" t="str">
        <f t="shared" si="128"/>
        <v/>
      </c>
    </row>
    <row r="573" spans="3:15" ht="15" customHeight="1">
      <c r="C573" s="46" t="str">
        <f t="shared" si="126"/>
        <v/>
      </c>
      <c r="D573" t="str">
        <f t="shared" si="127"/>
        <v/>
      </c>
      <c r="J573" s="403">
        <f t="shared" si="129"/>
        <v>0</v>
      </c>
      <c r="K573" s="402">
        <f t="shared" si="129"/>
        <v>0</v>
      </c>
      <c r="L573" s="46"/>
      <c r="M573" s="239">
        <f t="shared" si="130"/>
        <v>0</v>
      </c>
      <c r="O573" s="312" t="str">
        <f t="shared" si="128"/>
        <v/>
      </c>
    </row>
    <row r="574" spans="3:15" ht="15" customHeight="1">
      <c r="C574" s="46" t="str">
        <f t="shared" si="126"/>
        <v/>
      </c>
      <c r="D574" t="str">
        <f t="shared" si="127"/>
        <v/>
      </c>
      <c r="J574" s="403">
        <f t="shared" si="129"/>
        <v>0</v>
      </c>
      <c r="K574" s="402">
        <f t="shared" si="129"/>
        <v>0</v>
      </c>
      <c r="L574" s="46"/>
      <c r="M574" s="239">
        <f t="shared" si="130"/>
        <v>0</v>
      </c>
      <c r="O574" s="312" t="str">
        <f t="shared" si="128"/>
        <v/>
      </c>
    </row>
    <row r="575" spans="3:15" ht="15" customHeight="1">
      <c r="C575" s="46" t="str">
        <f t="shared" si="126"/>
        <v/>
      </c>
      <c r="D575" t="str">
        <f t="shared" si="127"/>
        <v/>
      </c>
      <c r="J575" s="403">
        <f t="shared" si="129"/>
        <v>0</v>
      </c>
      <c r="K575" s="402">
        <f t="shared" si="129"/>
        <v>0</v>
      </c>
      <c r="L575" s="46"/>
      <c r="M575" s="239">
        <f t="shared" si="130"/>
        <v>0</v>
      </c>
      <c r="O575" s="312" t="str">
        <f t="shared" si="128"/>
        <v/>
      </c>
    </row>
    <row r="576" spans="3:15" ht="15" customHeight="1">
      <c r="C576" s="46" t="str">
        <f t="shared" si="126"/>
        <v/>
      </c>
      <c r="D576" t="str">
        <f t="shared" si="127"/>
        <v/>
      </c>
      <c r="J576" s="403">
        <f t="shared" si="129"/>
        <v>0</v>
      </c>
      <c r="K576" s="402">
        <f t="shared" si="129"/>
        <v>0</v>
      </c>
      <c r="L576" s="46"/>
      <c r="M576" s="239">
        <f t="shared" si="130"/>
        <v>0</v>
      </c>
      <c r="O576" s="312" t="str">
        <f t="shared" si="128"/>
        <v/>
      </c>
    </row>
    <row r="577" spans="3:15" ht="15" customHeight="1">
      <c r="C577" s="46" t="str">
        <f t="shared" si="126"/>
        <v/>
      </c>
      <c r="D577" t="str">
        <f t="shared" si="127"/>
        <v/>
      </c>
      <c r="J577" s="403">
        <f t="shared" si="129"/>
        <v>0</v>
      </c>
      <c r="K577" s="402">
        <f t="shared" si="129"/>
        <v>0</v>
      </c>
      <c r="L577" s="46"/>
      <c r="M577" s="239">
        <f t="shared" si="130"/>
        <v>0</v>
      </c>
      <c r="O577" s="312" t="str">
        <f t="shared" si="128"/>
        <v/>
      </c>
    </row>
    <row r="578" spans="3:15" ht="15" customHeight="1">
      <c r="C578" s="46" t="str">
        <f t="shared" si="126"/>
        <v/>
      </c>
      <c r="D578" t="str">
        <f t="shared" si="127"/>
        <v/>
      </c>
      <c r="J578" s="403">
        <f t="shared" si="129"/>
        <v>0</v>
      </c>
      <c r="K578" s="402">
        <f t="shared" si="129"/>
        <v>0</v>
      </c>
      <c r="L578" s="46"/>
      <c r="M578" s="239">
        <f t="shared" si="130"/>
        <v>0</v>
      </c>
      <c r="O578" s="312" t="str">
        <f t="shared" si="128"/>
        <v/>
      </c>
    </row>
    <row r="579" spans="3:15" ht="15" customHeight="1">
      <c r="C579" s="46" t="str">
        <f t="shared" si="126"/>
        <v/>
      </c>
      <c r="D579" t="str">
        <f t="shared" si="127"/>
        <v/>
      </c>
      <c r="J579" s="403">
        <f t="shared" si="129"/>
        <v>0</v>
      </c>
      <c r="K579" s="402">
        <f t="shared" si="129"/>
        <v>0</v>
      </c>
      <c r="L579" s="46"/>
      <c r="M579" s="239">
        <f t="shared" si="130"/>
        <v>0</v>
      </c>
      <c r="O579" s="312" t="str">
        <f t="shared" si="128"/>
        <v/>
      </c>
    </row>
    <row r="580" spans="3:15" ht="15" customHeight="1">
      <c r="C580" s="46" t="str">
        <f t="shared" si="126"/>
        <v/>
      </c>
      <c r="D580" t="str">
        <f t="shared" si="127"/>
        <v/>
      </c>
      <c r="J580" s="403">
        <f t="shared" si="129"/>
        <v>0</v>
      </c>
      <c r="K580" s="402">
        <f t="shared" si="129"/>
        <v>0</v>
      </c>
      <c r="L580" s="46"/>
      <c r="M580" s="239">
        <f t="shared" si="130"/>
        <v>0</v>
      </c>
      <c r="O580" s="312" t="str">
        <f t="shared" si="128"/>
        <v/>
      </c>
    </row>
    <row r="581" spans="3:15" ht="15" customHeight="1">
      <c r="C581" s="46" t="str">
        <f t="shared" si="126"/>
        <v/>
      </c>
      <c r="D581" t="str">
        <f t="shared" si="127"/>
        <v/>
      </c>
      <c r="J581" s="403">
        <f t="shared" si="129"/>
        <v>0</v>
      </c>
      <c r="K581" s="402">
        <f t="shared" si="129"/>
        <v>0</v>
      </c>
      <c r="L581" s="46"/>
      <c r="M581" s="239">
        <f t="shared" si="130"/>
        <v>0</v>
      </c>
      <c r="O581" s="312" t="str">
        <f t="shared" si="128"/>
        <v/>
      </c>
    </row>
    <row r="582" spans="3:15" ht="15" customHeight="1">
      <c r="C582" s="46" t="str">
        <f t="shared" si="126"/>
        <v/>
      </c>
      <c r="D582" t="str">
        <f t="shared" si="127"/>
        <v/>
      </c>
      <c r="J582" s="403">
        <f t="shared" si="129"/>
        <v>0</v>
      </c>
      <c r="K582" s="402">
        <f t="shared" si="129"/>
        <v>0</v>
      </c>
      <c r="L582" s="46"/>
      <c r="M582" s="239">
        <f t="shared" si="130"/>
        <v>0</v>
      </c>
      <c r="O582" s="312" t="str">
        <f t="shared" si="128"/>
        <v/>
      </c>
    </row>
    <row r="583" spans="3:15" ht="15" customHeight="1">
      <c r="C583" s="46" t="str">
        <f t="shared" si="126"/>
        <v/>
      </c>
      <c r="D583" t="str">
        <f t="shared" si="127"/>
        <v/>
      </c>
      <c r="J583" s="403">
        <f t="shared" si="129"/>
        <v>0</v>
      </c>
      <c r="K583" s="402">
        <f t="shared" si="129"/>
        <v>0</v>
      </c>
      <c r="L583" s="46"/>
      <c r="M583" s="239">
        <f t="shared" si="130"/>
        <v>0</v>
      </c>
      <c r="O583" s="312" t="str">
        <f t="shared" si="128"/>
        <v/>
      </c>
    </row>
    <row r="584" spans="3:15" ht="15" customHeight="1">
      <c r="C584" s="46" t="str">
        <f t="shared" si="126"/>
        <v/>
      </c>
      <c r="D584" t="str">
        <f t="shared" si="127"/>
        <v/>
      </c>
      <c r="J584" s="403">
        <f t="shared" si="129"/>
        <v>0</v>
      </c>
      <c r="K584" s="402">
        <f t="shared" si="129"/>
        <v>0</v>
      </c>
      <c r="L584" s="46"/>
      <c r="M584" s="239">
        <f t="shared" si="130"/>
        <v>0</v>
      </c>
      <c r="O584" s="312" t="str">
        <f t="shared" si="128"/>
        <v/>
      </c>
    </row>
    <row r="585" spans="3:15" ht="15" customHeight="1">
      <c r="C585" s="46" t="str">
        <f t="shared" si="126"/>
        <v/>
      </c>
      <c r="D585" t="str">
        <f t="shared" si="127"/>
        <v/>
      </c>
      <c r="J585" s="403">
        <f t="shared" si="129"/>
        <v>0</v>
      </c>
      <c r="K585" s="402">
        <f t="shared" si="129"/>
        <v>0</v>
      </c>
      <c r="L585" s="46"/>
      <c r="M585" s="239">
        <f t="shared" si="130"/>
        <v>0</v>
      </c>
      <c r="O585" s="312" t="str">
        <f t="shared" si="128"/>
        <v/>
      </c>
    </row>
    <row r="586" spans="3:15" ht="15" customHeight="1">
      <c r="C586" s="46" t="str">
        <f t="shared" si="126"/>
        <v/>
      </c>
      <c r="D586" t="str">
        <f t="shared" si="127"/>
        <v/>
      </c>
      <c r="J586" s="403">
        <f t="shared" si="129"/>
        <v>0</v>
      </c>
      <c r="K586" s="402">
        <f t="shared" si="129"/>
        <v>0</v>
      </c>
      <c r="L586" s="46"/>
      <c r="M586" s="239">
        <f t="shared" si="130"/>
        <v>0</v>
      </c>
      <c r="O586" s="312" t="str">
        <f t="shared" si="128"/>
        <v/>
      </c>
    </row>
    <row r="587" spans="3:15" ht="15" customHeight="1">
      <c r="C587" s="46" t="str">
        <f t="shared" si="126"/>
        <v/>
      </c>
      <c r="D587" t="str">
        <f t="shared" si="127"/>
        <v/>
      </c>
      <c r="J587" s="403">
        <f t="shared" si="129"/>
        <v>0</v>
      </c>
      <c r="K587" s="402">
        <f t="shared" si="129"/>
        <v>0</v>
      </c>
      <c r="L587" s="46"/>
      <c r="M587" s="239">
        <f t="shared" si="130"/>
        <v>0</v>
      </c>
      <c r="O587" s="312" t="str">
        <f t="shared" si="128"/>
        <v/>
      </c>
    </row>
    <row r="588" spans="3:15" ht="15" customHeight="1">
      <c r="C588" s="46" t="str">
        <f t="shared" si="126"/>
        <v/>
      </c>
      <c r="D588" t="str">
        <f t="shared" si="127"/>
        <v/>
      </c>
      <c r="J588" s="403">
        <f t="shared" si="129"/>
        <v>0</v>
      </c>
      <c r="K588" s="402">
        <f t="shared" si="129"/>
        <v>0</v>
      </c>
      <c r="L588" s="46"/>
      <c r="M588" s="239">
        <f t="shared" si="130"/>
        <v>0</v>
      </c>
      <c r="O588" s="312" t="str">
        <f t="shared" si="128"/>
        <v/>
      </c>
    </row>
    <row r="589" spans="3:15" ht="15" customHeight="1">
      <c r="C589" s="46" t="str">
        <f t="shared" si="126"/>
        <v/>
      </c>
      <c r="D589" t="str">
        <f t="shared" si="127"/>
        <v/>
      </c>
      <c r="J589" s="403">
        <f t="shared" si="129"/>
        <v>0</v>
      </c>
      <c r="K589" s="402">
        <f t="shared" si="129"/>
        <v>0</v>
      </c>
      <c r="L589" s="46"/>
      <c r="M589" s="239">
        <f t="shared" si="130"/>
        <v>0</v>
      </c>
      <c r="O589" s="312" t="str">
        <f t="shared" si="128"/>
        <v/>
      </c>
    </row>
    <row r="590" spans="3:15" ht="15" customHeight="1">
      <c r="C590" s="46" t="str">
        <f t="shared" si="126"/>
        <v/>
      </c>
      <c r="D590" t="str">
        <f t="shared" si="127"/>
        <v/>
      </c>
      <c r="J590" s="403">
        <f t="shared" si="129"/>
        <v>0</v>
      </c>
      <c r="K590" s="402">
        <f t="shared" si="129"/>
        <v>0</v>
      </c>
      <c r="L590" s="46"/>
      <c r="M590" s="239">
        <f t="shared" si="130"/>
        <v>0</v>
      </c>
      <c r="O590" s="312" t="str">
        <f t="shared" si="128"/>
        <v/>
      </c>
    </row>
    <row r="591" spans="3:15" ht="15" customHeight="1">
      <c r="C591" s="46" t="str">
        <f t="shared" si="126"/>
        <v/>
      </c>
      <c r="D591" t="str">
        <f t="shared" si="127"/>
        <v/>
      </c>
      <c r="J591" s="403">
        <f t="shared" si="129"/>
        <v>0</v>
      </c>
      <c r="K591" s="402">
        <f t="shared" si="129"/>
        <v>0</v>
      </c>
      <c r="L591" s="46"/>
      <c r="M591" s="239">
        <f t="shared" si="130"/>
        <v>0</v>
      </c>
      <c r="O591" s="312" t="str">
        <f t="shared" si="128"/>
        <v/>
      </c>
    </row>
    <row r="592" spans="3:15" ht="15" customHeight="1">
      <c r="C592" s="46" t="str">
        <f t="shared" si="126"/>
        <v/>
      </c>
      <c r="D592" t="str">
        <f t="shared" si="127"/>
        <v/>
      </c>
      <c r="J592" s="403">
        <f t="shared" si="129"/>
        <v>0</v>
      </c>
      <c r="K592" s="402">
        <f t="shared" si="129"/>
        <v>0</v>
      </c>
      <c r="L592" s="46"/>
      <c r="M592" s="239">
        <f t="shared" si="130"/>
        <v>0</v>
      </c>
      <c r="O592" s="312" t="str">
        <f t="shared" si="128"/>
        <v/>
      </c>
    </row>
    <row r="593" spans="3:15" ht="15" customHeight="1">
      <c r="C593" s="46" t="str">
        <f t="shared" si="126"/>
        <v/>
      </c>
      <c r="D593" t="str">
        <f t="shared" si="127"/>
        <v/>
      </c>
      <c r="J593" s="403">
        <f t="shared" si="129"/>
        <v>0</v>
      </c>
      <c r="K593" s="402">
        <f t="shared" si="129"/>
        <v>0</v>
      </c>
      <c r="L593" s="46"/>
      <c r="M593" s="239">
        <f t="shared" si="130"/>
        <v>0</v>
      </c>
      <c r="O593" s="312" t="str">
        <f t="shared" si="128"/>
        <v/>
      </c>
    </row>
    <row r="594" spans="3:15" ht="15" customHeight="1">
      <c r="C594" s="46" t="str">
        <f t="shared" si="126"/>
        <v/>
      </c>
      <c r="D594" t="str">
        <f t="shared" si="127"/>
        <v/>
      </c>
      <c r="J594" s="403">
        <f t="shared" si="129"/>
        <v>0</v>
      </c>
      <c r="K594" s="402">
        <f t="shared" si="129"/>
        <v>0</v>
      </c>
      <c r="L594" s="46"/>
      <c r="M594" s="239">
        <f t="shared" si="130"/>
        <v>0</v>
      </c>
      <c r="O594" s="312" t="str">
        <f t="shared" si="128"/>
        <v/>
      </c>
    </row>
    <row r="595" spans="3:15" ht="15" customHeight="1">
      <c r="C595" s="46" t="str">
        <f t="shared" si="126"/>
        <v/>
      </c>
      <c r="D595" t="str">
        <f t="shared" si="127"/>
        <v/>
      </c>
      <c r="J595" s="403">
        <f t="shared" si="129"/>
        <v>0</v>
      </c>
      <c r="K595" s="402">
        <f t="shared" si="129"/>
        <v>0</v>
      </c>
      <c r="L595" s="46"/>
      <c r="M595" s="239">
        <f t="shared" si="130"/>
        <v>0</v>
      </c>
      <c r="O595" s="312" t="str">
        <f t="shared" si="128"/>
        <v/>
      </c>
    </row>
    <row r="596" spans="3:15" ht="15" customHeight="1">
      <c r="C596" s="46" t="str">
        <f t="shared" si="126"/>
        <v/>
      </c>
      <c r="D596" t="str">
        <f t="shared" si="127"/>
        <v/>
      </c>
      <c r="J596" s="403">
        <f t="shared" si="129"/>
        <v>0</v>
      </c>
      <c r="K596" s="402">
        <f t="shared" si="129"/>
        <v>0</v>
      </c>
      <c r="L596" s="46"/>
      <c r="M596" s="239">
        <f t="shared" si="130"/>
        <v>0</v>
      </c>
      <c r="O596" s="312" t="str">
        <f t="shared" si="128"/>
        <v/>
      </c>
    </row>
    <row r="597" spans="3:15" ht="15" customHeight="1">
      <c r="C597" s="46" t="str">
        <f t="shared" si="126"/>
        <v/>
      </c>
      <c r="D597" t="str">
        <f t="shared" si="127"/>
        <v/>
      </c>
      <c r="J597" s="403">
        <f t="shared" si="129"/>
        <v>0</v>
      </c>
      <c r="K597" s="402">
        <f t="shared" si="129"/>
        <v>0</v>
      </c>
      <c r="L597" s="46"/>
      <c r="M597" s="239">
        <f t="shared" si="130"/>
        <v>0</v>
      </c>
      <c r="O597" s="312" t="str">
        <f t="shared" si="128"/>
        <v/>
      </c>
    </row>
    <row r="598" spans="3:15" ht="15" customHeight="1">
      <c r="C598" s="46" t="str">
        <f t="shared" ref="C598:C661" si="131">IF(B598&lt;&gt;"",PROPER(TEXT(B598,"mmmm")),"")</f>
        <v/>
      </c>
      <c r="D598" t="str">
        <f t="shared" ref="D598:D661" si="132">IF(B598="","",YEAR(B598))</f>
        <v/>
      </c>
      <c r="J598" s="403">
        <f t="shared" si="129"/>
        <v>0</v>
      </c>
      <c r="K598" s="402">
        <f t="shared" si="129"/>
        <v>0</v>
      </c>
      <c r="L598" s="46"/>
      <c r="M598" s="239">
        <f t="shared" si="130"/>
        <v>0</v>
      </c>
      <c r="O598" s="312" t="str">
        <f t="shared" ref="O598:O661" si="133">IF(N598&lt;&gt;"",TEXT(N598,"mmmm"),"")</f>
        <v/>
      </c>
    </row>
    <row r="599" spans="3:15" ht="15" customHeight="1">
      <c r="C599" s="46" t="str">
        <f t="shared" si="131"/>
        <v/>
      </c>
      <c r="D599" t="str">
        <f t="shared" si="132"/>
        <v/>
      </c>
      <c r="J599" s="403">
        <f t="shared" ref="J599:K662" si="134">I599</f>
        <v>0</v>
      </c>
      <c r="K599" s="402">
        <f t="shared" si="134"/>
        <v>0</v>
      </c>
      <c r="L599" s="46"/>
      <c r="M599" s="239">
        <f t="shared" ref="M599:M662" si="135">J599</f>
        <v>0</v>
      </c>
      <c r="O599" s="312" t="str">
        <f t="shared" si="133"/>
        <v/>
      </c>
    </row>
    <row r="600" spans="3:15" ht="15" customHeight="1">
      <c r="C600" s="46" t="str">
        <f t="shared" si="131"/>
        <v/>
      </c>
      <c r="D600" t="str">
        <f t="shared" si="132"/>
        <v/>
      </c>
      <c r="J600" s="403">
        <f t="shared" si="134"/>
        <v>0</v>
      </c>
      <c r="K600" s="402">
        <f t="shared" si="134"/>
        <v>0</v>
      </c>
      <c r="L600" s="46"/>
      <c r="M600" s="239">
        <f t="shared" si="135"/>
        <v>0</v>
      </c>
      <c r="O600" s="312" t="str">
        <f t="shared" si="133"/>
        <v/>
      </c>
    </row>
    <row r="601" spans="3:15" ht="15" customHeight="1">
      <c r="C601" s="46" t="str">
        <f t="shared" si="131"/>
        <v/>
      </c>
      <c r="D601" t="str">
        <f t="shared" si="132"/>
        <v/>
      </c>
      <c r="J601" s="403">
        <f t="shared" si="134"/>
        <v>0</v>
      </c>
      <c r="K601" s="402">
        <f t="shared" si="134"/>
        <v>0</v>
      </c>
      <c r="L601" s="46"/>
      <c r="M601" s="239">
        <f t="shared" si="135"/>
        <v>0</v>
      </c>
      <c r="O601" s="312" t="str">
        <f t="shared" si="133"/>
        <v/>
      </c>
    </row>
    <row r="602" spans="3:15" ht="15" customHeight="1">
      <c r="C602" s="46" t="str">
        <f t="shared" si="131"/>
        <v/>
      </c>
      <c r="D602" t="str">
        <f t="shared" si="132"/>
        <v/>
      </c>
      <c r="J602" s="403">
        <f t="shared" si="134"/>
        <v>0</v>
      </c>
      <c r="K602" s="402">
        <f t="shared" si="134"/>
        <v>0</v>
      </c>
      <c r="L602" s="46"/>
      <c r="M602" s="239">
        <f t="shared" si="135"/>
        <v>0</v>
      </c>
      <c r="O602" s="312" t="str">
        <f t="shared" si="133"/>
        <v/>
      </c>
    </row>
    <row r="603" spans="3:15" ht="15" customHeight="1">
      <c r="C603" s="46" t="str">
        <f t="shared" si="131"/>
        <v/>
      </c>
      <c r="D603" t="str">
        <f t="shared" si="132"/>
        <v/>
      </c>
      <c r="J603" s="403">
        <f t="shared" si="134"/>
        <v>0</v>
      </c>
      <c r="K603" s="402">
        <f t="shared" si="134"/>
        <v>0</v>
      </c>
      <c r="L603" s="46"/>
      <c r="M603" s="239">
        <f t="shared" si="135"/>
        <v>0</v>
      </c>
      <c r="O603" s="312" t="str">
        <f t="shared" si="133"/>
        <v/>
      </c>
    </row>
    <row r="604" spans="3:15" ht="15" customHeight="1">
      <c r="C604" s="46" t="str">
        <f t="shared" si="131"/>
        <v/>
      </c>
      <c r="D604" t="str">
        <f t="shared" si="132"/>
        <v/>
      </c>
      <c r="J604" s="403">
        <f t="shared" si="134"/>
        <v>0</v>
      </c>
      <c r="K604" s="402">
        <f t="shared" si="134"/>
        <v>0</v>
      </c>
      <c r="L604" s="46"/>
      <c r="M604" s="239">
        <f t="shared" si="135"/>
        <v>0</v>
      </c>
      <c r="O604" s="312" t="str">
        <f t="shared" si="133"/>
        <v/>
      </c>
    </row>
    <row r="605" spans="3:15" ht="15" customHeight="1">
      <c r="C605" s="46" t="str">
        <f t="shared" si="131"/>
        <v/>
      </c>
      <c r="D605" t="str">
        <f t="shared" si="132"/>
        <v/>
      </c>
      <c r="J605" s="403">
        <f t="shared" si="134"/>
        <v>0</v>
      </c>
      <c r="K605" s="402">
        <f t="shared" si="134"/>
        <v>0</v>
      </c>
      <c r="L605" s="46"/>
      <c r="M605" s="239">
        <f t="shared" si="135"/>
        <v>0</v>
      </c>
      <c r="O605" s="312" t="str">
        <f t="shared" si="133"/>
        <v/>
      </c>
    </row>
    <row r="606" spans="3:15" ht="15" customHeight="1">
      <c r="C606" s="46" t="str">
        <f t="shared" si="131"/>
        <v/>
      </c>
      <c r="D606" t="str">
        <f t="shared" si="132"/>
        <v/>
      </c>
      <c r="J606" s="403">
        <f t="shared" si="134"/>
        <v>0</v>
      </c>
      <c r="K606" s="402">
        <f t="shared" si="134"/>
        <v>0</v>
      </c>
      <c r="L606" s="46"/>
      <c r="M606" s="239">
        <f t="shared" si="135"/>
        <v>0</v>
      </c>
      <c r="O606" s="312" t="str">
        <f t="shared" si="133"/>
        <v/>
      </c>
    </row>
    <row r="607" spans="3:15" ht="15" customHeight="1">
      <c r="C607" s="46" t="str">
        <f t="shared" si="131"/>
        <v/>
      </c>
      <c r="D607" t="str">
        <f t="shared" si="132"/>
        <v/>
      </c>
      <c r="J607" s="403">
        <f t="shared" si="134"/>
        <v>0</v>
      </c>
      <c r="K607" s="402">
        <f t="shared" si="134"/>
        <v>0</v>
      </c>
      <c r="L607" s="46"/>
      <c r="M607" s="239">
        <f t="shared" si="135"/>
        <v>0</v>
      </c>
      <c r="O607" s="312" t="str">
        <f t="shared" si="133"/>
        <v/>
      </c>
    </row>
    <row r="608" spans="3:15" ht="15" customHeight="1">
      <c r="C608" s="46" t="str">
        <f t="shared" si="131"/>
        <v/>
      </c>
      <c r="D608" t="str">
        <f t="shared" si="132"/>
        <v/>
      </c>
      <c r="J608" s="403">
        <f t="shared" si="134"/>
        <v>0</v>
      </c>
      <c r="K608" s="402">
        <f t="shared" si="134"/>
        <v>0</v>
      </c>
      <c r="L608" s="46"/>
      <c r="M608" s="239">
        <f t="shared" si="135"/>
        <v>0</v>
      </c>
      <c r="O608" s="312" t="str">
        <f t="shared" si="133"/>
        <v/>
      </c>
    </row>
    <row r="609" spans="3:15" ht="15" customHeight="1">
      <c r="C609" s="46" t="str">
        <f t="shared" si="131"/>
        <v/>
      </c>
      <c r="D609" t="str">
        <f t="shared" si="132"/>
        <v/>
      </c>
      <c r="J609" s="403">
        <f t="shared" si="134"/>
        <v>0</v>
      </c>
      <c r="K609" s="402">
        <f t="shared" si="134"/>
        <v>0</v>
      </c>
      <c r="L609" s="46"/>
      <c r="M609" s="239">
        <f t="shared" si="135"/>
        <v>0</v>
      </c>
      <c r="O609" s="312" t="str">
        <f t="shared" si="133"/>
        <v/>
      </c>
    </row>
    <row r="610" spans="3:15" ht="15" customHeight="1">
      <c r="C610" s="46" t="str">
        <f t="shared" si="131"/>
        <v/>
      </c>
      <c r="D610" t="str">
        <f t="shared" si="132"/>
        <v/>
      </c>
      <c r="J610" s="403">
        <f t="shared" si="134"/>
        <v>0</v>
      </c>
      <c r="K610" s="402">
        <f t="shared" si="134"/>
        <v>0</v>
      </c>
      <c r="L610" s="46"/>
      <c r="M610" s="239">
        <f t="shared" si="135"/>
        <v>0</v>
      </c>
      <c r="O610" s="312" t="str">
        <f t="shared" si="133"/>
        <v/>
      </c>
    </row>
    <row r="611" spans="3:15" ht="15" customHeight="1">
      <c r="C611" s="46" t="str">
        <f t="shared" si="131"/>
        <v/>
      </c>
      <c r="D611" t="str">
        <f t="shared" si="132"/>
        <v/>
      </c>
      <c r="J611" s="403">
        <f t="shared" si="134"/>
        <v>0</v>
      </c>
      <c r="K611" s="402">
        <f t="shared" si="134"/>
        <v>0</v>
      </c>
      <c r="L611" s="46"/>
      <c r="M611" s="239">
        <f t="shared" si="135"/>
        <v>0</v>
      </c>
      <c r="O611" s="312" t="str">
        <f t="shared" si="133"/>
        <v/>
      </c>
    </row>
    <row r="612" spans="3:15" ht="15" customHeight="1">
      <c r="C612" s="46" t="str">
        <f t="shared" si="131"/>
        <v/>
      </c>
      <c r="D612" t="str">
        <f t="shared" si="132"/>
        <v/>
      </c>
      <c r="J612" s="403">
        <f t="shared" si="134"/>
        <v>0</v>
      </c>
      <c r="K612" s="402">
        <f t="shared" si="134"/>
        <v>0</v>
      </c>
      <c r="L612" s="46"/>
      <c r="M612" s="239">
        <f t="shared" si="135"/>
        <v>0</v>
      </c>
      <c r="O612" s="312" t="str">
        <f t="shared" si="133"/>
        <v/>
      </c>
    </row>
    <row r="613" spans="3:15" ht="15" customHeight="1">
      <c r="C613" s="46" t="str">
        <f t="shared" si="131"/>
        <v/>
      </c>
      <c r="D613" t="str">
        <f t="shared" si="132"/>
        <v/>
      </c>
      <c r="J613" s="403">
        <f t="shared" si="134"/>
        <v>0</v>
      </c>
      <c r="K613" s="402">
        <f t="shared" si="134"/>
        <v>0</v>
      </c>
      <c r="L613" s="46"/>
      <c r="M613" s="239">
        <f t="shared" si="135"/>
        <v>0</v>
      </c>
      <c r="O613" s="312" t="str">
        <f t="shared" si="133"/>
        <v/>
      </c>
    </row>
    <row r="614" spans="3:15" ht="15" customHeight="1">
      <c r="C614" s="46" t="str">
        <f t="shared" si="131"/>
        <v/>
      </c>
      <c r="D614" t="str">
        <f t="shared" si="132"/>
        <v/>
      </c>
      <c r="J614" s="403">
        <f t="shared" si="134"/>
        <v>0</v>
      </c>
      <c r="K614" s="402">
        <f t="shared" si="134"/>
        <v>0</v>
      </c>
      <c r="L614" s="46"/>
      <c r="M614" s="239">
        <f t="shared" si="135"/>
        <v>0</v>
      </c>
      <c r="O614" s="312" t="str">
        <f t="shared" si="133"/>
        <v/>
      </c>
    </row>
    <row r="615" spans="3:15" ht="15" customHeight="1">
      <c r="C615" s="46" t="str">
        <f t="shared" si="131"/>
        <v/>
      </c>
      <c r="D615" t="str">
        <f t="shared" si="132"/>
        <v/>
      </c>
      <c r="J615" s="403">
        <f t="shared" si="134"/>
        <v>0</v>
      </c>
      <c r="K615" s="402">
        <f t="shared" si="134"/>
        <v>0</v>
      </c>
      <c r="L615" s="46"/>
      <c r="M615" s="239">
        <f t="shared" si="135"/>
        <v>0</v>
      </c>
      <c r="O615" s="312" t="str">
        <f t="shared" si="133"/>
        <v/>
      </c>
    </row>
    <row r="616" spans="3:15" ht="15" customHeight="1">
      <c r="C616" s="46" t="str">
        <f t="shared" si="131"/>
        <v/>
      </c>
      <c r="D616" t="str">
        <f t="shared" si="132"/>
        <v/>
      </c>
      <c r="J616" s="403">
        <f t="shared" si="134"/>
        <v>0</v>
      </c>
      <c r="K616" s="402">
        <f t="shared" si="134"/>
        <v>0</v>
      </c>
      <c r="L616" s="46"/>
      <c r="M616" s="239">
        <f t="shared" si="135"/>
        <v>0</v>
      </c>
      <c r="O616" s="312" t="str">
        <f t="shared" si="133"/>
        <v/>
      </c>
    </row>
    <row r="617" spans="3:15" ht="15" customHeight="1">
      <c r="C617" s="46" t="str">
        <f t="shared" si="131"/>
        <v/>
      </c>
      <c r="D617" t="str">
        <f t="shared" si="132"/>
        <v/>
      </c>
      <c r="J617" s="403">
        <f t="shared" si="134"/>
        <v>0</v>
      </c>
      <c r="K617" s="402">
        <f t="shared" si="134"/>
        <v>0</v>
      </c>
      <c r="L617" s="46"/>
      <c r="M617" s="239">
        <f t="shared" si="135"/>
        <v>0</v>
      </c>
      <c r="O617" s="312" t="str">
        <f t="shared" si="133"/>
        <v/>
      </c>
    </row>
    <row r="618" spans="3:15" ht="15" customHeight="1">
      <c r="C618" s="46" t="str">
        <f t="shared" si="131"/>
        <v/>
      </c>
      <c r="D618" t="str">
        <f t="shared" si="132"/>
        <v/>
      </c>
      <c r="J618" s="403">
        <f t="shared" si="134"/>
        <v>0</v>
      </c>
      <c r="K618" s="402">
        <f t="shared" si="134"/>
        <v>0</v>
      </c>
      <c r="L618" s="46"/>
      <c r="M618" s="239">
        <f t="shared" si="135"/>
        <v>0</v>
      </c>
      <c r="O618" s="312" t="str">
        <f t="shared" si="133"/>
        <v/>
      </c>
    </row>
    <row r="619" spans="3:15" ht="15" customHeight="1">
      <c r="C619" s="46" t="str">
        <f t="shared" si="131"/>
        <v/>
      </c>
      <c r="D619" t="str">
        <f t="shared" si="132"/>
        <v/>
      </c>
      <c r="J619" s="403">
        <f t="shared" si="134"/>
        <v>0</v>
      </c>
      <c r="K619" s="402">
        <f t="shared" si="134"/>
        <v>0</v>
      </c>
      <c r="L619" s="46"/>
      <c r="M619" s="239">
        <f t="shared" si="135"/>
        <v>0</v>
      </c>
      <c r="O619" s="312" t="str">
        <f t="shared" si="133"/>
        <v/>
      </c>
    </row>
    <row r="620" spans="3:15" ht="15" customHeight="1">
      <c r="C620" s="46" t="str">
        <f t="shared" si="131"/>
        <v/>
      </c>
      <c r="D620" t="str">
        <f t="shared" si="132"/>
        <v/>
      </c>
      <c r="J620" s="403">
        <f t="shared" si="134"/>
        <v>0</v>
      </c>
      <c r="K620" s="402">
        <f t="shared" si="134"/>
        <v>0</v>
      </c>
      <c r="L620" s="46"/>
      <c r="M620" s="239">
        <f t="shared" si="135"/>
        <v>0</v>
      </c>
      <c r="O620" s="312" t="str">
        <f t="shared" si="133"/>
        <v/>
      </c>
    </row>
    <row r="621" spans="3:15" ht="15" customHeight="1">
      <c r="C621" s="46" t="str">
        <f t="shared" si="131"/>
        <v/>
      </c>
      <c r="D621" t="str">
        <f t="shared" si="132"/>
        <v/>
      </c>
      <c r="J621" s="403">
        <f t="shared" si="134"/>
        <v>0</v>
      </c>
      <c r="K621" s="402">
        <f t="shared" si="134"/>
        <v>0</v>
      </c>
      <c r="L621" s="46"/>
      <c r="M621" s="239">
        <f t="shared" si="135"/>
        <v>0</v>
      </c>
      <c r="O621" s="312" t="str">
        <f t="shared" si="133"/>
        <v/>
      </c>
    </row>
    <row r="622" spans="3:15" ht="15" customHeight="1">
      <c r="C622" s="46" t="str">
        <f t="shared" si="131"/>
        <v/>
      </c>
      <c r="D622" t="str">
        <f t="shared" si="132"/>
        <v/>
      </c>
      <c r="J622" s="403">
        <f t="shared" si="134"/>
        <v>0</v>
      </c>
      <c r="K622" s="402">
        <f t="shared" si="134"/>
        <v>0</v>
      </c>
      <c r="L622" s="46"/>
      <c r="M622" s="239">
        <f t="shared" si="135"/>
        <v>0</v>
      </c>
      <c r="O622" s="312" t="str">
        <f t="shared" si="133"/>
        <v/>
      </c>
    </row>
    <row r="623" spans="3:15" ht="15" customHeight="1">
      <c r="C623" s="46" t="str">
        <f t="shared" si="131"/>
        <v/>
      </c>
      <c r="D623" t="str">
        <f t="shared" si="132"/>
        <v/>
      </c>
      <c r="J623" s="403">
        <f t="shared" si="134"/>
        <v>0</v>
      </c>
      <c r="K623" s="402">
        <f t="shared" si="134"/>
        <v>0</v>
      </c>
      <c r="L623" s="46"/>
      <c r="M623" s="239">
        <f t="shared" si="135"/>
        <v>0</v>
      </c>
      <c r="O623" s="312" t="str">
        <f t="shared" si="133"/>
        <v/>
      </c>
    </row>
    <row r="624" spans="3:15" ht="15" customHeight="1">
      <c r="C624" s="46" t="str">
        <f t="shared" si="131"/>
        <v/>
      </c>
      <c r="D624" t="str">
        <f t="shared" si="132"/>
        <v/>
      </c>
      <c r="J624" s="403">
        <f t="shared" si="134"/>
        <v>0</v>
      </c>
      <c r="K624" s="402">
        <f t="shared" si="134"/>
        <v>0</v>
      </c>
      <c r="L624" s="46"/>
      <c r="M624" s="239">
        <f t="shared" si="135"/>
        <v>0</v>
      </c>
      <c r="O624" s="312" t="str">
        <f t="shared" si="133"/>
        <v/>
      </c>
    </row>
    <row r="625" spans="3:15" ht="15" customHeight="1">
      <c r="C625" s="46" t="str">
        <f t="shared" si="131"/>
        <v/>
      </c>
      <c r="D625" t="str">
        <f t="shared" si="132"/>
        <v/>
      </c>
      <c r="J625" s="403">
        <f t="shared" si="134"/>
        <v>0</v>
      </c>
      <c r="K625" s="402">
        <f t="shared" si="134"/>
        <v>0</v>
      </c>
      <c r="L625" s="46"/>
      <c r="M625" s="239">
        <f t="shared" si="135"/>
        <v>0</v>
      </c>
      <c r="O625" s="312" t="str">
        <f t="shared" si="133"/>
        <v/>
      </c>
    </row>
    <row r="626" spans="3:15" ht="15" customHeight="1">
      <c r="C626" s="46" t="str">
        <f t="shared" si="131"/>
        <v/>
      </c>
      <c r="D626" t="str">
        <f t="shared" si="132"/>
        <v/>
      </c>
      <c r="J626" s="403">
        <f t="shared" si="134"/>
        <v>0</v>
      </c>
      <c r="K626" s="402">
        <f t="shared" si="134"/>
        <v>0</v>
      </c>
      <c r="L626" s="46"/>
      <c r="M626" s="239">
        <f t="shared" si="135"/>
        <v>0</v>
      </c>
      <c r="O626" s="312" t="str">
        <f t="shared" si="133"/>
        <v/>
      </c>
    </row>
    <row r="627" spans="3:15" ht="15" customHeight="1">
      <c r="C627" s="46" t="str">
        <f t="shared" si="131"/>
        <v/>
      </c>
      <c r="D627" t="str">
        <f t="shared" si="132"/>
        <v/>
      </c>
      <c r="J627" s="403">
        <f t="shared" si="134"/>
        <v>0</v>
      </c>
      <c r="K627" s="402">
        <f t="shared" si="134"/>
        <v>0</v>
      </c>
      <c r="L627" s="46"/>
      <c r="M627" s="239">
        <f t="shared" si="135"/>
        <v>0</v>
      </c>
      <c r="O627" s="312" t="str">
        <f t="shared" si="133"/>
        <v/>
      </c>
    </row>
    <row r="628" spans="3:15" ht="15" customHeight="1">
      <c r="C628" s="46" t="str">
        <f t="shared" si="131"/>
        <v/>
      </c>
      <c r="D628" t="str">
        <f t="shared" si="132"/>
        <v/>
      </c>
      <c r="J628" s="403">
        <f t="shared" si="134"/>
        <v>0</v>
      </c>
      <c r="K628" s="402">
        <f t="shared" si="134"/>
        <v>0</v>
      </c>
      <c r="L628" s="46"/>
      <c r="M628" s="239">
        <f t="shared" si="135"/>
        <v>0</v>
      </c>
      <c r="O628" s="312" t="str">
        <f t="shared" si="133"/>
        <v/>
      </c>
    </row>
    <row r="629" spans="3:15" ht="15" customHeight="1">
      <c r="C629" s="46" t="str">
        <f t="shared" si="131"/>
        <v/>
      </c>
      <c r="D629" t="str">
        <f t="shared" si="132"/>
        <v/>
      </c>
      <c r="J629" s="403">
        <f t="shared" si="134"/>
        <v>0</v>
      </c>
      <c r="K629" s="402">
        <f t="shared" si="134"/>
        <v>0</v>
      </c>
      <c r="L629" s="46"/>
      <c r="M629" s="239">
        <f t="shared" si="135"/>
        <v>0</v>
      </c>
      <c r="O629" s="312" t="str">
        <f t="shared" si="133"/>
        <v/>
      </c>
    </row>
    <row r="630" spans="3:15" ht="15" customHeight="1">
      <c r="C630" s="46" t="str">
        <f t="shared" si="131"/>
        <v/>
      </c>
      <c r="D630" t="str">
        <f t="shared" si="132"/>
        <v/>
      </c>
      <c r="J630" s="403">
        <f t="shared" si="134"/>
        <v>0</v>
      </c>
      <c r="K630" s="402">
        <f t="shared" si="134"/>
        <v>0</v>
      </c>
      <c r="L630" s="46"/>
      <c r="M630" s="239">
        <f t="shared" si="135"/>
        <v>0</v>
      </c>
      <c r="O630" s="312" t="str">
        <f t="shared" si="133"/>
        <v/>
      </c>
    </row>
    <row r="631" spans="3:15" ht="15" customHeight="1">
      <c r="C631" s="46" t="str">
        <f t="shared" si="131"/>
        <v/>
      </c>
      <c r="D631" t="str">
        <f t="shared" si="132"/>
        <v/>
      </c>
      <c r="J631" s="403">
        <f t="shared" si="134"/>
        <v>0</v>
      </c>
      <c r="K631" s="402">
        <f t="shared" si="134"/>
        <v>0</v>
      </c>
      <c r="L631" s="46"/>
      <c r="M631" s="239">
        <f t="shared" si="135"/>
        <v>0</v>
      </c>
      <c r="O631" s="312" t="str">
        <f t="shared" si="133"/>
        <v/>
      </c>
    </row>
    <row r="632" spans="3:15" ht="15" customHeight="1">
      <c r="C632" s="46" t="str">
        <f t="shared" si="131"/>
        <v/>
      </c>
      <c r="D632" t="str">
        <f t="shared" si="132"/>
        <v/>
      </c>
      <c r="J632" s="403">
        <f t="shared" si="134"/>
        <v>0</v>
      </c>
      <c r="K632" s="402">
        <f t="shared" si="134"/>
        <v>0</v>
      </c>
      <c r="L632" s="46"/>
      <c r="M632" s="239">
        <f t="shared" si="135"/>
        <v>0</v>
      </c>
      <c r="O632" s="312" t="str">
        <f t="shared" si="133"/>
        <v/>
      </c>
    </row>
    <row r="633" spans="3:15" ht="15" customHeight="1">
      <c r="C633" s="46" t="str">
        <f t="shared" si="131"/>
        <v/>
      </c>
      <c r="D633" t="str">
        <f t="shared" si="132"/>
        <v/>
      </c>
      <c r="J633" s="403">
        <f t="shared" si="134"/>
        <v>0</v>
      </c>
      <c r="K633" s="402">
        <f t="shared" si="134"/>
        <v>0</v>
      </c>
      <c r="L633" s="46"/>
      <c r="M633" s="239">
        <f t="shared" si="135"/>
        <v>0</v>
      </c>
      <c r="O633" s="312" t="str">
        <f t="shared" si="133"/>
        <v/>
      </c>
    </row>
    <row r="634" spans="3:15" ht="15" customHeight="1">
      <c r="C634" s="46" t="str">
        <f t="shared" si="131"/>
        <v/>
      </c>
      <c r="D634" t="str">
        <f t="shared" si="132"/>
        <v/>
      </c>
      <c r="J634" s="403">
        <f t="shared" si="134"/>
        <v>0</v>
      </c>
      <c r="K634" s="402">
        <f t="shared" si="134"/>
        <v>0</v>
      </c>
      <c r="L634" s="46"/>
      <c r="M634" s="239">
        <f t="shared" si="135"/>
        <v>0</v>
      </c>
      <c r="O634" s="312" t="str">
        <f t="shared" si="133"/>
        <v/>
      </c>
    </row>
    <row r="635" spans="3:15" ht="15" customHeight="1">
      <c r="C635" s="46" t="str">
        <f t="shared" si="131"/>
        <v/>
      </c>
      <c r="D635" t="str">
        <f t="shared" si="132"/>
        <v/>
      </c>
      <c r="J635" s="403">
        <f t="shared" si="134"/>
        <v>0</v>
      </c>
      <c r="K635" s="402">
        <f t="shared" si="134"/>
        <v>0</v>
      </c>
      <c r="L635" s="46"/>
      <c r="M635" s="239">
        <f t="shared" si="135"/>
        <v>0</v>
      </c>
      <c r="O635" s="312" t="str">
        <f t="shared" si="133"/>
        <v/>
      </c>
    </row>
    <row r="636" spans="3:15" ht="15" customHeight="1">
      <c r="C636" s="46" t="str">
        <f t="shared" si="131"/>
        <v/>
      </c>
      <c r="D636" t="str">
        <f t="shared" si="132"/>
        <v/>
      </c>
      <c r="J636" s="403">
        <f t="shared" si="134"/>
        <v>0</v>
      </c>
      <c r="K636" s="402">
        <f t="shared" si="134"/>
        <v>0</v>
      </c>
      <c r="L636" s="46"/>
      <c r="M636" s="239">
        <f t="shared" si="135"/>
        <v>0</v>
      </c>
      <c r="O636" s="312" t="str">
        <f t="shared" si="133"/>
        <v/>
      </c>
    </row>
    <row r="637" spans="3:15" ht="15" customHeight="1">
      <c r="C637" s="46" t="str">
        <f t="shared" si="131"/>
        <v/>
      </c>
      <c r="D637" t="str">
        <f t="shared" si="132"/>
        <v/>
      </c>
      <c r="J637" s="403">
        <f t="shared" si="134"/>
        <v>0</v>
      </c>
      <c r="K637" s="402">
        <f t="shared" si="134"/>
        <v>0</v>
      </c>
      <c r="L637" s="46"/>
      <c r="M637" s="239">
        <f t="shared" si="135"/>
        <v>0</v>
      </c>
      <c r="O637" s="312" t="str">
        <f t="shared" si="133"/>
        <v/>
      </c>
    </row>
    <row r="638" spans="3:15" ht="15" customHeight="1">
      <c r="C638" s="46" t="str">
        <f t="shared" si="131"/>
        <v/>
      </c>
      <c r="D638" t="str">
        <f t="shared" si="132"/>
        <v/>
      </c>
      <c r="J638" s="403">
        <f t="shared" si="134"/>
        <v>0</v>
      </c>
      <c r="K638" s="402">
        <f t="shared" si="134"/>
        <v>0</v>
      </c>
      <c r="L638" s="46"/>
      <c r="M638" s="239">
        <f t="shared" si="135"/>
        <v>0</v>
      </c>
      <c r="O638" s="312" t="str">
        <f t="shared" si="133"/>
        <v/>
      </c>
    </row>
    <row r="639" spans="3:15" ht="15" customHeight="1">
      <c r="C639" s="46" t="str">
        <f t="shared" si="131"/>
        <v/>
      </c>
      <c r="D639" t="str">
        <f t="shared" si="132"/>
        <v/>
      </c>
      <c r="J639" s="403">
        <f t="shared" si="134"/>
        <v>0</v>
      </c>
      <c r="K639" s="402">
        <f t="shared" si="134"/>
        <v>0</v>
      </c>
      <c r="L639" s="46"/>
      <c r="M639" s="239">
        <f t="shared" si="135"/>
        <v>0</v>
      </c>
      <c r="O639" s="312" t="str">
        <f t="shared" si="133"/>
        <v/>
      </c>
    </row>
    <row r="640" spans="3:15" ht="15" customHeight="1">
      <c r="C640" s="46" t="str">
        <f t="shared" si="131"/>
        <v/>
      </c>
      <c r="D640" t="str">
        <f t="shared" si="132"/>
        <v/>
      </c>
      <c r="J640" s="403">
        <f t="shared" si="134"/>
        <v>0</v>
      </c>
      <c r="K640" s="402">
        <f t="shared" si="134"/>
        <v>0</v>
      </c>
      <c r="L640" s="46"/>
      <c r="M640" s="239">
        <f t="shared" si="135"/>
        <v>0</v>
      </c>
      <c r="O640" s="312" t="str">
        <f t="shared" si="133"/>
        <v/>
      </c>
    </row>
    <row r="641" spans="3:15" ht="15" customHeight="1">
      <c r="C641" s="46" t="str">
        <f t="shared" si="131"/>
        <v/>
      </c>
      <c r="D641" t="str">
        <f t="shared" si="132"/>
        <v/>
      </c>
      <c r="J641" s="403">
        <f t="shared" si="134"/>
        <v>0</v>
      </c>
      <c r="K641" s="402">
        <f t="shared" si="134"/>
        <v>0</v>
      </c>
      <c r="L641" s="46"/>
      <c r="M641" s="239">
        <f t="shared" si="135"/>
        <v>0</v>
      </c>
      <c r="O641" s="312" t="str">
        <f t="shared" si="133"/>
        <v/>
      </c>
    </row>
    <row r="642" spans="3:15" ht="15" customHeight="1">
      <c r="C642" s="46" t="str">
        <f t="shared" si="131"/>
        <v/>
      </c>
      <c r="D642" t="str">
        <f t="shared" si="132"/>
        <v/>
      </c>
      <c r="J642" s="403">
        <f t="shared" si="134"/>
        <v>0</v>
      </c>
      <c r="K642" s="402">
        <f t="shared" si="134"/>
        <v>0</v>
      </c>
      <c r="L642" s="46"/>
      <c r="M642" s="239">
        <f t="shared" si="135"/>
        <v>0</v>
      </c>
      <c r="O642" s="312" t="str">
        <f t="shared" si="133"/>
        <v/>
      </c>
    </row>
    <row r="643" spans="3:15" ht="15" customHeight="1">
      <c r="C643" s="46" t="str">
        <f t="shared" si="131"/>
        <v/>
      </c>
      <c r="D643" t="str">
        <f t="shared" si="132"/>
        <v/>
      </c>
      <c r="J643" s="403">
        <f t="shared" si="134"/>
        <v>0</v>
      </c>
      <c r="K643" s="402">
        <f t="shared" si="134"/>
        <v>0</v>
      </c>
      <c r="L643" s="46"/>
      <c r="M643" s="239">
        <f t="shared" si="135"/>
        <v>0</v>
      </c>
      <c r="O643" s="312" t="str">
        <f t="shared" si="133"/>
        <v/>
      </c>
    </row>
    <row r="644" spans="3:15" ht="15" customHeight="1">
      <c r="C644" s="46" t="str">
        <f t="shared" si="131"/>
        <v/>
      </c>
      <c r="D644" t="str">
        <f t="shared" si="132"/>
        <v/>
      </c>
      <c r="J644" s="403">
        <f t="shared" si="134"/>
        <v>0</v>
      </c>
      <c r="K644" s="402">
        <f t="shared" si="134"/>
        <v>0</v>
      </c>
      <c r="L644" s="46"/>
      <c r="M644" s="239">
        <f t="shared" si="135"/>
        <v>0</v>
      </c>
      <c r="O644" s="312" t="str">
        <f t="shared" si="133"/>
        <v/>
      </c>
    </row>
    <row r="645" spans="3:15" ht="15" customHeight="1">
      <c r="C645" s="46" t="str">
        <f t="shared" si="131"/>
        <v/>
      </c>
      <c r="D645" t="str">
        <f t="shared" si="132"/>
        <v/>
      </c>
      <c r="J645" s="403">
        <f t="shared" si="134"/>
        <v>0</v>
      </c>
      <c r="K645" s="402">
        <f t="shared" si="134"/>
        <v>0</v>
      </c>
      <c r="L645" s="46"/>
      <c r="M645" s="239">
        <f t="shared" si="135"/>
        <v>0</v>
      </c>
      <c r="O645" s="312" t="str">
        <f t="shared" si="133"/>
        <v/>
      </c>
    </row>
    <row r="646" spans="3:15" ht="15" customHeight="1">
      <c r="C646" s="46" t="str">
        <f t="shared" si="131"/>
        <v/>
      </c>
      <c r="D646" t="str">
        <f t="shared" si="132"/>
        <v/>
      </c>
      <c r="J646" s="403">
        <f t="shared" si="134"/>
        <v>0</v>
      </c>
      <c r="K646" s="402">
        <f t="shared" si="134"/>
        <v>0</v>
      </c>
      <c r="L646" s="46"/>
      <c r="M646" s="239">
        <f t="shared" si="135"/>
        <v>0</v>
      </c>
      <c r="O646" s="312" t="str">
        <f t="shared" si="133"/>
        <v/>
      </c>
    </row>
    <row r="647" spans="3:15" ht="15" customHeight="1">
      <c r="C647" s="46" t="str">
        <f t="shared" si="131"/>
        <v/>
      </c>
      <c r="D647" t="str">
        <f t="shared" si="132"/>
        <v/>
      </c>
      <c r="J647" s="403">
        <f t="shared" si="134"/>
        <v>0</v>
      </c>
      <c r="K647" s="402">
        <f t="shared" si="134"/>
        <v>0</v>
      </c>
      <c r="L647" s="46"/>
      <c r="M647" s="239">
        <f t="shared" si="135"/>
        <v>0</v>
      </c>
      <c r="O647" s="312" t="str">
        <f t="shared" si="133"/>
        <v/>
      </c>
    </row>
    <row r="648" spans="3:15" ht="15" customHeight="1">
      <c r="C648" s="46" t="str">
        <f t="shared" si="131"/>
        <v/>
      </c>
      <c r="D648" t="str">
        <f t="shared" si="132"/>
        <v/>
      </c>
      <c r="J648" s="403">
        <f t="shared" si="134"/>
        <v>0</v>
      </c>
      <c r="K648" s="402">
        <f t="shared" si="134"/>
        <v>0</v>
      </c>
      <c r="L648" s="46"/>
      <c r="M648" s="239">
        <f t="shared" si="135"/>
        <v>0</v>
      </c>
      <c r="O648" s="312" t="str">
        <f t="shared" si="133"/>
        <v/>
      </c>
    </row>
    <row r="649" spans="3:15" ht="15" customHeight="1">
      <c r="C649" s="46" t="str">
        <f t="shared" si="131"/>
        <v/>
      </c>
      <c r="D649" t="str">
        <f t="shared" si="132"/>
        <v/>
      </c>
      <c r="J649" s="403">
        <f t="shared" si="134"/>
        <v>0</v>
      </c>
      <c r="K649" s="402">
        <f t="shared" si="134"/>
        <v>0</v>
      </c>
      <c r="L649" s="46"/>
      <c r="M649" s="239">
        <f t="shared" si="135"/>
        <v>0</v>
      </c>
      <c r="O649" s="312" t="str">
        <f t="shared" si="133"/>
        <v/>
      </c>
    </row>
    <row r="650" spans="3:15" ht="15" customHeight="1">
      <c r="C650" s="46" t="str">
        <f t="shared" si="131"/>
        <v/>
      </c>
      <c r="D650" t="str">
        <f t="shared" si="132"/>
        <v/>
      </c>
      <c r="J650" s="403">
        <f t="shared" si="134"/>
        <v>0</v>
      </c>
      <c r="K650" s="402">
        <f t="shared" si="134"/>
        <v>0</v>
      </c>
      <c r="L650" s="46"/>
      <c r="M650" s="239">
        <f t="shared" si="135"/>
        <v>0</v>
      </c>
      <c r="O650" s="312" t="str">
        <f t="shared" si="133"/>
        <v/>
      </c>
    </row>
    <row r="651" spans="3:15" ht="15" customHeight="1">
      <c r="C651" s="46" t="str">
        <f t="shared" si="131"/>
        <v/>
      </c>
      <c r="D651" t="str">
        <f t="shared" si="132"/>
        <v/>
      </c>
      <c r="J651" s="403">
        <f t="shared" si="134"/>
        <v>0</v>
      </c>
      <c r="K651" s="402">
        <f t="shared" si="134"/>
        <v>0</v>
      </c>
      <c r="L651" s="46"/>
      <c r="M651" s="239">
        <f t="shared" si="135"/>
        <v>0</v>
      </c>
      <c r="O651" s="312" t="str">
        <f t="shared" si="133"/>
        <v/>
      </c>
    </row>
    <row r="652" spans="3:15" ht="15" customHeight="1">
      <c r="C652" s="46" t="str">
        <f t="shared" si="131"/>
        <v/>
      </c>
      <c r="D652" t="str">
        <f t="shared" si="132"/>
        <v/>
      </c>
      <c r="J652" s="403">
        <f t="shared" si="134"/>
        <v>0</v>
      </c>
      <c r="K652" s="402">
        <f t="shared" si="134"/>
        <v>0</v>
      </c>
      <c r="L652" s="46"/>
      <c r="M652" s="239">
        <f t="shared" si="135"/>
        <v>0</v>
      </c>
      <c r="O652" s="312" t="str">
        <f t="shared" si="133"/>
        <v/>
      </c>
    </row>
    <row r="653" spans="3:15" ht="15" customHeight="1">
      <c r="C653" s="46" t="str">
        <f t="shared" si="131"/>
        <v/>
      </c>
      <c r="D653" t="str">
        <f t="shared" si="132"/>
        <v/>
      </c>
      <c r="J653" s="403">
        <f t="shared" si="134"/>
        <v>0</v>
      </c>
      <c r="K653" s="402">
        <f t="shared" si="134"/>
        <v>0</v>
      </c>
      <c r="L653" s="46"/>
      <c r="M653" s="239">
        <f t="shared" si="135"/>
        <v>0</v>
      </c>
      <c r="O653" s="312" t="str">
        <f t="shared" si="133"/>
        <v/>
      </c>
    </row>
    <row r="654" spans="3:15" ht="15" customHeight="1">
      <c r="C654" s="46" t="str">
        <f t="shared" si="131"/>
        <v/>
      </c>
      <c r="D654" t="str">
        <f t="shared" si="132"/>
        <v/>
      </c>
      <c r="J654" s="403">
        <f t="shared" si="134"/>
        <v>0</v>
      </c>
      <c r="K654" s="402">
        <f t="shared" si="134"/>
        <v>0</v>
      </c>
      <c r="L654" s="46"/>
      <c r="M654" s="239">
        <f t="shared" si="135"/>
        <v>0</v>
      </c>
      <c r="O654" s="312" t="str">
        <f t="shared" si="133"/>
        <v/>
      </c>
    </row>
    <row r="655" spans="3:15" ht="15" customHeight="1">
      <c r="C655" s="46" t="str">
        <f t="shared" si="131"/>
        <v/>
      </c>
      <c r="D655" t="str">
        <f t="shared" si="132"/>
        <v/>
      </c>
      <c r="J655" s="403">
        <f t="shared" si="134"/>
        <v>0</v>
      </c>
      <c r="K655" s="402">
        <f t="shared" si="134"/>
        <v>0</v>
      </c>
      <c r="L655" s="46"/>
      <c r="M655" s="239">
        <f t="shared" si="135"/>
        <v>0</v>
      </c>
      <c r="O655" s="312" t="str">
        <f t="shared" si="133"/>
        <v/>
      </c>
    </row>
    <row r="656" spans="3:15" ht="15" customHeight="1">
      <c r="C656" s="46" t="str">
        <f t="shared" si="131"/>
        <v/>
      </c>
      <c r="D656" t="str">
        <f t="shared" si="132"/>
        <v/>
      </c>
      <c r="J656" s="403">
        <f t="shared" si="134"/>
        <v>0</v>
      </c>
      <c r="K656" s="402">
        <f t="shared" si="134"/>
        <v>0</v>
      </c>
      <c r="L656" s="46"/>
      <c r="M656" s="239">
        <f t="shared" si="135"/>
        <v>0</v>
      </c>
      <c r="O656" s="312" t="str">
        <f t="shared" si="133"/>
        <v/>
      </c>
    </row>
    <row r="657" spans="3:15" ht="15" customHeight="1">
      <c r="C657" s="46" t="str">
        <f t="shared" si="131"/>
        <v/>
      </c>
      <c r="D657" t="str">
        <f t="shared" si="132"/>
        <v/>
      </c>
      <c r="J657" s="403">
        <f t="shared" si="134"/>
        <v>0</v>
      </c>
      <c r="K657" s="402">
        <f t="shared" si="134"/>
        <v>0</v>
      </c>
      <c r="L657" s="46"/>
      <c r="M657" s="239">
        <f t="shared" si="135"/>
        <v>0</v>
      </c>
      <c r="O657" s="312" t="str">
        <f t="shared" si="133"/>
        <v/>
      </c>
    </row>
    <row r="658" spans="3:15" ht="15" customHeight="1">
      <c r="C658" s="46" t="str">
        <f t="shared" si="131"/>
        <v/>
      </c>
      <c r="D658" t="str">
        <f t="shared" si="132"/>
        <v/>
      </c>
      <c r="J658" s="403">
        <f t="shared" si="134"/>
        <v>0</v>
      </c>
      <c r="K658" s="402">
        <f t="shared" si="134"/>
        <v>0</v>
      </c>
      <c r="L658" s="46"/>
      <c r="M658" s="239">
        <f t="shared" si="135"/>
        <v>0</v>
      </c>
      <c r="O658" s="312" t="str">
        <f t="shared" si="133"/>
        <v/>
      </c>
    </row>
    <row r="659" spans="3:15" ht="15" customHeight="1">
      <c r="C659" s="46" t="str">
        <f t="shared" si="131"/>
        <v/>
      </c>
      <c r="D659" t="str">
        <f t="shared" si="132"/>
        <v/>
      </c>
      <c r="J659" s="403">
        <f t="shared" si="134"/>
        <v>0</v>
      </c>
      <c r="K659" s="402">
        <f t="shared" si="134"/>
        <v>0</v>
      </c>
      <c r="L659" s="46"/>
      <c r="M659" s="239">
        <f t="shared" si="135"/>
        <v>0</v>
      </c>
      <c r="O659" s="312" t="str">
        <f t="shared" si="133"/>
        <v/>
      </c>
    </row>
    <row r="660" spans="3:15" ht="15" customHeight="1">
      <c r="C660" s="46" t="str">
        <f t="shared" si="131"/>
        <v/>
      </c>
      <c r="D660" t="str">
        <f t="shared" si="132"/>
        <v/>
      </c>
      <c r="J660" s="403">
        <f t="shared" si="134"/>
        <v>0</v>
      </c>
      <c r="K660" s="402">
        <f t="shared" si="134"/>
        <v>0</v>
      </c>
      <c r="L660" s="46"/>
      <c r="M660" s="239">
        <f t="shared" si="135"/>
        <v>0</v>
      </c>
      <c r="O660" s="312" t="str">
        <f t="shared" si="133"/>
        <v/>
      </c>
    </row>
    <row r="661" spans="3:15" ht="15" customHeight="1">
      <c r="C661" s="46" t="str">
        <f t="shared" si="131"/>
        <v/>
      </c>
      <c r="D661" t="str">
        <f t="shared" si="132"/>
        <v/>
      </c>
      <c r="J661" s="403">
        <f t="shared" si="134"/>
        <v>0</v>
      </c>
      <c r="K661" s="402">
        <f t="shared" si="134"/>
        <v>0</v>
      </c>
      <c r="L661" s="46"/>
      <c r="M661" s="239">
        <f t="shared" si="135"/>
        <v>0</v>
      </c>
      <c r="O661" s="312" t="str">
        <f t="shared" si="133"/>
        <v/>
      </c>
    </row>
    <row r="662" spans="3:15" ht="15" customHeight="1">
      <c r="C662" s="46" t="str">
        <f t="shared" ref="C662:C719" si="136">IF(B662&lt;&gt;"",PROPER(TEXT(B662,"mmmm")),"")</f>
        <v/>
      </c>
      <c r="D662" t="str">
        <f t="shared" ref="D662:D725" si="137">IF(B662="","",YEAR(B662))</f>
        <v/>
      </c>
      <c r="J662" s="403">
        <f t="shared" si="134"/>
        <v>0</v>
      </c>
      <c r="K662" s="402">
        <f t="shared" si="134"/>
        <v>0</v>
      </c>
      <c r="L662" s="46"/>
      <c r="M662" s="239">
        <f t="shared" si="135"/>
        <v>0</v>
      </c>
      <c r="O662" s="312" t="str">
        <f t="shared" ref="O662:O725" si="138">IF(N662&lt;&gt;"",TEXT(N662,"mmmm"),"")</f>
        <v/>
      </c>
    </row>
    <row r="663" spans="3:15" ht="15" customHeight="1">
      <c r="C663" s="46" t="str">
        <f t="shared" si="136"/>
        <v/>
      </c>
      <c r="D663" t="str">
        <f t="shared" si="137"/>
        <v/>
      </c>
      <c r="J663" s="403">
        <f t="shared" ref="J663:K726" si="139">I663</f>
        <v>0</v>
      </c>
      <c r="K663" s="402">
        <f t="shared" si="139"/>
        <v>0</v>
      </c>
      <c r="L663" s="46"/>
      <c r="M663" s="239">
        <f t="shared" ref="M663:M726" si="140">J663</f>
        <v>0</v>
      </c>
      <c r="O663" s="312" t="str">
        <f t="shared" si="138"/>
        <v/>
      </c>
    </row>
    <row r="664" spans="3:15" ht="15" customHeight="1">
      <c r="C664" s="46" t="str">
        <f t="shared" si="136"/>
        <v/>
      </c>
      <c r="D664" t="str">
        <f t="shared" si="137"/>
        <v/>
      </c>
      <c r="J664" s="403">
        <f t="shared" si="139"/>
        <v>0</v>
      </c>
      <c r="K664" s="402">
        <f t="shared" si="139"/>
        <v>0</v>
      </c>
      <c r="L664" s="46"/>
      <c r="M664" s="239">
        <f t="shared" si="140"/>
        <v>0</v>
      </c>
      <c r="O664" s="312" t="str">
        <f t="shared" si="138"/>
        <v/>
      </c>
    </row>
    <row r="665" spans="3:15" ht="15" customHeight="1">
      <c r="C665" s="46" t="str">
        <f t="shared" si="136"/>
        <v/>
      </c>
      <c r="D665" t="str">
        <f t="shared" si="137"/>
        <v/>
      </c>
      <c r="J665" s="403">
        <f t="shared" si="139"/>
        <v>0</v>
      </c>
      <c r="K665" s="402">
        <f t="shared" si="139"/>
        <v>0</v>
      </c>
      <c r="L665" s="46"/>
      <c r="M665" s="239">
        <f t="shared" si="140"/>
        <v>0</v>
      </c>
      <c r="O665" s="312" t="str">
        <f t="shared" si="138"/>
        <v/>
      </c>
    </row>
    <row r="666" spans="3:15" ht="15" customHeight="1">
      <c r="C666" s="46" t="str">
        <f t="shared" si="136"/>
        <v/>
      </c>
      <c r="D666" t="str">
        <f t="shared" si="137"/>
        <v/>
      </c>
      <c r="J666" s="403">
        <f t="shared" si="139"/>
        <v>0</v>
      </c>
      <c r="K666" s="402">
        <f t="shared" si="139"/>
        <v>0</v>
      </c>
      <c r="L666" s="46"/>
      <c r="M666" s="239">
        <f t="shared" si="140"/>
        <v>0</v>
      </c>
      <c r="O666" s="312" t="str">
        <f t="shared" si="138"/>
        <v/>
      </c>
    </row>
    <row r="667" spans="3:15" ht="15" customHeight="1">
      <c r="C667" s="46" t="str">
        <f t="shared" si="136"/>
        <v/>
      </c>
      <c r="D667" t="str">
        <f t="shared" si="137"/>
        <v/>
      </c>
      <c r="J667" s="403">
        <f t="shared" si="139"/>
        <v>0</v>
      </c>
      <c r="K667" s="402">
        <f t="shared" si="139"/>
        <v>0</v>
      </c>
      <c r="L667" s="46"/>
      <c r="M667" s="239">
        <f t="shared" si="140"/>
        <v>0</v>
      </c>
      <c r="O667" s="312" t="str">
        <f t="shared" si="138"/>
        <v/>
      </c>
    </row>
    <row r="668" spans="3:15" ht="15" customHeight="1">
      <c r="C668" s="46" t="str">
        <f t="shared" si="136"/>
        <v/>
      </c>
      <c r="D668" t="str">
        <f t="shared" si="137"/>
        <v/>
      </c>
      <c r="J668" s="403">
        <f t="shared" si="139"/>
        <v>0</v>
      </c>
      <c r="K668" s="402">
        <f t="shared" si="139"/>
        <v>0</v>
      </c>
      <c r="L668" s="46"/>
      <c r="M668" s="239">
        <f t="shared" si="140"/>
        <v>0</v>
      </c>
      <c r="O668" s="312" t="str">
        <f t="shared" si="138"/>
        <v/>
      </c>
    </row>
    <row r="669" spans="3:15" ht="15" customHeight="1">
      <c r="C669" s="46" t="str">
        <f t="shared" si="136"/>
        <v/>
      </c>
      <c r="D669" t="str">
        <f t="shared" si="137"/>
        <v/>
      </c>
      <c r="J669" s="403">
        <f t="shared" si="139"/>
        <v>0</v>
      </c>
      <c r="K669" s="402">
        <f t="shared" si="139"/>
        <v>0</v>
      </c>
      <c r="L669" s="46"/>
      <c r="M669" s="239">
        <f t="shared" si="140"/>
        <v>0</v>
      </c>
      <c r="O669" s="312" t="str">
        <f t="shared" si="138"/>
        <v/>
      </c>
    </row>
    <row r="670" spans="3:15" ht="15" customHeight="1">
      <c r="C670" s="46" t="str">
        <f t="shared" si="136"/>
        <v/>
      </c>
      <c r="D670" t="str">
        <f t="shared" si="137"/>
        <v/>
      </c>
      <c r="J670" s="403">
        <f t="shared" si="139"/>
        <v>0</v>
      </c>
      <c r="K670" s="402">
        <f t="shared" si="139"/>
        <v>0</v>
      </c>
      <c r="L670" s="46"/>
      <c r="M670" s="239">
        <f t="shared" si="140"/>
        <v>0</v>
      </c>
      <c r="O670" s="312" t="str">
        <f t="shared" si="138"/>
        <v/>
      </c>
    </row>
    <row r="671" spans="3:15" ht="15" customHeight="1">
      <c r="C671" s="46" t="str">
        <f t="shared" si="136"/>
        <v/>
      </c>
      <c r="D671" t="str">
        <f t="shared" si="137"/>
        <v/>
      </c>
      <c r="J671" s="403">
        <f t="shared" si="139"/>
        <v>0</v>
      </c>
      <c r="K671" s="402">
        <f t="shared" si="139"/>
        <v>0</v>
      </c>
      <c r="L671" s="46"/>
      <c r="M671" s="239">
        <f t="shared" si="140"/>
        <v>0</v>
      </c>
      <c r="O671" s="312" t="str">
        <f t="shared" si="138"/>
        <v/>
      </c>
    </row>
    <row r="672" spans="3:15" ht="15" customHeight="1">
      <c r="C672" s="46" t="str">
        <f t="shared" si="136"/>
        <v/>
      </c>
      <c r="D672" t="str">
        <f t="shared" si="137"/>
        <v/>
      </c>
      <c r="J672" s="403">
        <f t="shared" si="139"/>
        <v>0</v>
      </c>
      <c r="K672" s="402">
        <f t="shared" si="139"/>
        <v>0</v>
      </c>
      <c r="L672" s="46"/>
      <c r="M672" s="239">
        <f t="shared" si="140"/>
        <v>0</v>
      </c>
      <c r="O672" s="312" t="str">
        <f t="shared" si="138"/>
        <v/>
      </c>
    </row>
    <row r="673" spans="3:15" ht="15" customHeight="1">
      <c r="C673" s="46" t="str">
        <f t="shared" si="136"/>
        <v/>
      </c>
      <c r="D673" t="str">
        <f t="shared" si="137"/>
        <v/>
      </c>
      <c r="J673" s="403">
        <f t="shared" si="139"/>
        <v>0</v>
      </c>
      <c r="K673" s="402">
        <f t="shared" si="139"/>
        <v>0</v>
      </c>
      <c r="L673" s="46"/>
      <c r="M673" s="239">
        <f t="shared" si="140"/>
        <v>0</v>
      </c>
      <c r="O673" s="312" t="str">
        <f t="shared" si="138"/>
        <v/>
      </c>
    </row>
    <row r="674" spans="3:15" ht="15" customHeight="1">
      <c r="C674" s="46" t="str">
        <f t="shared" si="136"/>
        <v/>
      </c>
      <c r="D674" t="str">
        <f t="shared" si="137"/>
        <v/>
      </c>
      <c r="J674" s="403">
        <f t="shared" si="139"/>
        <v>0</v>
      </c>
      <c r="K674" s="402">
        <f t="shared" si="139"/>
        <v>0</v>
      </c>
      <c r="L674" s="46"/>
      <c r="M674" s="239">
        <f t="shared" si="140"/>
        <v>0</v>
      </c>
      <c r="O674" s="312" t="str">
        <f t="shared" si="138"/>
        <v/>
      </c>
    </row>
    <row r="675" spans="3:15" ht="15" customHeight="1">
      <c r="C675" s="46" t="str">
        <f t="shared" si="136"/>
        <v/>
      </c>
      <c r="D675" t="str">
        <f t="shared" si="137"/>
        <v/>
      </c>
      <c r="J675" s="403">
        <f t="shared" si="139"/>
        <v>0</v>
      </c>
      <c r="K675" s="402">
        <f t="shared" si="139"/>
        <v>0</v>
      </c>
      <c r="L675" s="46"/>
      <c r="M675" s="239">
        <f t="shared" si="140"/>
        <v>0</v>
      </c>
      <c r="O675" s="312" t="str">
        <f t="shared" si="138"/>
        <v/>
      </c>
    </row>
    <row r="676" spans="3:15" ht="15" customHeight="1">
      <c r="C676" s="46" t="str">
        <f t="shared" si="136"/>
        <v/>
      </c>
      <c r="D676" t="str">
        <f t="shared" si="137"/>
        <v/>
      </c>
      <c r="J676" s="403">
        <f t="shared" si="139"/>
        <v>0</v>
      </c>
      <c r="K676" s="402">
        <f t="shared" si="139"/>
        <v>0</v>
      </c>
      <c r="L676" s="46"/>
      <c r="M676" s="239">
        <f t="shared" si="140"/>
        <v>0</v>
      </c>
      <c r="O676" s="312" t="str">
        <f t="shared" si="138"/>
        <v/>
      </c>
    </row>
    <row r="677" spans="3:15" ht="15" customHeight="1">
      <c r="C677" s="46" t="str">
        <f t="shared" si="136"/>
        <v/>
      </c>
      <c r="D677" t="str">
        <f t="shared" si="137"/>
        <v/>
      </c>
      <c r="J677" s="403">
        <f t="shared" si="139"/>
        <v>0</v>
      </c>
      <c r="K677" s="402">
        <f t="shared" si="139"/>
        <v>0</v>
      </c>
      <c r="L677" s="46"/>
      <c r="M677" s="239">
        <f t="shared" si="140"/>
        <v>0</v>
      </c>
      <c r="O677" s="312" t="str">
        <f t="shared" si="138"/>
        <v/>
      </c>
    </row>
    <row r="678" spans="3:15" ht="15" customHeight="1">
      <c r="C678" s="46" t="str">
        <f t="shared" si="136"/>
        <v/>
      </c>
      <c r="D678" t="str">
        <f t="shared" si="137"/>
        <v/>
      </c>
      <c r="J678" s="403">
        <f t="shared" si="139"/>
        <v>0</v>
      </c>
      <c r="K678" s="402">
        <f t="shared" si="139"/>
        <v>0</v>
      </c>
      <c r="L678" s="46"/>
      <c r="M678" s="239">
        <f t="shared" si="140"/>
        <v>0</v>
      </c>
      <c r="O678" s="312" t="str">
        <f t="shared" si="138"/>
        <v/>
      </c>
    </row>
    <row r="679" spans="3:15" ht="15" customHeight="1">
      <c r="C679" s="46" t="str">
        <f t="shared" si="136"/>
        <v/>
      </c>
      <c r="D679" t="str">
        <f t="shared" si="137"/>
        <v/>
      </c>
      <c r="J679" s="403">
        <f t="shared" si="139"/>
        <v>0</v>
      </c>
      <c r="K679" s="402">
        <f t="shared" si="139"/>
        <v>0</v>
      </c>
      <c r="L679" s="46"/>
      <c r="M679" s="239">
        <f t="shared" si="140"/>
        <v>0</v>
      </c>
      <c r="O679" s="312" t="str">
        <f t="shared" si="138"/>
        <v/>
      </c>
    </row>
    <row r="680" spans="3:15" ht="15" customHeight="1">
      <c r="C680" s="46" t="str">
        <f t="shared" si="136"/>
        <v/>
      </c>
      <c r="D680" t="str">
        <f t="shared" si="137"/>
        <v/>
      </c>
      <c r="J680" s="403">
        <f t="shared" si="139"/>
        <v>0</v>
      </c>
      <c r="K680" s="402">
        <f t="shared" si="139"/>
        <v>0</v>
      </c>
      <c r="L680" s="46"/>
      <c r="M680" s="239">
        <f t="shared" si="140"/>
        <v>0</v>
      </c>
      <c r="O680" s="312" t="str">
        <f t="shared" si="138"/>
        <v/>
      </c>
    </row>
    <row r="681" spans="3:15" ht="15" customHeight="1">
      <c r="C681" s="46" t="str">
        <f t="shared" si="136"/>
        <v/>
      </c>
      <c r="D681" t="str">
        <f t="shared" si="137"/>
        <v/>
      </c>
      <c r="J681" s="403">
        <f t="shared" si="139"/>
        <v>0</v>
      </c>
      <c r="K681" s="402">
        <f t="shared" si="139"/>
        <v>0</v>
      </c>
      <c r="L681" s="46"/>
      <c r="M681" s="239">
        <f t="shared" si="140"/>
        <v>0</v>
      </c>
      <c r="O681" s="312" t="str">
        <f t="shared" si="138"/>
        <v/>
      </c>
    </row>
    <row r="682" spans="3:15" ht="15" customHeight="1">
      <c r="C682" s="46" t="str">
        <f t="shared" si="136"/>
        <v/>
      </c>
      <c r="D682" t="str">
        <f t="shared" si="137"/>
        <v/>
      </c>
      <c r="J682" s="403">
        <f t="shared" si="139"/>
        <v>0</v>
      </c>
      <c r="K682" s="402">
        <f t="shared" si="139"/>
        <v>0</v>
      </c>
      <c r="L682" s="46"/>
      <c r="M682" s="239">
        <f t="shared" si="140"/>
        <v>0</v>
      </c>
      <c r="O682" s="312" t="str">
        <f t="shared" si="138"/>
        <v/>
      </c>
    </row>
    <row r="683" spans="3:15" ht="15" customHeight="1">
      <c r="C683" s="46" t="str">
        <f t="shared" si="136"/>
        <v/>
      </c>
      <c r="D683" t="str">
        <f t="shared" si="137"/>
        <v/>
      </c>
      <c r="J683" s="403">
        <f t="shared" si="139"/>
        <v>0</v>
      </c>
      <c r="K683" s="402">
        <f t="shared" si="139"/>
        <v>0</v>
      </c>
      <c r="L683" s="46"/>
      <c r="M683" s="239">
        <f t="shared" si="140"/>
        <v>0</v>
      </c>
      <c r="O683" s="312" t="str">
        <f t="shared" si="138"/>
        <v/>
      </c>
    </row>
    <row r="684" spans="3:15" ht="15" customHeight="1">
      <c r="C684" s="46" t="str">
        <f t="shared" si="136"/>
        <v/>
      </c>
      <c r="D684" t="str">
        <f t="shared" si="137"/>
        <v/>
      </c>
      <c r="J684" s="403">
        <f t="shared" si="139"/>
        <v>0</v>
      </c>
      <c r="K684" s="402">
        <f t="shared" si="139"/>
        <v>0</v>
      </c>
      <c r="L684" s="46"/>
      <c r="M684" s="239">
        <f t="shared" si="140"/>
        <v>0</v>
      </c>
      <c r="O684" s="312" t="str">
        <f t="shared" si="138"/>
        <v/>
      </c>
    </row>
    <row r="685" spans="3:15" ht="15" customHeight="1">
      <c r="C685" s="46" t="str">
        <f t="shared" si="136"/>
        <v/>
      </c>
      <c r="D685" t="str">
        <f t="shared" si="137"/>
        <v/>
      </c>
      <c r="J685" s="403">
        <f t="shared" si="139"/>
        <v>0</v>
      </c>
      <c r="K685" s="402">
        <f t="shared" si="139"/>
        <v>0</v>
      </c>
      <c r="L685" s="46"/>
      <c r="M685" s="239">
        <f t="shared" si="140"/>
        <v>0</v>
      </c>
      <c r="O685" s="312" t="str">
        <f t="shared" si="138"/>
        <v/>
      </c>
    </row>
    <row r="686" spans="3:15" ht="15" customHeight="1">
      <c r="C686" s="46" t="str">
        <f t="shared" si="136"/>
        <v/>
      </c>
      <c r="D686" t="str">
        <f t="shared" si="137"/>
        <v/>
      </c>
      <c r="J686" s="403">
        <f t="shared" si="139"/>
        <v>0</v>
      </c>
      <c r="K686" s="402">
        <f t="shared" si="139"/>
        <v>0</v>
      </c>
      <c r="L686" s="46"/>
      <c r="M686" s="239">
        <f t="shared" si="140"/>
        <v>0</v>
      </c>
      <c r="O686" s="312" t="str">
        <f t="shared" si="138"/>
        <v/>
      </c>
    </row>
    <row r="687" spans="3:15" ht="15" customHeight="1">
      <c r="C687" s="46" t="str">
        <f t="shared" si="136"/>
        <v/>
      </c>
      <c r="D687" t="str">
        <f t="shared" si="137"/>
        <v/>
      </c>
      <c r="J687" s="403">
        <f t="shared" si="139"/>
        <v>0</v>
      </c>
      <c r="K687" s="402">
        <f t="shared" si="139"/>
        <v>0</v>
      </c>
      <c r="L687" s="46"/>
      <c r="M687" s="239">
        <f t="shared" si="140"/>
        <v>0</v>
      </c>
      <c r="O687" s="312" t="str">
        <f t="shared" si="138"/>
        <v/>
      </c>
    </row>
    <row r="688" spans="3:15" ht="15" customHeight="1">
      <c r="C688" s="46" t="str">
        <f t="shared" si="136"/>
        <v/>
      </c>
      <c r="D688" t="str">
        <f t="shared" si="137"/>
        <v/>
      </c>
      <c r="J688" s="403">
        <f t="shared" si="139"/>
        <v>0</v>
      </c>
      <c r="K688" s="402">
        <f t="shared" si="139"/>
        <v>0</v>
      </c>
      <c r="L688" s="46"/>
      <c r="M688" s="239">
        <f t="shared" si="140"/>
        <v>0</v>
      </c>
      <c r="O688" s="312" t="str">
        <f t="shared" si="138"/>
        <v/>
      </c>
    </row>
    <row r="689" spans="3:15" ht="15" customHeight="1">
      <c r="C689" s="46" t="str">
        <f t="shared" si="136"/>
        <v/>
      </c>
      <c r="D689" t="str">
        <f t="shared" si="137"/>
        <v/>
      </c>
      <c r="J689" s="403">
        <f t="shared" si="139"/>
        <v>0</v>
      </c>
      <c r="K689" s="402">
        <f t="shared" si="139"/>
        <v>0</v>
      </c>
      <c r="L689" s="46"/>
      <c r="M689" s="239">
        <f t="shared" si="140"/>
        <v>0</v>
      </c>
      <c r="O689" s="312" t="str">
        <f t="shared" si="138"/>
        <v/>
      </c>
    </row>
    <row r="690" spans="3:15" ht="15" customHeight="1">
      <c r="C690" s="46" t="str">
        <f t="shared" si="136"/>
        <v/>
      </c>
      <c r="D690" t="str">
        <f t="shared" si="137"/>
        <v/>
      </c>
      <c r="J690" s="403">
        <f t="shared" si="139"/>
        <v>0</v>
      </c>
      <c r="K690" s="402">
        <f t="shared" si="139"/>
        <v>0</v>
      </c>
      <c r="L690" s="46"/>
      <c r="M690" s="239">
        <f t="shared" si="140"/>
        <v>0</v>
      </c>
      <c r="O690" s="312" t="str">
        <f t="shared" si="138"/>
        <v/>
      </c>
    </row>
    <row r="691" spans="3:15" ht="15" customHeight="1">
      <c r="C691" s="46" t="str">
        <f t="shared" si="136"/>
        <v/>
      </c>
      <c r="D691" t="str">
        <f t="shared" si="137"/>
        <v/>
      </c>
      <c r="J691" s="403">
        <f t="shared" si="139"/>
        <v>0</v>
      </c>
      <c r="K691" s="402">
        <f t="shared" si="139"/>
        <v>0</v>
      </c>
      <c r="L691" s="46"/>
      <c r="M691" s="239">
        <f t="shared" si="140"/>
        <v>0</v>
      </c>
      <c r="O691" s="312" t="str">
        <f t="shared" si="138"/>
        <v/>
      </c>
    </row>
    <row r="692" spans="3:15" ht="15" customHeight="1">
      <c r="C692" s="46" t="str">
        <f t="shared" si="136"/>
        <v/>
      </c>
      <c r="D692" t="str">
        <f t="shared" si="137"/>
        <v/>
      </c>
      <c r="J692" s="403">
        <f t="shared" si="139"/>
        <v>0</v>
      </c>
      <c r="K692" s="402">
        <f t="shared" si="139"/>
        <v>0</v>
      </c>
      <c r="L692" s="46"/>
      <c r="M692" s="239">
        <f t="shared" si="140"/>
        <v>0</v>
      </c>
      <c r="O692" s="312" t="str">
        <f t="shared" si="138"/>
        <v/>
      </c>
    </row>
    <row r="693" spans="3:15" ht="15" customHeight="1">
      <c r="C693" s="46" t="str">
        <f t="shared" si="136"/>
        <v/>
      </c>
      <c r="D693" t="str">
        <f t="shared" si="137"/>
        <v/>
      </c>
      <c r="J693" s="403">
        <f t="shared" si="139"/>
        <v>0</v>
      </c>
      <c r="K693" s="402">
        <f t="shared" si="139"/>
        <v>0</v>
      </c>
      <c r="L693" s="46"/>
      <c r="M693" s="239">
        <f t="shared" si="140"/>
        <v>0</v>
      </c>
      <c r="O693" s="312" t="str">
        <f t="shared" si="138"/>
        <v/>
      </c>
    </row>
    <row r="694" spans="3:15" ht="15" customHeight="1">
      <c r="C694" s="46" t="str">
        <f t="shared" si="136"/>
        <v/>
      </c>
      <c r="D694" t="str">
        <f t="shared" si="137"/>
        <v/>
      </c>
      <c r="J694" s="403">
        <f t="shared" si="139"/>
        <v>0</v>
      </c>
      <c r="K694" s="402">
        <f t="shared" si="139"/>
        <v>0</v>
      </c>
      <c r="L694" s="46"/>
      <c r="M694" s="239">
        <f t="shared" si="140"/>
        <v>0</v>
      </c>
      <c r="O694" s="312" t="str">
        <f t="shared" si="138"/>
        <v/>
      </c>
    </row>
    <row r="695" spans="3:15" ht="15" customHeight="1">
      <c r="C695" s="46" t="str">
        <f t="shared" si="136"/>
        <v/>
      </c>
      <c r="D695" t="str">
        <f t="shared" si="137"/>
        <v/>
      </c>
      <c r="J695" s="403">
        <f t="shared" si="139"/>
        <v>0</v>
      </c>
      <c r="K695" s="402">
        <f t="shared" si="139"/>
        <v>0</v>
      </c>
      <c r="L695" s="46"/>
      <c r="M695" s="239">
        <f t="shared" si="140"/>
        <v>0</v>
      </c>
      <c r="O695" s="312" t="str">
        <f t="shared" si="138"/>
        <v/>
      </c>
    </row>
    <row r="696" spans="3:15" ht="15" customHeight="1">
      <c r="C696" s="46" t="str">
        <f t="shared" si="136"/>
        <v/>
      </c>
      <c r="D696" t="str">
        <f t="shared" si="137"/>
        <v/>
      </c>
      <c r="J696" s="403">
        <f t="shared" si="139"/>
        <v>0</v>
      </c>
      <c r="K696" s="402">
        <f t="shared" si="139"/>
        <v>0</v>
      </c>
      <c r="L696" s="46"/>
      <c r="M696" s="239">
        <f t="shared" si="140"/>
        <v>0</v>
      </c>
      <c r="O696" s="312" t="str">
        <f t="shared" si="138"/>
        <v/>
      </c>
    </row>
    <row r="697" spans="3:15" ht="15" customHeight="1">
      <c r="C697" s="46" t="str">
        <f t="shared" si="136"/>
        <v/>
      </c>
      <c r="D697" t="str">
        <f t="shared" si="137"/>
        <v/>
      </c>
      <c r="J697" s="403">
        <f t="shared" si="139"/>
        <v>0</v>
      </c>
      <c r="K697" s="402">
        <f t="shared" si="139"/>
        <v>0</v>
      </c>
      <c r="L697" s="46"/>
      <c r="M697" s="239">
        <f t="shared" si="140"/>
        <v>0</v>
      </c>
      <c r="O697" s="312" t="str">
        <f t="shared" si="138"/>
        <v/>
      </c>
    </row>
    <row r="698" spans="3:15" ht="15" customHeight="1">
      <c r="C698" s="46" t="str">
        <f t="shared" si="136"/>
        <v/>
      </c>
      <c r="D698" t="str">
        <f t="shared" si="137"/>
        <v/>
      </c>
      <c r="J698" s="403">
        <f t="shared" si="139"/>
        <v>0</v>
      </c>
      <c r="K698" s="402">
        <f t="shared" si="139"/>
        <v>0</v>
      </c>
      <c r="L698" s="46"/>
      <c r="M698" s="239">
        <f t="shared" si="140"/>
        <v>0</v>
      </c>
      <c r="O698" s="312" t="str">
        <f t="shared" si="138"/>
        <v/>
      </c>
    </row>
    <row r="699" spans="3:15" ht="15" customHeight="1">
      <c r="C699" s="46" t="str">
        <f t="shared" si="136"/>
        <v/>
      </c>
      <c r="D699" t="str">
        <f t="shared" si="137"/>
        <v/>
      </c>
      <c r="J699" s="403">
        <f t="shared" si="139"/>
        <v>0</v>
      </c>
      <c r="K699" s="402">
        <f t="shared" si="139"/>
        <v>0</v>
      </c>
      <c r="L699" s="46"/>
      <c r="M699" s="239">
        <f t="shared" si="140"/>
        <v>0</v>
      </c>
      <c r="O699" s="312" t="str">
        <f t="shared" si="138"/>
        <v/>
      </c>
    </row>
    <row r="700" spans="3:15" ht="15" customHeight="1">
      <c r="C700" s="46" t="str">
        <f t="shared" si="136"/>
        <v/>
      </c>
      <c r="D700" t="str">
        <f t="shared" si="137"/>
        <v/>
      </c>
      <c r="J700" s="403">
        <f t="shared" si="139"/>
        <v>0</v>
      </c>
      <c r="K700" s="402">
        <f t="shared" si="139"/>
        <v>0</v>
      </c>
      <c r="L700" s="46"/>
      <c r="M700" s="239">
        <f t="shared" si="140"/>
        <v>0</v>
      </c>
      <c r="O700" s="312" t="str">
        <f t="shared" si="138"/>
        <v/>
      </c>
    </row>
    <row r="701" spans="3:15" ht="15" customHeight="1">
      <c r="C701" s="46" t="str">
        <f t="shared" si="136"/>
        <v/>
      </c>
      <c r="D701" t="str">
        <f t="shared" si="137"/>
        <v/>
      </c>
      <c r="J701" s="403">
        <f t="shared" si="139"/>
        <v>0</v>
      </c>
      <c r="K701" s="402">
        <f t="shared" si="139"/>
        <v>0</v>
      </c>
      <c r="L701" s="46"/>
      <c r="M701" s="239">
        <f t="shared" si="140"/>
        <v>0</v>
      </c>
      <c r="O701" s="312" t="str">
        <f t="shared" si="138"/>
        <v/>
      </c>
    </row>
    <row r="702" spans="3:15" ht="15" customHeight="1">
      <c r="C702" s="46" t="str">
        <f t="shared" si="136"/>
        <v/>
      </c>
      <c r="D702" t="str">
        <f t="shared" si="137"/>
        <v/>
      </c>
      <c r="J702" s="403">
        <f t="shared" si="139"/>
        <v>0</v>
      </c>
      <c r="K702" s="402">
        <f t="shared" si="139"/>
        <v>0</v>
      </c>
      <c r="L702" s="46"/>
      <c r="M702" s="239">
        <f t="shared" si="140"/>
        <v>0</v>
      </c>
      <c r="O702" s="312" t="str">
        <f t="shared" si="138"/>
        <v/>
      </c>
    </row>
    <row r="703" spans="3:15" ht="15" customHeight="1">
      <c r="C703" s="46" t="str">
        <f t="shared" si="136"/>
        <v/>
      </c>
      <c r="D703" t="str">
        <f t="shared" si="137"/>
        <v/>
      </c>
      <c r="J703" s="403">
        <f t="shared" si="139"/>
        <v>0</v>
      </c>
      <c r="K703" s="402">
        <f t="shared" si="139"/>
        <v>0</v>
      </c>
      <c r="L703" s="46"/>
      <c r="M703" s="239">
        <f t="shared" si="140"/>
        <v>0</v>
      </c>
      <c r="O703" s="312" t="str">
        <f t="shared" si="138"/>
        <v/>
      </c>
    </row>
    <row r="704" spans="3:15" ht="15" customHeight="1">
      <c r="C704" s="46" t="str">
        <f t="shared" si="136"/>
        <v/>
      </c>
      <c r="D704" t="str">
        <f t="shared" si="137"/>
        <v/>
      </c>
      <c r="J704" s="403">
        <f t="shared" si="139"/>
        <v>0</v>
      </c>
      <c r="K704" s="402">
        <f t="shared" si="139"/>
        <v>0</v>
      </c>
      <c r="L704" s="46"/>
      <c r="M704" s="239">
        <f t="shared" si="140"/>
        <v>0</v>
      </c>
      <c r="O704" s="312" t="str">
        <f t="shared" si="138"/>
        <v/>
      </c>
    </row>
    <row r="705" spans="3:15" ht="15" customHeight="1">
      <c r="C705" s="46" t="str">
        <f t="shared" si="136"/>
        <v/>
      </c>
      <c r="D705" t="str">
        <f t="shared" si="137"/>
        <v/>
      </c>
      <c r="J705" s="403">
        <f t="shared" si="139"/>
        <v>0</v>
      </c>
      <c r="K705" s="402">
        <f t="shared" si="139"/>
        <v>0</v>
      </c>
      <c r="L705" s="46"/>
      <c r="M705" s="239">
        <f t="shared" si="140"/>
        <v>0</v>
      </c>
      <c r="O705" s="312" t="str">
        <f t="shared" si="138"/>
        <v/>
      </c>
    </row>
    <row r="706" spans="3:15" ht="15" customHeight="1">
      <c r="C706" s="46" t="str">
        <f t="shared" si="136"/>
        <v/>
      </c>
      <c r="D706" t="str">
        <f t="shared" si="137"/>
        <v/>
      </c>
      <c r="J706" s="403">
        <f t="shared" si="139"/>
        <v>0</v>
      </c>
      <c r="K706" s="402">
        <f t="shared" si="139"/>
        <v>0</v>
      </c>
      <c r="L706" s="46"/>
      <c r="M706" s="239">
        <f t="shared" si="140"/>
        <v>0</v>
      </c>
      <c r="O706" s="312" t="str">
        <f t="shared" si="138"/>
        <v/>
      </c>
    </row>
    <row r="707" spans="3:15" ht="15" customHeight="1">
      <c r="C707" s="46" t="str">
        <f t="shared" si="136"/>
        <v/>
      </c>
      <c r="D707" t="str">
        <f t="shared" si="137"/>
        <v/>
      </c>
      <c r="J707" s="403">
        <f t="shared" si="139"/>
        <v>0</v>
      </c>
      <c r="K707" s="402">
        <f t="shared" si="139"/>
        <v>0</v>
      </c>
      <c r="L707" s="46"/>
      <c r="M707" s="239">
        <f t="shared" si="140"/>
        <v>0</v>
      </c>
      <c r="O707" s="312" t="str">
        <f t="shared" si="138"/>
        <v/>
      </c>
    </row>
    <row r="708" spans="3:15" ht="15" customHeight="1">
      <c r="C708" s="46" t="str">
        <f t="shared" si="136"/>
        <v/>
      </c>
      <c r="D708" t="str">
        <f t="shared" si="137"/>
        <v/>
      </c>
      <c r="J708" s="403">
        <f t="shared" si="139"/>
        <v>0</v>
      </c>
      <c r="K708" s="402">
        <f t="shared" si="139"/>
        <v>0</v>
      </c>
      <c r="L708" s="46"/>
      <c r="M708" s="239">
        <f t="shared" si="140"/>
        <v>0</v>
      </c>
      <c r="O708" s="312" t="str">
        <f t="shared" si="138"/>
        <v/>
      </c>
    </row>
    <row r="709" spans="3:15" ht="15" customHeight="1">
      <c r="C709" s="46" t="str">
        <f t="shared" si="136"/>
        <v/>
      </c>
      <c r="D709" t="str">
        <f t="shared" si="137"/>
        <v/>
      </c>
      <c r="J709" s="403">
        <f t="shared" si="139"/>
        <v>0</v>
      </c>
      <c r="K709" s="402">
        <f t="shared" si="139"/>
        <v>0</v>
      </c>
      <c r="L709" s="46"/>
      <c r="M709" s="239">
        <f t="shared" si="140"/>
        <v>0</v>
      </c>
      <c r="O709" s="312" t="str">
        <f t="shared" si="138"/>
        <v/>
      </c>
    </row>
    <row r="710" spans="3:15" ht="15" customHeight="1">
      <c r="C710" s="46" t="str">
        <f t="shared" si="136"/>
        <v/>
      </c>
      <c r="D710" t="str">
        <f t="shared" si="137"/>
        <v/>
      </c>
      <c r="J710" s="403">
        <f t="shared" si="139"/>
        <v>0</v>
      </c>
      <c r="K710" s="402">
        <f t="shared" si="139"/>
        <v>0</v>
      </c>
      <c r="L710" s="46"/>
      <c r="M710" s="239">
        <f t="shared" si="140"/>
        <v>0</v>
      </c>
      <c r="O710" s="312" t="str">
        <f t="shared" si="138"/>
        <v/>
      </c>
    </row>
    <row r="711" spans="3:15" ht="15" customHeight="1">
      <c r="C711" s="46" t="str">
        <f t="shared" si="136"/>
        <v/>
      </c>
      <c r="D711" t="str">
        <f t="shared" si="137"/>
        <v/>
      </c>
      <c r="J711" s="403">
        <f t="shared" si="139"/>
        <v>0</v>
      </c>
      <c r="K711" s="402">
        <f t="shared" si="139"/>
        <v>0</v>
      </c>
      <c r="L711" s="46"/>
      <c r="M711" s="239">
        <f t="shared" si="140"/>
        <v>0</v>
      </c>
      <c r="O711" s="312" t="str">
        <f t="shared" si="138"/>
        <v/>
      </c>
    </row>
    <row r="712" spans="3:15" ht="15" customHeight="1">
      <c r="C712" s="46" t="str">
        <f t="shared" si="136"/>
        <v/>
      </c>
      <c r="D712" t="str">
        <f t="shared" si="137"/>
        <v/>
      </c>
      <c r="J712" s="403">
        <f t="shared" si="139"/>
        <v>0</v>
      </c>
      <c r="K712" s="402">
        <f t="shared" si="139"/>
        <v>0</v>
      </c>
      <c r="L712" s="46"/>
      <c r="M712" s="239">
        <f t="shared" si="140"/>
        <v>0</v>
      </c>
      <c r="O712" s="312" t="str">
        <f t="shared" si="138"/>
        <v/>
      </c>
    </row>
    <row r="713" spans="3:15" ht="15" customHeight="1">
      <c r="C713" s="46" t="str">
        <f t="shared" si="136"/>
        <v/>
      </c>
      <c r="D713" t="str">
        <f t="shared" si="137"/>
        <v/>
      </c>
      <c r="J713" s="403">
        <f t="shared" si="139"/>
        <v>0</v>
      </c>
      <c r="K713" s="402">
        <f t="shared" si="139"/>
        <v>0</v>
      </c>
      <c r="L713" s="46"/>
      <c r="M713" s="239">
        <f t="shared" si="140"/>
        <v>0</v>
      </c>
      <c r="O713" s="312" t="str">
        <f t="shared" si="138"/>
        <v/>
      </c>
    </row>
    <row r="714" spans="3:15" ht="15" customHeight="1">
      <c r="C714" s="46" t="str">
        <f t="shared" si="136"/>
        <v/>
      </c>
      <c r="D714" t="str">
        <f t="shared" si="137"/>
        <v/>
      </c>
      <c r="J714" s="403">
        <f t="shared" si="139"/>
        <v>0</v>
      </c>
      <c r="K714" s="402">
        <f t="shared" si="139"/>
        <v>0</v>
      </c>
      <c r="L714" s="46"/>
      <c r="M714" s="239">
        <f t="shared" si="140"/>
        <v>0</v>
      </c>
      <c r="O714" s="312" t="str">
        <f t="shared" si="138"/>
        <v/>
      </c>
    </row>
    <row r="715" spans="3:15" ht="15" customHeight="1">
      <c r="C715" s="46" t="str">
        <f t="shared" si="136"/>
        <v/>
      </c>
      <c r="D715" t="str">
        <f t="shared" si="137"/>
        <v/>
      </c>
      <c r="J715" s="403">
        <f t="shared" si="139"/>
        <v>0</v>
      </c>
      <c r="K715" s="402">
        <f t="shared" si="139"/>
        <v>0</v>
      </c>
      <c r="L715" s="46"/>
      <c r="M715" s="239">
        <f t="shared" si="140"/>
        <v>0</v>
      </c>
      <c r="O715" s="312" t="str">
        <f t="shared" si="138"/>
        <v/>
      </c>
    </row>
    <row r="716" spans="3:15" ht="15" customHeight="1">
      <c r="C716" s="46" t="str">
        <f t="shared" si="136"/>
        <v/>
      </c>
      <c r="D716" t="str">
        <f t="shared" si="137"/>
        <v/>
      </c>
      <c r="J716" s="403">
        <f t="shared" si="139"/>
        <v>0</v>
      </c>
      <c r="K716" s="402">
        <f t="shared" si="139"/>
        <v>0</v>
      </c>
      <c r="L716" s="46"/>
      <c r="M716" s="239">
        <f t="shared" si="140"/>
        <v>0</v>
      </c>
      <c r="O716" s="312" t="str">
        <f t="shared" si="138"/>
        <v/>
      </c>
    </row>
    <row r="717" spans="3:15" ht="15" customHeight="1">
      <c r="C717" s="46" t="str">
        <f t="shared" si="136"/>
        <v/>
      </c>
      <c r="D717" t="str">
        <f t="shared" si="137"/>
        <v/>
      </c>
      <c r="J717" s="403">
        <f t="shared" si="139"/>
        <v>0</v>
      </c>
      <c r="K717" s="402">
        <f t="shared" si="139"/>
        <v>0</v>
      </c>
      <c r="L717" s="46"/>
      <c r="M717" s="239">
        <f t="shared" si="140"/>
        <v>0</v>
      </c>
      <c r="O717" s="312" t="str">
        <f t="shared" si="138"/>
        <v/>
      </c>
    </row>
    <row r="718" spans="3:15" ht="15" customHeight="1">
      <c r="C718" s="46" t="str">
        <f t="shared" si="136"/>
        <v/>
      </c>
      <c r="D718" t="str">
        <f t="shared" si="137"/>
        <v/>
      </c>
      <c r="J718" s="403">
        <f t="shared" si="139"/>
        <v>0</v>
      </c>
      <c r="K718" s="402">
        <f t="shared" si="139"/>
        <v>0</v>
      </c>
      <c r="L718" s="46"/>
      <c r="M718" s="239">
        <f t="shared" si="140"/>
        <v>0</v>
      </c>
      <c r="O718" s="312" t="str">
        <f t="shared" si="138"/>
        <v/>
      </c>
    </row>
    <row r="719" spans="3:15" ht="15" customHeight="1">
      <c r="C719" s="46" t="str">
        <f t="shared" si="136"/>
        <v/>
      </c>
      <c r="D719" t="str">
        <f t="shared" si="137"/>
        <v/>
      </c>
      <c r="J719" s="403">
        <f t="shared" si="139"/>
        <v>0</v>
      </c>
      <c r="K719" s="402">
        <f t="shared" si="139"/>
        <v>0</v>
      </c>
      <c r="L719" s="46"/>
      <c r="M719" s="239">
        <f t="shared" si="140"/>
        <v>0</v>
      </c>
      <c r="O719" s="312" t="str">
        <f t="shared" si="138"/>
        <v/>
      </c>
    </row>
    <row r="720" spans="3:15" ht="15" customHeight="1">
      <c r="D720" t="str">
        <f t="shared" si="137"/>
        <v/>
      </c>
      <c r="J720" s="403">
        <f t="shared" si="139"/>
        <v>0</v>
      </c>
      <c r="K720" s="402">
        <f t="shared" si="139"/>
        <v>0</v>
      </c>
      <c r="L720" s="46"/>
      <c r="M720" s="239">
        <f t="shared" si="140"/>
        <v>0</v>
      </c>
      <c r="O720" s="312" t="str">
        <f t="shared" si="138"/>
        <v/>
      </c>
    </row>
    <row r="721" spans="4:15" ht="15" customHeight="1">
      <c r="D721" t="str">
        <f t="shared" si="137"/>
        <v/>
      </c>
      <c r="J721" s="403">
        <f t="shared" si="139"/>
        <v>0</v>
      </c>
      <c r="K721" s="402">
        <f t="shared" si="139"/>
        <v>0</v>
      </c>
      <c r="L721" s="46"/>
      <c r="M721" s="239">
        <f t="shared" si="140"/>
        <v>0</v>
      </c>
      <c r="O721" s="312" t="str">
        <f t="shared" si="138"/>
        <v/>
      </c>
    </row>
    <row r="722" spans="4:15" ht="15" customHeight="1">
      <c r="D722" t="str">
        <f t="shared" si="137"/>
        <v/>
      </c>
      <c r="J722" s="403">
        <f t="shared" si="139"/>
        <v>0</v>
      </c>
      <c r="K722" s="402">
        <f t="shared" si="139"/>
        <v>0</v>
      </c>
      <c r="L722" s="46"/>
      <c r="M722" s="239">
        <f t="shared" si="140"/>
        <v>0</v>
      </c>
      <c r="O722" s="312" t="str">
        <f t="shared" si="138"/>
        <v/>
      </c>
    </row>
    <row r="723" spans="4:15" ht="15" customHeight="1">
      <c r="D723" t="str">
        <f t="shared" si="137"/>
        <v/>
      </c>
      <c r="J723" s="403">
        <f t="shared" si="139"/>
        <v>0</v>
      </c>
      <c r="K723" s="402">
        <f t="shared" si="139"/>
        <v>0</v>
      </c>
      <c r="L723" s="46"/>
      <c r="M723" s="239">
        <f t="shared" si="140"/>
        <v>0</v>
      </c>
      <c r="O723" s="312" t="str">
        <f t="shared" si="138"/>
        <v/>
      </c>
    </row>
    <row r="724" spans="4:15" ht="15" customHeight="1">
      <c r="D724" t="str">
        <f t="shared" si="137"/>
        <v/>
      </c>
      <c r="J724" s="403">
        <f t="shared" si="139"/>
        <v>0</v>
      </c>
      <c r="K724" s="402">
        <f t="shared" si="139"/>
        <v>0</v>
      </c>
      <c r="L724" s="46"/>
      <c r="M724" s="239">
        <f t="shared" si="140"/>
        <v>0</v>
      </c>
      <c r="O724" s="312" t="str">
        <f t="shared" si="138"/>
        <v/>
      </c>
    </row>
    <row r="725" spans="4:15" ht="15" customHeight="1">
      <c r="D725" t="str">
        <f t="shared" si="137"/>
        <v/>
      </c>
      <c r="J725" s="403">
        <f t="shared" si="139"/>
        <v>0</v>
      </c>
      <c r="K725" s="402">
        <f t="shared" si="139"/>
        <v>0</v>
      </c>
      <c r="L725" s="46"/>
      <c r="M725" s="239">
        <f t="shared" si="140"/>
        <v>0</v>
      </c>
      <c r="O725" s="312" t="str">
        <f t="shared" si="138"/>
        <v/>
      </c>
    </row>
    <row r="726" spans="4:15" ht="15" customHeight="1">
      <c r="D726" t="str">
        <f t="shared" ref="D726:D747" si="141">IF(B726="","",YEAR(B726))</f>
        <v/>
      </c>
      <c r="J726" s="403">
        <f t="shared" si="139"/>
        <v>0</v>
      </c>
      <c r="K726" s="402">
        <f t="shared" si="139"/>
        <v>0</v>
      </c>
      <c r="L726" s="46"/>
      <c r="M726" s="239">
        <f t="shared" si="140"/>
        <v>0</v>
      </c>
      <c r="O726" s="312" t="str">
        <f t="shared" ref="O726:O789" si="142">IF(N726&lt;&gt;"",TEXT(N726,"mmmm"),"")</f>
        <v/>
      </c>
    </row>
    <row r="727" spans="4:15" ht="15" customHeight="1">
      <c r="D727" t="str">
        <f t="shared" si="141"/>
        <v/>
      </c>
      <c r="J727" s="403">
        <f t="shared" ref="J727:K747" si="143">I727</f>
        <v>0</v>
      </c>
      <c r="K727" s="402">
        <f t="shared" si="143"/>
        <v>0</v>
      </c>
      <c r="L727" s="46"/>
      <c r="M727" s="239">
        <f t="shared" ref="M727:M747" si="144">J727</f>
        <v>0</v>
      </c>
      <c r="O727" s="312" t="str">
        <f t="shared" si="142"/>
        <v/>
      </c>
    </row>
    <row r="728" spans="4:15" ht="15" customHeight="1">
      <c r="D728" t="str">
        <f t="shared" si="141"/>
        <v/>
      </c>
      <c r="J728" s="403">
        <f t="shared" si="143"/>
        <v>0</v>
      </c>
      <c r="K728" s="402">
        <f t="shared" si="143"/>
        <v>0</v>
      </c>
      <c r="L728" s="46"/>
      <c r="M728" s="239">
        <f t="shared" si="144"/>
        <v>0</v>
      </c>
      <c r="O728" s="312" t="str">
        <f t="shared" si="142"/>
        <v/>
      </c>
    </row>
    <row r="729" spans="4:15" ht="15" customHeight="1">
      <c r="D729" t="str">
        <f t="shared" si="141"/>
        <v/>
      </c>
      <c r="J729" s="403">
        <f t="shared" si="143"/>
        <v>0</v>
      </c>
      <c r="K729" s="402">
        <f t="shared" si="143"/>
        <v>0</v>
      </c>
      <c r="L729" s="46"/>
      <c r="M729" s="239">
        <f t="shared" si="144"/>
        <v>0</v>
      </c>
      <c r="O729" s="312" t="str">
        <f t="shared" si="142"/>
        <v/>
      </c>
    </row>
    <row r="730" spans="4:15" ht="15" customHeight="1">
      <c r="D730" t="str">
        <f t="shared" si="141"/>
        <v/>
      </c>
      <c r="J730" s="403">
        <f t="shared" si="143"/>
        <v>0</v>
      </c>
      <c r="K730" s="402">
        <f t="shared" si="143"/>
        <v>0</v>
      </c>
      <c r="L730" s="46"/>
      <c r="M730" s="239">
        <f t="shared" si="144"/>
        <v>0</v>
      </c>
      <c r="O730" s="312" t="str">
        <f t="shared" si="142"/>
        <v/>
      </c>
    </row>
    <row r="731" spans="4:15" ht="15" customHeight="1">
      <c r="D731" t="str">
        <f t="shared" si="141"/>
        <v/>
      </c>
      <c r="J731" s="403">
        <f t="shared" si="143"/>
        <v>0</v>
      </c>
      <c r="K731" s="402">
        <f t="shared" si="143"/>
        <v>0</v>
      </c>
      <c r="L731" s="46"/>
      <c r="M731" s="239">
        <f t="shared" si="144"/>
        <v>0</v>
      </c>
      <c r="O731" s="312" t="str">
        <f t="shared" si="142"/>
        <v/>
      </c>
    </row>
    <row r="732" spans="4:15" ht="15" customHeight="1">
      <c r="D732" t="str">
        <f t="shared" si="141"/>
        <v/>
      </c>
      <c r="J732" s="403">
        <f t="shared" si="143"/>
        <v>0</v>
      </c>
      <c r="K732" s="402">
        <f t="shared" si="143"/>
        <v>0</v>
      </c>
      <c r="L732" s="46"/>
      <c r="M732" s="239">
        <f t="shared" si="144"/>
        <v>0</v>
      </c>
      <c r="O732" s="312" t="str">
        <f t="shared" si="142"/>
        <v/>
      </c>
    </row>
    <row r="733" spans="4:15" ht="15" customHeight="1">
      <c r="D733" t="str">
        <f t="shared" si="141"/>
        <v/>
      </c>
      <c r="J733" s="403">
        <f t="shared" si="143"/>
        <v>0</v>
      </c>
      <c r="K733" s="402">
        <f t="shared" si="143"/>
        <v>0</v>
      </c>
      <c r="L733" s="46"/>
      <c r="M733" s="239">
        <f t="shared" si="144"/>
        <v>0</v>
      </c>
      <c r="O733" s="312" t="str">
        <f t="shared" si="142"/>
        <v/>
      </c>
    </row>
    <row r="734" spans="4:15" ht="15" customHeight="1">
      <c r="D734" t="str">
        <f t="shared" si="141"/>
        <v/>
      </c>
      <c r="J734" s="403">
        <f t="shared" si="143"/>
        <v>0</v>
      </c>
      <c r="K734" s="402">
        <f t="shared" si="143"/>
        <v>0</v>
      </c>
      <c r="L734" s="46"/>
      <c r="M734" s="239">
        <f t="shared" si="144"/>
        <v>0</v>
      </c>
      <c r="O734" s="312" t="str">
        <f t="shared" si="142"/>
        <v/>
      </c>
    </row>
    <row r="735" spans="4:15" ht="15" customHeight="1">
      <c r="D735" t="str">
        <f t="shared" si="141"/>
        <v/>
      </c>
      <c r="J735" s="403">
        <f t="shared" si="143"/>
        <v>0</v>
      </c>
      <c r="K735" s="402">
        <f t="shared" si="143"/>
        <v>0</v>
      </c>
      <c r="L735" s="46"/>
      <c r="M735" s="239">
        <f t="shared" si="144"/>
        <v>0</v>
      </c>
      <c r="O735" s="312" t="str">
        <f t="shared" si="142"/>
        <v/>
      </c>
    </row>
    <row r="736" spans="4:15" ht="15" customHeight="1">
      <c r="D736" t="str">
        <f t="shared" si="141"/>
        <v/>
      </c>
      <c r="J736" s="403">
        <f t="shared" si="143"/>
        <v>0</v>
      </c>
      <c r="K736" s="402">
        <f t="shared" si="143"/>
        <v>0</v>
      </c>
      <c r="L736" s="46"/>
      <c r="M736" s="239">
        <f t="shared" si="144"/>
        <v>0</v>
      </c>
      <c r="O736" s="312" t="str">
        <f t="shared" si="142"/>
        <v/>
      </c>
    </row>
    <row r="737" spans="4:15" ht="15" customHeight="1">
      <c r="D737" t="str">
        <f t="shared" si="141"/>
        <v/>
      </c>
      <c r="J737" s="403">
        <f t="shared" si="143"/>
        <v>0</v>
      </c>
      <c r="K737" s="402">
        <f t="shared" si="143"/>
        <v>0</v>
      </c>
      <c r="L737" s="46"/>
      <c r="M737" s="239">
        <f t="shared" si="144"/>
        <v>0</v>
      </c>
      <c r="O737" s="312" t="str">
        <f t="shared" si="142"/>
        <v/>
      </c>
    </row>
    <row r="738" spans="4:15" ht="15" customHeight="1">
      <c r="D738" t="str">
        <f t="shared" si="141"/>
        <v/>
      </c>
      <c r="J738" s="403">
        <f t="shared" si="143"/>
        <v>0</v>
      </c>
      <c r="K738" s="402">
        <f t="shared" si="143"/>
        <v>0</v>
      </c>
      <c r="L738" s="46"/>
      <c r="M738" s="239">
        <f t="shared" si="144"/>
        <v>0</v>
      </c>
      <c r="O738" s="312" t="str">
        <f t="shared" si="142"/>
        <v/>
      </c>
    </row>
    <row r="739" spans="4:15" ht="15" customHeight="1">
      <c r="D739" t="str">
        <f t="shared" si="141"/>
        <v/>
      </c>
      <c r="J739" s="403">
        <f t="shared" si="143"/>
        <v>0</v>
      </c>
      <c r="K739" s="402">
        <f t="shared" si="143"/>
        <v>0</v>
      </c>
      <c r="L739" s="46"/>
      <c r="M739" s="239">
        <f t="shared" si="144"/>
        <v>0</v>
      </c>
      <c r="O739" s="312" t="str">
        <f t="shared" si="142"/>
        <v/>
      </c>
    </row>
    <row r="740" spans="4:15" ht="15" customHeight="1">
      <c r="D740" t="str">
        <f t="shared" si="141"/>
        <v/>
      </c>
      <c r="J740" s="403">
        <f t="shared" si="143"/>
        <v>0</v>
      </c>
      <c r="K740" s="402">
        <f t="shared" si="143"/>
        <v>0</v>
      </c>
      <c r="L740" s="46"/>
      <c r="M740" s="239">
        <f t="shared" si="144"/>
        <v>0</v>
      </c>
      <c r="O740" s="312" t="str">
        <f t="shared" si="142"/>
        <v/>
      </c>
    </row>
    <row r="741" spans="4:15" ht="15" customHeight="1">
      <c r="D741" t="str">
        <f t="shared" si="141"/>
        <v/>
      </c>
      <c r="J741" s="403">
        <f t="shared" si="143"/>
        <v>0</v>
      </c>
      <c r="K741" s="402">
        <f t="shared" si="143"/>
        <v>0</v>
      </c>
      <c r="L741" s="46"/>
      <c r="M741" s="239">
        <f t="shared" si="144"/>
        <v>0</v>
      </c>
      <c r="O741" s="312" t="str">
        <f t="shared" si="142"/>
        <v/>
      </c>
    </row>
    <row r="742" spans="4:15" ht="15" customHeight="1">
      <c r="D742" t="str">
        <f t="shared" si="141"/>
        <v/>
      </c>
      <c r="J742" s="403">
        <f t="shared" si="143"/>
        <v>0</v>
      </c>
      <c r="K742" s="402">
        <f t="shared" si="143"/>
        <v>0</v>
      </c>
      <c r="L742" s="46"/>
      <c r="M742" s="239">
        <f t="shared" si="144"/>
        <v>0</v>
      </c>
      <c r="O742" s="312" t="str">
        <f t="shared" si="142"/>
        <v/>
      </c>
    </row>
    <row r="743" spans="4:15" ht="15" customHeight="1">
      <c r="D743" t="str">
        <f t="shared" si="141"/>
        <v/>
      </c>
      <c r="J743" s="403">
        <f t="shared" si="143"/>
        <v>0</v>
      </c>
      <c r="K743" s="402">
        <f t="shared" si="143"/>
        <v>0</v>
      </c>
      <c r="L743" s="46"/>
      <c r="M743" s="239">
        <f t="shared" si="144"/>
        <v>0</v>
      </c>
      <c r="O743" s="312" t="str">
        <f t="shared" si="142"/>
        <v/>
      </c>
    </row>
    <row r="744" spans="4:15" ht="15" customHeight="1">
      <c r="D744" t="str">
        <f t="shared" si="141"/>
        <v/>
      </c>
      <c r="J744" s="403">
        <f t="shared" si="143"/>
        <v>0</v>
      </c>
      <c r="K744" s="402">
        <f t="shared" si="143"/>
        <v>0</v>
      </c>
      <c r="L744" s="46"/>
      <c r="M744" s="239">
        <f t="shared" si="144"/>
        <v>0</v>
      </c>
      <c r="O744" s="312" t="str">
        <f t="shared" si="142"/>
        <v/>
      </c>
    </row>
    <row r="745" spans="4:15" ht="15" customHeight="1">
      <c r="D745" t="str">
        <f t="shared" si="141"/>
        <v/>
      </c>
      <c r="J745" s="403">
        <f t="shared" si="143"/>
        <v>0</v>
      </c>
      <c r="K745" s="402">
        <f t="shared" si="143"/>
        <v>0</v>
      </c>
      <c r="L745" s="46"/>
      <c r="M745" s="239">
        <f t="shared" si="144"/>
        <v>0</v>
      </c>
      <c r="O745" s="312" t="str">
        <f t="shared" si="142"/>
        <v/>
      </c>
    </row>
    <row r="746" spans="4:15" ht="15" customHeight="1">
      <c r="D746" t="str">
        <f t="shared" si="141"/>
        <v/>
      </c>
      <c r="J746" s="403">
        <f t="shared" si="143"/>
        <v>0</v>
      </c>
      <c r="K746" s="402">
        <f t="shared" si="143"/>
        <v>0</v>
      </c>
      <c r="L746" s="46"/>
      <c r="M746" s="239">
        <f t="shared" si="144"/>
        <v>0</v>
      </c>
      <c r="O746" s="312" t="str">
        <f t="shared" si="142"/>
        <v/>
      </c>
    </row>
    <row r="747" spans="4:15" ht="15" customHeight="1">
      <c r="D747" t="str">
        <f t="shared" si="141"/>
        <v/>
      </c>
      <c r="J747" s="403">
        <f t="shared" si="143"/>
        <v>0</v>
      </c>
      <c r="K747" s="402">
        <f t="shared" si="143"/>
        <v>0</v>
      </c>
      <c r="L747" s="46"/>
      <c r="M747" s="239">
        <f t="shared" si="144"/>
        <v>0</v>
      </c>
      <c r="O747" s="312" t="str">
        <f t="shared" si="142"/>
        <v/>
      </c>
    </row>
    <row r="748" spans="4:15" ht="15" customHeight="1">
      <c r="L748" s="46"/>
      <c r="O748" s="312" t="str">
        <f t="shared" si="142"/>
        <v/>
      </c>
    </row>
    <row r="749" spans="4:15" ht="15" customHeight="1">
      <c r="L749" s="46"/>
      <c r="O749" s="312" t="str">
        <f t="shared" si="142"/>
        <v/>
      </c>
    </row>
    <row r="750" spans="4:15" ht="15" customHeight="1">
      <c r="L750" s="46"/>
      <c r="O750" s="312" t="str">
        <f t="shared" si="142"/>
        <v/>
      </c>
    </row>
    <row r="751" spans="4:15" ht="15" customHeight="1">
      <c r="L751" s="46"/>
      <c r="O751" s="312" t="str">
        <f t="shared" si="142"/>
        <v/>
      </c>
    </row>
    <row r="752" spans="4:15" ht="15" customHeight="1">
      <c r="L752" s="46"/>
      <c r="O752" s="312" t="str">
        <f t="shared" si="142"/>
        <v/>
      </c>
    </row>
    <row r="753" spans="12:15" ht="15" customHeight="1">
      <c r="L753" s="46"/>
      <c r="O753" s="312" t="str">
        <f t="shared" si="142"/>
        <v/>
      </c>
    </row>
    <row r="754" spans="12:15" ht="15" customHeight="1">
      <c r="L754" s="46"/>
      <c r="O754" s="312" t="str">
        <f t="shared" si="142"/>
        <v/>
      </c>
    </row>
    <row r="755" spans="12:15" ht="15" customHeight="1">
      <c r="L755" s="46"/>
      <c r="O755" s="312" t="str">
        <f t="shared" si="142"/>
        <v/>
      </c>
    </row>
    <row r="756" spans="12:15" ht="15" customHeight="1">
      <c r="L756" s="46"/>
      <c r="O756" s="312" t="str">
        <f t="shared" si="142"/>
        <v/>
      </c>
    </row>
    <row r="757" spans="12:15" ht="15" customHeight="1">
      <c r="L757" s="46"/>
      <c r="O757" s="312" t="str">
        <f t="shared" si="142"/>
        <v/>
      </c>
    </row>
    <row r="758" spans="12:15" ht="15" customHeight="1">
      <c r="L758" s="46"/>
      <c r="O758" s="312" t="str">
        <f t="shared" si="142"/>
        <v/>
      </c>
    </row>
    <row r="759" spans="12:15" ht="15" customHeight="1">
      <c r="L759" s="46"/>
      <c r="O759" s="312" t="str">
        <f t="shared" si="142"/>
        <v/>
      </c>
    </row>
    <row r="760" spans="12:15" ht="15" customHeight="1">
      <c r="L760" s="46"/>
      <c r="O760" s="312" t="str">
        <f t="shared" si="142"/>
        <v/>
      </c>
    </row>
    <row r="761" spans="12:15" ht="15" customHeight="1">
      <c r="L761" s="46"/>
      <c r="O761" s="312" t="str">
        <f t="shared" si="142"/>
        <v/>
      </c>
    </row>
    <row r="762" spans="12:15" ht="15" customHeight="1">
      <c r="L762" s="46"/>
      <c r="O762" s="312" t="str">
        <f t="shared" si="142"/>
        <v/>
      </c>
    </row>
    <row r="763" spans="12:15" ht="15" customHeight="1">
      <c r="L763" s="46"/>
      <c r="O763" s="312" t="str">
        <f t="shared" si="142"/>
        <v/>
      </c>
    </row>
    <row r="764" spans="12:15" ht="15" customHeight="1">
      <c r="L764" s="46"/>
      <c r="O764" s="312" t="str">
        <f t="shared" si="142"/>
        <v/>
      </c>
    </row>
    <row r="765" spans="12:15" ht="15" customHeight="1">
      <c r="L765" s="46"/>
      <c r="O765" s="312" t="str">
        <f t="shared" si="142"/>
        <v/>
      </c>
    </row>
    <row r="766" spans="12:15" ht="15" customHeight="1">
      <c r="L766" s="46"/>
      <c r="O766" s="312" t="str">
        <f t="shared" si="142"/>
        <v/>
      </c>
    </row>
    <row r="767" spans="12:15" ht="15" customHeight="1">
      <c r="L767" s="46"/>
      <c r="O767" s="312" t="str">
        <f t="shared" si="142"/>
        <v/>
      </c>
    </row>
    <row r="768" spans="12:15" ht="15" customHeight="1">
      <c r="L768" s="46"/>
      <c r="O768" s="312" t="str">
        <f t="shared" si="142"/>
        <v/>
      </c>
    </row>
    <row r="769" spans="12:15" ht="15" customHeight="1">
      <c r="L769" s="46"/>
      <c r="O769" s="312" t="str">
        <f t="shared" si="142"/>
        <v/>
      </c>
    </row>
    <row r="770" spans="12:15" ht="15" customHeight="1">
      <c r="L770" s="46"/>
      <c r="O770" s="312" t="str">
        <f t="shared" si="142"/>
        <v/>
      </c>
    </row>
    <row r="771" spans="12:15" ht="15" customHeight="1">
      <c r="L771" s="46"/>
      <c r="O771" s="312" t="str">
        <f t="shared" si="142"/>
        <v/>
      </c>
    </row>
    <row r="772" spans="12:15" ht="15" customHeight="1">
      <c r="L772" s="46"/>
      <c r="O772" s="312" t="str">
        <f t="shared" si="142"/>
        <v/>
      </c>
    </row>
    <row r="773" spans="12:15" ht="15" customHeight="1">
      <c r="L773" s="46"/>
      <c r="O773" s="312" t="str">
        <f t="shared" si="142"/>
        <v/>
      </c>
    </row>
    <row r="774" spans="12:15" ht="15" customHeight="1">
      <c r="L774" s="46"/>
      <c r="O774" s="312" t="str">
        <f t="shared" si="142"/>
        <v/>
      </c>
    </row>
    <row r="775" spans="12:15" ht="15" customHeight="1">
      <c r="L775" s="46"/>
      <c r="O775" s="312" t="str">
        <f t="shared" si="142"/>
        <v/>
      </c>
    </row>
    <row r="776" spans="12:15" ht="15" customHeight="1">
      <c r="L776" s="46"/>
      <c r="O776" s="312" t="str">
        <f t="shared" si="142"/>
        <v/>
      </c>
    </row>
    <row r="777" spans="12:15" ht="15" customHeight="1">
      <c r="L777" s="46"/>
      <c r="O777" s="312" t="str">
        <f t="shared" si="142"/>
        <v/>
      </c>
    </row>
    <row r="778" spans="12:15" ht="15" customHeight="1">
      <c r="L778" s="46"/>
      <c r="O778" s="312" t="str">
        <f t="shared" si="142"/>
        <v/>
      </c>
    </row>
    <row r="779" spans="12:15" ht="15" customHeight="1">
      <c r="L779" s="46"/>
      <c r="O779" s="312" t="str">
        <f t="shared" si="142"/>
        <v/>
      </c>
    </row>
    <row r="780" spans="12:15" ht="15" customHeight="1">
      <c r="L780" s="46"/>
      <c r="O780" s="312" t="str">
        <f t="shared" si="142"/>
        <v/>
      </c>
    </row>
    <row r="781" spans="12:15" ht="15" customHeight="1">
      <c r="L781" s="46"/>
      <c r="O781" s="312" t="str">
        <f t="shared" si="142"/>
        <v/>
      </c>
    </row>
    <row r="782" spans="12:15" ht="15" customHeight="1">
      <c r="L782" s="46"/>
      <c r="O782" s="312" t="str">
        <f t="shared" si="142"/>
        <v/>
      </c>
    </row>
    <row r="783" spans="12:15" ht="15" customHeight="1">
      <c r="L783" s="46"/>
      <c r="O783" s="312" t="str">
        <f t="shared" si="142"/>
        <v/>
      </c>
    </row>
    <row r="784" spans="12:15" ht="15" customHeight="1">
      <c r="L784" s="46"/>
      <c r="O784" s="312" t="str">
        <f t="shared" si="142"/>
        <v/>
      </c>
    </row>
    <row r="785" spans="6:15" ht="15" customHeight="1">
      <c r="L785" s="46"/>
      <c r="O785" s="312" t="str">
        <f t="shared" si="142"/>
        <v/>
      </c>
    </row>
    <row r="786" spans="6:15" ht="15" customHeight="1">
      <c r="L786" s="46"/>
      <c r="O786" s="312" t="str">
        <f t="shared" si="142"/>
        <v/>
      </c>
    </row>
    <row r="787" spans="6:15" ht="15" customHeight="1">
      <c r="L787" s="46"/>
      <c r="O787" s="312" t="str">
        <f t="shared" si="142"/>
        <v/>
      </c>
    </row>
    <row r="788" spans="6:15" ht="15" customHeight="1">
      <c r="L788" s="46"/>
      <c r="O788" s="312" t="str">
        <f t="shared" si="142"/>
        <v/>
      </c>
    </row>
    <row r="789" spans="6:15" ht="15" customHeight="1">
      <c r="L789" s="46"/>
      <c r="O789" s="312" t="str">
        <f t="shared" si="142"/>
        <v/>
      </c>
    </row>
    <row r="790" spans="6:15" ht="15" customHeight="1">
      <c r="L790" s="46"/>
      <c r="O790" s="312" t="str">
        <f t="shared" ref="O790" si="145">IF(N790&lt;&gt;"",TEXT(N790,"mmmm"),"")</f>
        <v/>
      </c>
    </row>
    <row r="796" spans="6:15" ht="15" customHeight="1">
      <c r="F796" s="188"/>
    </row>
    <row r="797" spans="6:15" ht="15" customHeight="1">
      <c r="F797" s="188"/>
    </row>
    <row r="798" spans="6:15" ht="15" customHeight="1">
      <c r="F798" s="188"/>
    </row>
    <row r="799" spans="6:15" ht="15" customHeight="1">
      <c r="F799" s="188"/>
    </row>
    <row r="800" spans="6:15" ht="15" customHeight="1">
      <c r="F800" s="188"/>
    </row>
    <row r="801" spans="6:6" ht="15" customHeight="1">
      <c r="F801" s="188"/>
    </row>
    <row r="802" spans="6:6" ht="15" customHeight="1">
      <c r="F802" s="188"/>
    </row>
    <row r="803" spans="6:6" ht="15" customHeight="1">
      <c r="F803" s="188"/>
    </row>
    <row r="804" spans="6:6" ht="15" customHeight="1">
      <c r="F804" s="188"/>
    </row>
    <row r="805" spans="6:6" ht="15" customHeight="1">
      <c r="F805" s="188"/>
    </row>
    <row r="806" spans="6:6" ht="15" customHeight="1">
      <c r="F806" s="188"/>
    </row>
    <row r="807" spans="6:6" ht="15" customHeight="1">
      <c r="F807" s="188"/>
    </row>
    <row r="808" spans="6:6" ht="15" customHeight="1">
      <c r="F808" s="188"/>
    </row>
    <row r="809" spans="6:6" ht="15" customHeight="1">
      <c r="F809" s="188"/>
    </row>
    <row r="810" spans="6:6" ht="15" customHeight="1">
      <c r="F810" s="188"/>
    </row>
    <row r="811" spans="6:6" ht="15" customHeight="1">
      <c r="F811" s="188"/>
    </row>
    <row r="812" spans="6:6" ht="15" customHeight="1">
      <c r="F812" s="188"/>
    </row>
    <row r="813" spans="6:6" ht="15" customHeight="1">
      <c r="F813" s="188"/>
    </row>
    <row r="814" spans="6:6" ht="15" customHeight="1">
      <c r="F814" s="188"/>
    </row>
    <row r="815" spans="6:6" ht="15" customHeight="1">
      <c r="F815" s="188"/>
    </row>
    <row r="816" spans="6:6" ht="15" customHeight="1">
      <c r="F816" s="188"/>
    </row>
    <row r="817" spans="6:6" ht="15" customHeight="1">
      <c r="F817" s="188"/>
    </row>
    <row r="818" spans="6:6" ht="15" customHeight="1">
      <c r="F818" s="188"/>
    </row>
    <row r="819" spans="6:6" ht="15" customHeight="1">
      <c r="F819" s="188"/>
    </row>
    <row r="820" spans="6:6" ht="15" customHeight="1">
      <c r="F820" s="188"/>
    </row>
    <row r="821" spans="6:6" ht="15" customHeight="1">
      <c r="F821" s="188"/>
    </row>
    <row r="822" spans="6:6" ht="15" customHeight="1">
      <c r="F822" s="188"/>
    </row>
    <row r="823" spans="6:6" ht="15" customHeight="1">
      <c r="F823" s="188"/>
    </row>
    <row r="824" spans="6:6" ht="15" customHeight="1">
      <c r="F824" s="188"/>
    </row>
    <row r="825" spans="6:6" ht="15" customHeight="1">
      <c r="F825" s="188"/>
    </row>
    <row r="826" spans="6:6" ht="15" customHeight="1">
      <c r="F826" s="188"/>
    </row>
    <row r="827" spans="6:6" ht="15" customHeight="1">
      <c r="F827" s="188"/>
    </row>
    <row r="828" spans="6:6" ht="15" customHeight="1">
      <c r="F828" s="188"/>
    </row>
    <row r="829" spans="6:6" ht="15" customHeight="1">
      <c r="F829" s="188"/>
    </row>
    <row r="830" spans="6:6" ht="15" customHeight="1">
      <c r="F830" s="188"/>
    </row>
    <row r="831" spans="6:6" ht="15" customHeight="1">
      <c r="F831" s="188"/>
    </row>
    <row r="832" spans="6:6" ht="15" customHeight="1">
      <c r="F832" s="188"/>
    </row>
    <row r="833" spans="6:6" ht="15" customHeight="1">
      <c r="F833" s="188"/>
    </row>
    <row r="834" spans="6:6" ht="15" customHeight="1">
      <c r="F834" s="188"/>
    </row>
    <row r="835" spans="6:6" ht="15" customHeight="1">
      <c r="F835" s="188"/>
    </row>
    <row r="836" spans="6:6" ht="15" customHeight="1">
      <c r="F836" s="188"/>
    </row>
    <row r="837" spans="6:6" ht="15" customHeight="1">
      <c r="F837" s="188"/>
    </row>
    <row r="838" spans="6:6" ht="15" customHeight="1">
      <c r="F838" s="188"/>
    </row>
    <row r="839" spans="6:6" ht="15" customHeight="1">
      <c r="F839" s="188"/>
    </row>
    <row r="840" spans="6:6" ht="15" customHeight="1">
      <c r="F840" s="188"/>
    </row>
    <row r="841" spans="6:6" ht="15" customHeight="1">
      <c r="F841" s="188"/>
    </row>
    <row r="842" spans="6:6" ht="15" customHeight="1">
      <c r="F842" s="188"/>
    </row>
    <row r="843" spans="6:6" ht="15" customHeight="1">
      <c r="F843" s="188"/>
    </row>
    <row r="844" spans="6:6" ht="15" customHeight="1">
      <c r="F844" s="188"/>
    </row>
    <row r="845" spans="6:6" ht="15" customHeight="1">
      <c r="F845" s="188"/>
    </row>
    <row r="846" spans="6:6" ht="15" customHeight="1">
      <c r="F846" s="188"/>
    </row>
    <row r="847" spans="6:6" ht="15" customHeight="1">
      <c r="F847" s="188"/>
    </row>
    <row r="848" spans="6:6" ht="15" customHeight="1">
      <c r="F848" s="188"/>
    </row>
    <row r="849" spans="6:6" ht="15" customHeight="1">
      <c r="F849" s="188"/>
    </row>
    <row r="850" spans="6:6" ht="15" customHeight="1">
      <c r="F850" s="188"/>
    </row>
    <row r="851" spans="6:6" ht="15" customHeight="1">
      <c r="F851" s="188"/>
    </row>
    <row r="852" spans="6:6" ht="15" customHeight="1">
      <c r="F852" s="188"/>
    </row>
    <row r="853" spans="6:6" ht="15" customHeight="1">
      <c r="F853" s="188"/>
    </row>
    <row r="854" spans="6:6" ht="15" customHeight="1">
      <c r="F854" s="188"/>
    </row>
    <row r="855" spans="6:6" ht="15" customHeight="1">
      <c r="F855" s="188"/>
    </row>
    <row r="856" spans="6:6" ht="15" customHeight="1">
      <c r="F856" s="188"/>
    </row>
    <row r="857" spans="6:6" ht="15" customHeight="1">
      <c r="F857" s="188"/>
    </row>
    <row r="858" spans="6:6" ht="15" customHeight="1">
      <c r="F858" s="188"/>
    </row>
    <row r="859" spans="6:6" ht="15" customHeight="1">
      <c r="F859" s="188"/>
    </row>
    <row r="860" spans="6:6" ht="15" customHeight="1">
      <c r="F860" s="188"/>
    </row>
    <row r="861" spans="6:6" ht="15" customHeight="1">
      <c r="F861" s="188"/>
    </row>
    <row r="862" spans="6:6" ht="15" customHeight="1">
      <c r="F862" s="188"/>
    </row>
    <row r="863" spans="6:6" ht="15" customHeight="1">
      <c r="F863" s="188"/>
    </row>
    <row r="864" spans="6:6" ht="15" customHeight="1">
      <c r="F864" s="188"/>
    </row>
    <row r="865" spans="6:6" ht="15" customHeight="1">
      <c r="F865" s="188"/>
    </row>
    <row r="866" spans="6:6" ht="15" customHeight="1">
      <c r="F866" s="188"/>
    </row>
    <row r="867" spans="6:6" ht="15" customHeight="1">
      <c r="F867" s="188"/>
    </row>
    <row r="868" spans="6:6" ht="15" customHeight="1">
      <c r="F868" s="188"/>
    </row>
    <row r="869" spans="6:6" ht="15" customHeight="1">
      <c r="F869" s="188"/>
    </row>
    <row r="870" spans="6:6" ht="15" customHeight="1">
      <c r="F870" s="188"/>
    </row>
    <row r="871" spans="6:6" ht="15" customHeight="1">
      <c r="F871" s="188"/>
    </row>
    <row r="872" spans="6:6" ht="15" customHeight="1">
      <c r="F872" s="188"/>
    </row>
    <row r="873" spans="6:6" ht="15" customHeight="1">
      <c r="F873" s="188"/>
    </row>
    <row r="874" spans="6:6" ht="15" customHeight="1">
      <c r="F874" s="188"/>
    </row>
    <row r="875" spans="6:6" ht="15" customHeight="1">
      <c r="F875" s="188"/>
    </row>
    <row r="876" spans="6:6" ht="15" customHeight="1">
      <c r="F876" s="188"/>
    </row>
    <row r="877" spans="6:6" ht="15" customHeight="1">
      <c r="F877" s="188"/>
    </row>
    <row r="878" spans="6:6" ht="15" customHeight="1">
      <c r="F878" s="188"/>
    </row>
    <row r="879" spans="6:6" ht="15" customHeight="1">
      <c r="F879" s="188"/>
    </row>
    <row r="880" spans="6:6" ht="15" customHeight="1">
      <c r="F880" s="188"/>
    </row>
    <row r="881" spans="6:6" ht="15" customHeight="1">
      <c r="F881" s="188"/>
    </row>
    <row r="882" spans="6:6" ht="15" customHeight="1">
      <c r="F882" s="188"/>
    </row>
    <row r="883" spans="6:6" ht="15" customHeight="1">
      <c r="F883" s="188"/>
    </row>
    <row r="884" spans="6:6" ht="15" customHeight="1">
      <c r="F884" s="188"/>
    </row>
    <row r="885" spans="6:6" ht="15" customHeight="1">
      <c r="F885" s="188"/>
    </row>
    <row r="886" spans="6:6" ht="15" customHeight="1">
      <c r="F886" s="188"/>
    </row>
    <row r="887" spans="6:6" ht="15" customHeight="1">
      <c r="F887" s="188"/>
    </row>
    <row r="888" spans="6:6" ht="15" customHeight="1">
      <c r="F888" s="188"/>
    </row>
    <row r="889" spans="6:6" ht="15" customHeight="1">
      <c r="F889" s="188"/>
    </row>
    <row r="890" spans="6:6" ht="15" customHeight="1">
      <c r="F890" s="188"/>
    </row>
    <row r="891" spans="6:6" ht="15" customHeight="1">
      <c r="F891" s="188"/>
    </row>
    <row r="892" spans="6:6" ht="15" customHeight="1">
      <c r="F892" s="188"/>
    </row>
    <row r="893" spans="6:6" ht="15" customHeight="1">
      <c r="F893" s="188"/>
    </row>
    <row r="894" spans="6:6" ht="15" customHeight="1">
      <c r="F894" s="188"/>
    </row>
    <row r="895" spans="6:6" ht="15" customHeight="1">
      <c r="F895" s="188"/>
    </row>
    <row r="896" spans="6:6" ht="15" customHeight="1">
      <c r="F896" s="188"/>
    </row>
    <row r="897" spans="6:6" ht="15" customHeight="1">
      <c r="F897" s="188"/>
    </row>
    <row r="898" spans="6:6" ht="15" customHeight="1">
      <c r="F898" s="188"/>
    </row>
    <row r="899" spans="6:6" ht="15" customHeight="1">
      <c r="F899" s="188"/>
    </row>
    <row r="900" spans="6:6" ht="15" customHeight="1">
      <c r="F900" s="188"/>
    </row>
    <row r="901" spans="6:6" ht="15" customHeight="1">
      <c r="F901" s="188"/>
    </row>
    <row r="902" spans="6:6" ht="15" customHeight="1">
      <c r="F902" s="188"/>
    </row>
    <row r="903" spans="6:6" ht="15" customHeight="1">
      <c r="F903" s="188"/>
    </row>
    <row r="904" spans="6:6" ht="15" customHeight="1">
      <c r="F904" s="188"/>
    </row>
    <row r="905" spans="6:6" ht="15" customHeight="1">
      <c r="F905" s="188"/>
    </row>
    <row r="906" spans="6:6" ht="15" customHeight="1">
      <c r="F906" s="188"/>
    </row>
    <row r="907" spans="6:6" ht="15" customHeight="1">
      <c r="F907" s="188"/>
    </row>
    <row r="908" spans="6:6" ht="15" customHeight="1">
      <c r="F908" s="188"/>
    </row>
    <row r="909" spans="6:6" ht="15" customHeight="1">
      <c r="F909" s="188"/>
    </row>
    <row r="910" spans="6:6" ht="15" customHeight="1">
      <c r="F910" s="188"/>
    </row>
    <row r="911" spans="6:6" ht="15" customHeight="1">
      <c r="F911" s="188"/>
    </row>
    <row r="912" spans="6:6" ht="15" customHeight="1">
      <c r="F912" s="188"/>
    </row>
    <row r="913" spans="6:6" ht="15" customHeight="1">
      <c r="F913" s="188"/>
    </row>
    <row r="914" spans="6:6" ht="15" customHeight="1">
      <c r="F914" s="188"/>
    </row>
    <row r="915" spans="6:6" ht="15" customHeight="1">
      <c r="F915" s="188"/>
    </row>
    <row r="916" spans="6:6" ht="15" customHeight="1">
      <c r="F916" s="188"/>
    </row>
    <row r="917" spans="6:6" ht="15" customHeight="1">
      <c r="F917" s="188"/>
    </row>
    <row r="918" spans="6:6" ht="15" customHeight="1">
      <c r="F918" s="188"/>
    </row>
    <row r="919" spans="6:6" ht="15" customHeight="1">
      <c r="F919" s="188"/>
    </row>
    <row r="920" spans="6:6" ht="15" customHeight="1">
      <c r="F920" s="188"/>
    </row>
    <row r="921" spans="6:6" ht="15" customHeight="1">
      <c r="F921" s="188"/>
    </row>
    <row r="922" spans="6:6" ht="15" customHeight="1">
      <c r="F922" s="188"/>
    </row>
    <row r="923" spans="6:6" ht="15" customHeight="1">
      <c r="F923" s="188"/>
    </row>
    <row r="924" spans="6:6" ht="15" customHeight="1">
      <c r="F924" s="188"/>
    </row>
    <row r="925" spans="6:6" ht="15" customHeight="1">
      <c r="F925" s="188"/>
    </row>
    <row r="926" spans="6:6" ht="15" customHeight="1">
      <c r="F926" s="188"/>
    </row>
    <row r="927" spans="6:6" ht="15" customHeight="1">
      <c r="F927" s="188"/>
    </row>
    <row r="928" spans="6:6" ht="15" customHeight="1">
      <c r="F928" s="188"/>
    </row>
    <row r="929" spans="6:6" ht="15" customHeight="1">
      <c r="F929" s="188"/>
    </row>
    <row r="930" spans="6:6" ht="15" customHeight="1">
      <c r="F930" s="188"/>
    </row>
    <row r="931" spans="6:6" ht="15" customHeight="1">
      <c r="F931" s="188"/>
    </row>
    <row r="932" spans="6:6" ht="15" customHeight="1">
      <c r="F932" s="188"/>
    </row>
    <row r="933" spans="6:6" ht="15" customHeight="1">
      <c r="F933" s="188"/>
    </row>
    <row r="934" spans="6:6" ht="15" customHeight="1">
      <c r="F934" s="188"/>
    </row>
    <row r="935" spans="6:6" ht="15" customHeight="1">
      <c r="F935" s="188"/>
    </row>
    <row r="936" spans="6:6" ht="15" customHeight="1">
      <c r="F936" s="188"/>
    </row>
    <row r="937" spans="6:6" ht="15" customHeight="1">
      <c r="F937" s="188"/>
    </row>
    <row r="938" spans="6:6" ht="15" customHeight="1">
      <c r="F938" s="188"/>
    </row>
    <row r="939" spans="6:6" ht="15" customHeight="1">
      <c r="F939" s="188"/>
    </row>
    <row r="940" spans="6:6" ht="15" customHeight="1">
      <c r="F940" s="188"/>
    </row>
    <row r="941" spans="6:6" ht="15" customHeight="1">
      <c r="F941" s="188"/>
    </row>
    <row r="942" spans="6:6" ht="15" customHeight="1">
      <c r="F942" s="188"/>
    </row>
    <row r="943" spans="6:6" ht="15" customHeight="1">
      <c r="F943" s="188"/>
    </row>
    <row r="944" spans="6:6" ht="15" customHeight="1">
      <c r="F944" s="188"/>
    </row>
    <row r="945" spans="6:6" ht="15" customHeight="1">
      <c r="F945" s="188"/>
    </row>
    <row r="946" spans="6:6" ht="15" customHeight="1">
      <c r="F946" s="188"/>
    </row>
    <row r="947" spans="6:6" ht="15" customHeight="1">
      <c r="F947" s="188"/>
    </row>
    <row r="948" spans="6:6" ht="15" customHeight="1">
      <c r="F948" s="188"/>
    </row>
    <row r="949" spans="6:6" ht="15" customHeight="1">
      <c r="F949" s="188"/>
    </row>
    <row r="950" spans="6:6" ht="15" customHeight="1">
      <c r="F950" s="188"/>
    </row>
    <row r="951" spans="6:6" ht="15" customHeight="1">
      <c r="F951" s="188"/>
    </row>
    <row r="952" spans="6:6" ht="15" customHeight="1">
      <c r="F952" s="188"/>
    </row>
    <row r="953" spans="6:6" ht="15" customHeight="1">
      <c r="F953" s="188"/>
    </row>
    <row r="954" spans="6:6" ht="15" customHeight="1">
      <c r="F954" s="188"/>
    </row>
    <row r="955" spans="6:6" ht="15" customHeight="1">
      <c r="F955" s="188"/>
    </row>
    <row r="956" spans="6:6" ht="15" customHeight="1">
      <c r="F956" s="188"/>
    </row>
    <row r="957" spans="6:6" ht="15" customHeight="1">
      <c r="F957" s="188"/>
    </row>
    <row r="958" spans="6:6" ht="15" customHeight="1">
      <c r="F958" s="188"/>
    </row>
    <row r="959" spans="6:6" ht="15" customHeight="1">
      <c r="F959" s="188"/>
    </row>
    <row r="960" spans="6:6" ht="15" customHeight="1">
      <c r="F960" s="188"/>
    </row>
    <row r="961" spans="6:6" ht="15" customHeight="1">
      <c r="F961" s="188"/>
    </row>
    <row r="962" spans="6:6" ht="15" customHeight="1">
      <c r="F962" s="188"/>
    </row>
    <row r="963" spans="6:6" ht="15" customHeight="1">
      <c r="F963" s="188"/>
    </row>
    <row r="964" spans="6:6" ht="15" customHeight="1">
      <c r="F964" s="188"/>
    </row>
    <row r="965" spans="6:6" ht="15" customHeight="1">
      <c r="F965" s="188"/>
    </row>
    <row r="966" spans="6:6" ht="15" customHeight="1">
      <c r="F966" s="188"/>
    </row>
    <row r="967" spans="6:6" ht="15" customHeight="1">
      <c r="F967" s="188"/>
    </row>
    <row r="968" spans="6:6" ht="15" customHeight="1">
      <c r="F968" s="188"/>
    </row>
    <row r="969" spans="6:6" ht="15" customHeight="1">
      <c r="F969" s="188"/>
    </row>
    <row r="970" spans="6:6" ht="15" customHeight="1">
      <c r="F970" s="188"/>
    </row>
    <row r="971" spans="6:6" ht="15" customHeight="1">
      <c r="F971" s="188"/>
    </row>
    <row r="972" spans="6:6" ht="15" customHeight="1">
      <c r="F972" s="188"/>
    </row>
    <row r="973" spans="6:6" ht="15" customHeight="1">
      <c r="F973" s="188"/>
    </row>
    <row r="974" spans="6:6" ht="15" customHeight="1">
      <c r="F974" s="188"/>
    </row>
    <row r="975" spans="6:6" ht="15" customHeight="1">
      <c r="F975" s="188"/>
    </row>
    <row r="976" spans="6:6" ht="15" customHeight="1">
      <c r="F976" s="188"/>
    </row>
    <row r="977" spans="6:6" ht="15" customHeight="1">
      <c r="F977" s="188"/>
    </row>
    <row r="978" spans="6:6" ht="15" customHeight="1">
      <c r="F978" s="188"/>
    </row>
    <row r="979" spans="6:6" ht="15" customHeight="1">
      <c r="F979" s="188"/>
    </row>
    <row r="980" spans="6:6" ht="15" customHeight="1">
      <c r="F980" s="188"/>
    </row>
    <row r="981" spans="6:6" ht="15" customHeight="1">
      <c r="F981" s="188"/>
    </row>
    <row r="982" spans="6:6" ht="15" customHeight="1">
      <c r="F982" s="188"/>
    </row>
    <row r="983" spans="6:6" ht="15" customHeight="1">
      <c r="F983" s="188"/>
    </row>
    <row r="984" spans="6:6" ht="15" customHeight="1">
      <c r="F984" s="188"/>
    </row>
    <row r="985" spans="6:6" ht="15" customHeight="1">
      <c r="F985" s="188"/>
    </row>
    <row r="986" spans="6:6" ht="15" customHeight="1">
      <c r="F986" s="188"/>
    </row>
    <row r="987" spans="6:6" ht="15" customHeight="1">
      <c r="F987" s="188"/>
    </row>
    <row r="988" spans="6:6" ht="15" customHeight="1">
      <c r="F988" s="188"/>
    </row>
    <row r="989" spans="6:6" ht="15" customHeight="1">
      <c r="F989" s="188"/>
    </row>
    <row r="990" spans="6:6" ht="15" customHeight="1">
      <c r="F990" s="188"/>
    </row>
    <row r="991" spans="6:6" ht="15" customHeight="1">
      <c r="F991" s="188"/>
    </row>
    <row r="992" spans="6:6" ht="15" customHeight="1">
      <c r="F992" s="188"/>
    </row>
    <row r="993" spans="6:6" ht="15" customHeight="1">
      <c r="F993" s="188"/>
    </row>
    <row r="994" spans="6:6" ht="15" customHeight="1">
      <c r="F994" s="188"/>
    </row>
    <row r="995" spans="6:6" ht="15" customHeight="1">
      <c r="F995" s="188"/>
    </row>
    <row r="996" spans="6:6" ht="15" customHeight="1">
      <c r="F996" s="188"/>
    </row>
    <row r="997" spans="6:6" ht="15" customHeight="1">
      <c r="F997" s="188"/>
    </row>
    <row r="998" spans="6:6" ht="15" customHeight="1">
      <c r="F998" s="188"/>
    </row>
    <row r="999" spans="6:6" ht="15" customHeight="1">
      <c r="F999" s="188"/>
    </row>
    <row r="1000" spans="6:6" ht="15" customHeight="1">
      <c r="F1000" s="188"/>
    </row>
    <row r="1001" spans="6:6" ht="15" customHeight="1">
      <c r="F1001" s="188"/>
    </row>
    <row r="1002" spans="6:6" ht="15" customHeight="1">
      <c r="F1002" s="188"/>
    </row>
    <row r="1003" spans="6:6" ht="15" customHeight="1">
      <c r="F1003" s="188"/>
    </row>
    <row r="1004" spans="6:6" ht="15" customHeight="1">
      <c r="F1004" s="188"/>
    </row>
    <row r="1005" spans="6:6" ht="15" customHeight="1">
      <c r="F1005" s="188"/>
    </row>
    <row r="1006" spans="6:6" ht="15" customHeight="1">
      <c r="F1006" s="188"/>
    </row>
    <row r="1007" spans="6:6" ht="15" customHeight="1">
      <c r="F1007" s="188"/>
    </row>
    <row r="1008" spans="6:6" ht="15" customHeight="1">
      <c r="F1008" s="188"/>
    </row>
    <row r="1009" spans="6:6" ht="15" customHeight="1">
      <c r="F1009" s="188"/>
    </row>
    <row r="1010" spans="6:6" ht="15" customHeight="1">
      <c r="F1010" s="188"/>
    </row>
    <row r="1011" spans="6:6" ht="15" customHeight="1">
      <c r="F1011" s="188"/>
    </row>
    <row r="1012" spans="6:6" ht="15" customHeight="1">
      <c r="F1012" s="188"/>
    </row>
    <row r="1013" spans="6:6" ht="15" customHeight="1">
      <c r="F1013" s="188"/>
    </row>
    <row r="1014" spans="6:6" ht="15" customHeight="1">
      <c r="F1014" s="188"/>
    </row>
    <row r="1015" spans="6:6" ht="15" customHeight="1">
      <c r="F1015" s="188"/>
    </row>
    <row r="1016" spans="6:6" ht="15" customHeight="1">
      <c r="F1016" s="188"/>
    </row>
    <row r="1017" spans="6:6" ht="15" customHeight="1">
      <c r="F1017" s="188"/>
    </row>
    <row r="1018" spans="6:6" ht="15" customHeight="1">
      <c r="F1018" s="188"/>
    </row>
    <row r="1019" spans="6:6" ht="15" customHeight="1">
      <c r="F1019" s="188"/>
    </row>
    <row r="1020" spans="6:6" ht="15" customHeight="1">
      <c r="F1020" s="188"/>
    </row>
    <row r="1021" spans="6:6" ht="15" customHeight="1">
      <c r="F1021" s="188"/>
    </row>
    <row r="1022" spans="6:6" ht="15" customHeight="1">
      <c r="F1022" s="188"/>
    </row>
    <row r="1023" spans="6:6" ht="15" customHeight="1">
      <c r="F1023" s="188"/>
    </row>
    <row r="1024" spans="6:6" ht="15" customHeight="1">
      <c r="F1024" s="188"/>
    </row>
    <row r="1025" spans="6:6" ht="15" customHeight="1">
      <c r="F1025" s="188"/>
    </row>
    <row r="1026" spans="6:6" ht="15" customHeight="1">
      <c r="F1026" s="188"/>
    </row>
    <row r="1027" spans="6:6" ht="15" customHeight="1">
      <c r="F1027" s="188"/>
    </row>
    <row r="1028" spans="6:6" ht="15" customHeight="1">
      <c r="F1028" s="188"/>
    </row>
    <row r="1029" spans="6:6" ht="15" customHeight="1">
      <c r="F1029" s="188"/>
    </row>
    <row r="1030" spans="6:6" ht="15" customHeight="1">
      <c r="F1030" s="188"/>
    </row>
    <row r="1031" spans="6:6" ht="15" customHeight="1">
      <c r="F1031" s="188"/>
    </row>
    <row r="1032" spans="6:6" ht="15" customHeight="1">
      <c r="F1032" s="188"/>
    </row>
    <row r="1033" spans="6:6" ht="15" customHeight="1">
      <c r="F1033" s="188"/>
    </row>
    <row r="1034" spans="6:6" ht="15" customHeight="1">
      <c r="F1034" s="188"/>
    </row>
    <row r="1035" spans="6:6" ht="15" customHeight="1">
      <c r="F1035" s="188"/>
    </row>
    <row r="1036" spans="6:6" ht="15" customHeight="1">
      <c r="F1036" s="188"/>
    </row>
    <row r="1037" spans="6:6" ht="15" customHeight="1">
      <c r="F1037" s="188"/>
    </row>
    <row r="1038" spans="6:6" ht="15" customHeight="1">
      <c r="F1038" s="188"/>
    </row>
    <row r="1039" spans="6:6" ht="15" customHeight="1">
      <c r="F1039" s="188"/>
    </row>
    <row r="1040" spans="6:6" ht="15" customHeight="1">
      <c r="F1040" s="188"/>
    </row>
    <row r="1041" spans="6:6" ht="15" customHeight="1">
      <c r="F1041" s="188"/>
    </row>
    <row r="1042" spans="6:6" ht="15" customHeight="1">
      <c r="F1042" s="188"/>
    </row>
    <row r="1043" spans="6:6" ht="15" customHeight="1">
      <c r="F1043" s="188"/>
    </row>
    <row r="1044" spans="6:6" ht="15" customHeight="1">
      <c r="F1044" s="188"/>
    </row>
    <row r="1045" spans="6:6" ht="15" customHeight="1">
      <c r="F1045" s="188"/>
    </row>
    <row r="1046" spans="6:6" ht="15" customHeight="1">
      <c r="F1046" s="188"/>
    </row>
    <row r="1047" spans="6:6" ht="15" customHeight="1">
      <c r="F1047" s="188"/>
    </row>
    <row r="1048" spans="6:6" ht="15" customHeight="1">
      <c r="F1048" s="188"/>
    </row>
    <row r="1049" spans="6:6" ht="15" customHeight="1">
      <c r="F1049" s="188"/>
    </row>
    <row r="1050" spans="6:6" ht="15" customHeight="1">
      <c r="F1050" s="188"/>
    </row>
    <row r="1051" spans="6:6" ht="15" customHeight="1">
      <c r="F1051" s="188"/>
    </row>
    <row r="1052" spans="6:6" ht="15" customHeight="1">
      <c r="F1052" s="188"/>
    </row>
    <row r="1053" spans="6:6" ht="15" customHeight="1">
      <c r="F1053" s="188"/>
    </row>
    <row r="1054" spans="6:6" ht="15" customHeight="1">
      <c r="F1054" s="188"/>
    </row>
    <row r="1055" spans="6:6" ht="15" customHeight="1">
      <c r="F1055" s="188"/>
    </row>
    <row r="1056" spans="6:6" ht="15" customHeight="1">
      <c r="F1056" s="188"/>
    </row>
    <row r="1057" spans="6:6" ht="15" customHeight="1">
      <c r="F1057" s="188"/>
    </row>
    <row r="1058" spans="6:6" ht="15" customHeight="1">
      <c r="F1058" s="188"/>
    </row>
    <row r="1059" spans="6:6" ht="15" customHeight="1">
      <c r="F1059" s="188"/>
    </row>
    <row r="1060" spans="6:6" ht="15" customHeight="1">
      <c r="F1060" s="188"/>
    </row>
    <row r="1061" spans="6:6" ht="15" customHeight="1">
      <c r="F1061" s="188"/>
    </row>
    <row r="1062" spans="6:6" ht="15" customHeight="1">
      <c r="F1062" s="188"/>
    </row>
    <row r="1063" spans="6:6" ht="15" customHeight="1">
      <c r="F1063" s="188"/>
    </row>
    <row r="1064" spans="6:6" ht="15" customHeight="1">
      <c r="F1064" s="188"/>
    </row>
    <row r="1065" spans="6:6" ht="15" customHeight="1">
      <c r="F1065" s="188"/>
    </row>
    <row r="1066" spans="6:6" ht="15" customHeight="1">
      <c r="F1066" s="188"/>
    </row>
    <row r="1067" spans="6:6" ht="15" customHeight="1">
      <c r="F1067" s="188"/>
    </row>
    <row r="1068" spans="6:6" ht="15" customHeight="1">
      <c r="F1068" s="188"/>
    </row>
    <row r="1069" spans="6:6" ht="15" customHeight="1">
      <c r="F1069" s="188"/>
    </row>
    <row r="1070" spans="6:6" ht="15" customHeight="1">
      <c r="F1070" s="188"/>
    </row>
    <row r="1071" spans="6:6" ht="15" customHeight="1">
      <c r="F1071" s="188"/>
    </row>
    <row r="1072" spans="6:6" ht="15" customHeight="1">
      <c r="F1072" s="188"/>
    </row>
    <row r="1073" spans="6:6" ht="15" customHeight="1">
      <c r="F1073" s="188"/>
    </row>
    <row r="1074" spans="6:6" ht="15" customHeight="1">
      <c r="F1074" s="188"/>
    </row>
    <row r="1075" spans="6:6" ht="15" customHeight="1">
      <c r="F1075" s="188"/>
    </row>
    <row r="1076" spans="6:6" ht="15" customHeight="1">
      <c r="F1076" s="188"/>
    </row>
    <row r="1077" spans="6:6" ht="15" customHeight="1">
      <c r="F1077" s="188"/>
    </row>
    <row r="1078" spans="6:6" ht="15" customHeight="1">
      <c r="F1078" s="188"/>
    </row>
    <row r="1079" spans="6:6" ht="15" customHeight="1">
      <c r="F1079" s="188"/>
    </row>
    <row r="1080" spans="6:6" ht="15" customHeight="1">
      <c r="F1080" s="188"/>
    </row>
    <row r="1081" spans="6:6" ht="15" customHeight="1">
      <c r="F1081" s="188"/>
    </row>
    <row r="1082" spans="6:6" ht="15" customHeight="1">
      <c r="F1082" s="188"/>
    </row>
    <row r="1083" spans="6:6" ht="15" customHeight="1">
      <c r="F1083" s="188"/>
    </row>
    <row r="1084" spans="6:6" ht="15" customHeight="1">
      <c r="F1084" s="188"/>
    </row>
    <row r="1085" spans="6:6" ht="15" customHeight="1">
      <c r="F1085" s="188"/>
    </row>
    <row r="1086" spans="6:6" ht="15" customHeight="1">
      <c r="F1086" s="188"/>
    </row>
    <row r="1087" spans="6:6" ht="15" customHeight="1">
      <c r="F1087" s="188"/>
    </row>
    <row r="1088" spans="6:6" ht="15" customHeight="1">
      <c r="F1088" s="188"/>
    </row>
    <row r="1089" spans="6:6" ht="15" customHeight="1">
      <c r="F1089" s="188"/>
    </row>
    <row r="1090" spans="6:6" ht="15" customHeight="1">
      <c r="F1090" s="188"/>
    </row>
    <row r="1091" spans="6:6" ht="15" customHeight="1">
      <c r="F1091" s="188"/>
    </row>
    <row r="1092" spans="6:6" ht="15" customHeight="1">
      <c r="F1092" s="188"/>
    </row>
    <row r="1093" spans="6:6" ht="15" customHeight="1">
      <c r="F1093" s="188"/>
    </row>
    <row r="1094" spans="6:6" ht="15" customHeight="1">
      <c r="F1094" s="188"/>
    </row>
    <row r="1095" spans="6:6" ht="15" customHeight="1">
      <c r="F1095" s="188"/>
    </row>
    <row r="1096" spans="6:6" ht="15" customHeight="1">
      <c r="F1096" s="188"/>
    </row>
    <row r="1097" spans="6:6" ht="15" customHeight="1">
      <c r="F1097" s="188"/>
    </row>
    <row r="1098" spans="6:6" ht="15" customHeight="1">
      <c r="F1098" s="188"/>
    </row>
    <row r="1099" spans="6:6" ht="15" customHeight="1">
      <c r="F1099" s="188"/>
    </row>
    <row r="1100" spans="6:6" ht="15" customHeight="1">
      <c r="F1100" s="188"/>
    </row>
    <row r="1101" spans="6:6" ht="15" customHeight="1">
      <c r="F1101" s="188"/>
    </row>
    <row r="1102" spans="6:6" ht="15" customHeight="1">
      <c r="F1102" s="188"/>
    </row>
    <row r="1103" spans="6:6" ht="15" customHeight="1">
      <c r="F1103" s="188"/>
    </row>
    <row r="1104" spans="6:6" ht="15" customHeight="1">
      <c r="F1104" s="188"/>
    </row>
    <row r="1105" spans="6:6" ht="15" customHeight="1">
      <c r="F1105" s="188"/>
    </row>
    <row r="1106" spans="6:6" ht="15" customHeight="1">
      <c r="F1106" s="188"/>
    </row>
    <row r="1107" spans="6:6" ht="15" customHeight="1">
      <c r="F1107" s="188"/>
    </row>
    <row r="1108" spans="6:6" ht="15" customHeight="1">
      <c r="F1108" s="188"/>
    </row>
    <row r="1109" spans="6:6" ht="15" customHeight="1">
      <c r="F1109" s="188"/>
    </row>
    <row r="1110" spans="6:6" ht="15" customHeight="1">
      <c r="F1110" s="188"/>
    </row>
    <row r="1111" spans="6:6" ht="15" customHeight="1">
      <c r="F1111" s="188"/>
    </row>
    <row r="1112" spans="6:6" ht="15" customHeight="1">
      <c r="F1112" s="188"/>
    </row>
    <row r="1113" spans="6:6" ht="15" customHeight="1">
      <c r="F1113" s="188"/>
    </row>
    <row r="1114" spans="6:6" ht="15" customHeight="1">
      <c r="F1114" s="188"/>
    </row>
    <row r="1115" spans="6:6" ht="15" customHeight="1">
      <c r="F1115" s="188"/>
    </row>
    <row r="1116" spans="6:6" ht="15" customHeight="1">
      <c r="F1116" s="188"/>
    </row>
    <row r="1117" spans="6:6" ht="15" customHeight="1">
      <c r="F1117" s="188"/>
    </row>
    <row r="1118" spans="6:6" ht="15" customHeight="1">
      <c r="F1118" s="188"/>
    </row>
    <row r="1119" spans="6:6" ht="15" customHeight="1">
      <c r="F1119" s="188"/>
    </row>
    <row r="1120" spans="6:6" ht="15" customHeight="1">
      <c r="F1120" s="188"/>
    </row>
    <row r="1121" spans="6:6" ht="15" customHeight="1">
      <c r="F1121" s="188"/>
    </row>
    <row r="1122" spans="6:6" ht="15" customHeight="1">
      <c r="F1122" s="188"/>
    </row>
    <row r="1123" spans="6:6" ht="15" customHeight="1">
      <c r="F1123" s="188"/>
    </row>
    <row r="1124" spans="6:6" ht="15" customHeight="1">
      <c r="F1124" s="188"/>
    </row>
    <row r="1125" spans="6:6" ht="15" customHeight="1">
      <c r="F1125" s="188"/>
    </row>
    <row r="1126" spans="6:6" ht="15" customHeight="1">
      <c r="F1126" s="188"/>
    </row>
    <row r="1127" spans="6:6" ht="15" customHeight="1">
      <c r="F1127" s="188"/>
    </row>
    <row r="1128" spans="6:6" ht="15" customHeight="1">
      <c r="F1128" s="188"/>
    </row>
    <row r="1129" spans="6:6" ht="15" customHeight="1">
      <c r="F1129" s="188"/>
    </row>
    <row r="1130" spans="6:6" ht="15" customHeight="1">
      <c r="F1130" s="188"/>
    </row>
    <row r="1131" spans="6:6" ht="15" customHeight="1">
      <c r="F1131" s="188"/>
    </row>
    <row r="1132" spans="6:6" ht="15" customHeight="1">
      <c r="F1132" s="188"/>
    </row>
    <row r="1133" spans="6:6" ht="15" customHeight="1">
      <c r="F1133" s="188"/>
    </row>
    <row r="1134" spans="6:6" ht="15" customHeight="1">
      <c r="F1134" s="188"/>
    </row>
    <row r="1135" spans="6:6" ht="15" customHeight="1">
      <c r="F1135" s="188"/>
    </row>
    <row r="1136" spans="6:6" ht="15" customHeight="1">
      <c r="F1136" s="188"/>
    </row>
    <row r="1137" spans="6:6" ht="15" customHeight="1">
      <c r="F1137" s="188"/>
    </row>
    <row r="1138" spans="6:6" ht="15" customHeight="1">
      <c r="F1138" s="188"/>
    </row>
    <row r="1139" spans="6:6" ht="15" customHeight="1">
      <c r="F1139" s="188"/>
    </row>
    <row r="1140" spans="6:6" ht="15" customHeight="1">
      <c r="F1140" s="188"/>
    </row>
    <row r="1141" spans="6:6" ht="15" customHeight="1">
      <c r="F1141" s="188"/>
    </row>
    <row r="1142" spans="6:6" ht="15" customHeight="1">
      <c r="F1142" s="188"/>
    </row>
    <row r="1143" spans="6:6" ht="15" customHeight="1">
      <c r="F1143" s="188"/>
    </row>
    <row r="1144" spans="6:6" ht="15" customHeight="1">
      <c r="F1144" s="188"/>
    </row>
    <row r="1145" spans="6:6" ht="15" customHeight="1">
      <c r="F1145" s="188"/>
    </row>
    <row r="1146" spans="6:6" ht="15" customHeight="1">
      <c r="F1146" s="188"/>
    </row>
    <row r="1147" spans="6:6" ht="15" customHeight="1">
      <c r="F1147" s="188"/>
    </row>
    <row r="1148" spans="6:6" ht="15" customHeight="1">
      <c r="F1148" s="188"/>
    </row>
    <row r="1149" spans="6:6" ht="15" customHeight="1">
      <c r="F1149" s="188"/>
    </row>
    <row r="1150" spans="6:6" ht="15" customHeight="1">
      <c r="F1150" s="188"/>
    </row>
    <row r="1151" spans="6:6" ht="15" customHeight="1">
      <c r="F1151" s="188"/>
    </row>
    <row r="1152" spans="6:6" ht="15" customHeight="1">
      <c r="F1152" s="188"/>
    </row>
    <row r="1153" spans="6:6" ht="15" customHeight="1">
      <c r="F1153" s="188"/>
    </row>
    <row r="1154" spans="6:6" ht="15" customHeight="1">
      <c r="F1154" s="188"/>
    </row>
    <row r="1155" spans="6:6" ht="15" customHeight="1">
      <c r="F1155" s="188"/>
    </row>
    <row r="1156" spans="6:6" ht="15" customHeight="1">
      <c r="F1156" s="188"/>
    </row>
    <row r="1157" spans="6:6" ht="15" customHeight="1">
      <c r="F1157" s="188"/>
    </row>
    <row r="1158" spans="6:6" ht="15" customHeight="1">
      <c r="F1158" s="188"/>
    </row>
    <row r="1159" spans="6:6" ht="15" customHeight="1">
      <c r="F1159" s="188"/>
    </row>
    <row r="1160" spans="6:6" ht="15" customHeight="1">
      <c r="F1160" s="188"/>
    </row>
    <row r="1161" spans="6:6" ht="15" customHeight="1">
      <c r="F1161" s="188"/>
    </row>
    <row r="1162" spans="6:6" ht="15" customHeight="1">
      <c r="F1162" s="188"/>
    </row>
    <row r="1163" spans="6:6" ht="15" customHeight="1">
      <c r="F1163" s="188"/>
    </row>
    <row r="1164" spans="6:6" ht="15" customHeight="1">
      <c r="F1164" s="188"/>
    </row>
    <row r="1165" spans="6:6" ht="15" customHeight="1">
      <c r="F1165" s="188"/>
    </row>
    <row r="1166" spans="6:6" ht="15" customHeight="1">
      <c r="F1166" s="188"/>
    </row>
    <row r="1167" spans="6:6" ht="15" customHeight="1">
      <c r="F1167" s="188"/>
    </row>
    <row r="1168" spans="6:6" ht="15" customHeight="1">
      <c r="F1168" s="188"/>
    </row>
    <row r="1169" spans="6:6" ht="15" customHeight="1">
      <c r="F1169" s="188"/>
    </row>
    <row r="1170" spans="6:6" ht="15" customHeight="1">
      <c r="F1170" s="188"/>
    </row>
    <row r="1171" spans="6:6" ht="15" customHeight="1">
      <c r="F1171" s="188"/>
    </row>
    <row r="1172" spans="6:6" ht="15" customHeight="1">
      <c r="F1172" s="188"/>
    </row>
    <row r="1173" spans="6:6" ht="15" customHeight="1">
      <c r="F1173" s="188"/>
    </row>
    <row r="1174" spans="6:6" ht="15" customHeight="1">
      <c r="F1174" s="188"/>
    </row>
    <row r="1175" spans="6:6" ht="15" customHeight="1">
      <c r="F1175" s="188"/>
    </row>
    <row r="1176" spans="6:6" ht="15" customHeight="1">
      <c r="F1176" s="188"/>
    </row>
    <row r="1177" spans="6:6" ht="15" customHeight="1">
      <c r="F1177" s="188"/>
    </row>
    <row r="1178" spans="6:6" ht="15" customHeight="1">
      <c r="F1178" s="188"/>
    </row>
    <row r="1179" spans="6:6" ht="15" customHeight="1">
      <c r="F1179" s="188"/>
    </row>
    <row r="1180" spans="6:6" ht="15" customHeight="1">
      <c r="F1180" s="188"/>
    </row>
    <row r="1181" spans="6:6" ht="15" customHeight="1">
      <c r="F1181" s="188"/>
    </row>
    <row r="1182" spans="6:6" ht="15" customHeight="1">
      <c r="F1182" s="188"/>
    </row>
    <row r="1183" spans="6:6" ht="15" customHeight="1">
      <c r="F1183" s="188"/>
    </row>
    <row r="1184" spans="6:6" ht="15" customHeight="1">
      <c r="F1184" s="188"/>
    </row>
    <row r="1185" spans="6:6" ht="15" customHeight="1">
      <c r="F1185" s="188"/>
    </row>
    <row r="1186" spans="6:6" ht="15" customHeight="1">
      <c r="F1186" s="188"/>
    </row>
    <row r="1187" spans="6:6" ht="15" customHeight="1">
      <c r="F1187" s="188"/>
    </row>
    <row r="1188" spans="6:6" ht="15" customHeight="1">
      <c r="F1188" s="188"/>
    </row>
    <row r="1189" spans="6:6" ht="15" customHeight="1">
      <c r="F1189" s="188"/>
    </row>
    <row r="1190" spans="6:6" ht="15" customHeight="1">
      <c r="F1190" s="188"/>
    </row>
    <row r="1191" spans="6:6" ht="15" customHeight="1">
      <c r="F1191" s="188"/>
    </row>
    <row r="1192" spans="6:6" ht="15" customHeight="1">
      <c r="F1192" s="188"/>
    </row>
    <row r="1193" spans="6:6" ht="15" customHeight="1">
      <c r="F1193" s="188"/>
    </row>
    <row r="1194" spans="6:6" ht="15" customHeight="1">
      <c r="F1194" s="188"/>
    </row>
    <row r="1195" spans="6:6" ht="15" customHeight="1">
      <c r="F1195" s="188"/>
    </row>
    <row r="1196" spans="6:6" ht="15" customHeight="1">
      <c r="F1196" s="188"/>
    </row>
    <row r="1197" spans="6:6" ht="15" customHeight="1">
      <c r="F1197" s="188"/>
    </row>
    <row r="1198" spans="6:6" ht="15" customHeight="1">
      <c r="F1198" s="188"/>
    </row>
    <row r="1199" spans="6:6" ht="15" customHeight="1">
      <c r="F1199" s="188"/>
    </row>
    <row r="1200" spans="6:6" ht="15" customHeight="1">
      <c r="F1200" s="188"/>
    </row>
    <row r="1201" spans="6:6" ht="15" customHeight="1">
      <c r="F1201" s="188"/>
    </row>
    <row r="1202" spans="6:6" ht="15" customHeight="1">
      <c r="F1202" s="188"/>
    </row>
    <row r="1203" spans="6:6" ht="15" customHeight="1">
      <c r="F1203" s="188"/>
    </row>
    <row r="1204" spans="6:6" ht="15" customHeight="1">
      <c r="F1204" s="188"/>
    </row>
    <row r="1205" spans="6:6" ht="15" customHeight="1">
      <c r="F1205" s="188"/>
    </row>
    <row r="1206" spans="6:6" ht="15" customHeight="1">
      <c r="F1206" s="188"/>
    </row>
    <row r="1207" spans="6:6" ht="15" customHeight="1">
      <c r="F1207" s="188"/>
    </row>
    <row r="1208" spans="6:6" ht="15" customHeight="1">
      <c r="F1208" s="188"/>
    </row>
    <row r="1209" spans="6:6" ht="15" customHeight="1">
      <c r="F1209" s="188"/>
    </row>
    <row r="1210" spans="6:6" ht="15" customHeight="1">
      <c r="F1210" s="188"/>
    </row>
    <row r="1211" spans="6:6" ht="15" customHeight="1">
      <c r="F1211" s="188"/>
    </row>
    <row r="1212" spans="6:6" ht="15" customHeight="1">
      <c r="F1212" s="188"/>
    </row>
    <row r="1213" spans="6:6" ht="15" customHeight="1">
      <c r="F1213" s="188"/>
    </row>
    <row r="1214" spans="6:6" ht="15" customHeight="1">
      <c r="F1214" s="188"/>
    </row>
    <row r="1215" spans="6:6" ht="15" customHeight="1">
      <c r="F1215" s="188"/>
    </row>
    <row r="1216" spans="6:6" ht="15" customHeight="1">
      <c r="F1216" s="188"/>
    </row>
    <row r="1217" spans="6:6" ht="15" customHeight="1">
      <c r="F1217" s="188"/>
    </row>
    <row r="1218" spans="6:6" ht="15" customHeight="1">
      <c r="F1218" s="188"/>
    </row>
    <row r="1219" spans="6:6" ht="15" customHeight="1">
      <c r="F1219" s="188"/>
    </row>
    <row r="1220" spans="6:6" ht="15" customHeight="1">
      <c r="F1220" s="188"/>
    </row>
    <row r="1221" spans="6:6" ht="15" customHeight="1">
      <c r="F1221" s="188"/>
    </row>
    <row r="1222" spans="6:6" ht="15" customHeight="1">
      <c r="F1222" s="188"/>
    </row>
    <row r="1223" spans="6:6" ht="15" customHeight="1">
      <c r="F1223" s="188"/>
    </row>
    <row r="1224" spans="6:6" ht="15" customHeight="1">
      <c r="F1224" s="188"/>
    </row>
    <row r="1225" spans="6:6" ht="15" customHeight="1">
      <c r="F1225" s="188"/>
    </row>
    <row r="1226" spans="6:6" ht="15" customHeight="1">
      <c r="F1226" s="188"/>
    </row>
    <row r="1227" spans="6:6" ht="15" customHeight="1">
      <c r="F1227" s="188"/>
    </row>
    <row r="1228" spans="6:6" ht="15" customHeight="1">
      <c r="F1228" s="188"/>
    </row>
    <row r="1229" spans="6:6" ht="15" customHeight="1">
      <c r="F1229" s="188"/>
    </row>
    <row r="1230" spans="6:6" ht="15" customHeight="1">
      <c r="F1230" s="188"/>
    </row>
    <row r="1231" spans="6:6" ht="15" customHeight="1">
      <c r="F1231" s="188"/>
    </row>
    <row r="1232" spans="6:6" ht="15" customHeight="1">
      <c r="F1232" s="188"/>
    </row>
    <row r="1233" spans="6:6" ht="15" customHeight="1">
      <c r="F1233" s="188"/>
    </row>
    <row r="1234" spans="6:6" ht="15" customHeight="1">
      <c r="F1234" s="188"/>
    </row>
    <row r="1235" spans="6:6" ht="15" customHeight="1">
      <c r="F1235" s="188"/>
    </row>
    <row r="1236" spans="6:6" ht="15" customHeight="1">
      <c r="F1236" s="188"/>
    </row>
    <row r="1237" spans="6:6" ht="15" customHeight="1">
      <c r="F1237" s="188"/>
    </row>
    <row r="1238" spans="6:6" ht="15" customHeight="1">
      <c r="F1238" s="188"/>
    </row>
    <row r="1239" spans="6:6" ht="15" customHeight="1">
      <c r="F1239" s="188"/>
    </row>
    <row r="1240" spans="6:6" ht="15" customHeight="1">
      <c r="F1240" s="188"/>
    </row>
    <row r="1241" spans="6:6" ht="15" customHeight="1">
      <c r="F1241" s="188"/>
    </row>
    <row r="1242" spans="6:6" ht="15" customHeight="1">
      <c r="F1242" s="188"/>
    </row>
    <row r="1243" spans="6:6" ht="15" customHeight="1">
      <c r="F1243" s="188"/>
    </row>
    <row r="1244" spans="6:6" ht="15" customHeight="1">
      <c r="F1244" s="188"/>
    </row>
    <row r="1245" spans="6:6" ht="15" customHeight="1">
      <c r="F1245" s="188"/>
    </row>
    <row r="1246" spans="6:6" ht="15" customHeight="1">
      <c r="F1246" s="188"/>
    </row>
    <row r="1247" spans="6:6" ht="15" customHeight="1">
      <c r="F1247" s="188"/>
    </row>
    <row r="1248" spans="6:6" ht="15" customHeight="1">
      <c r="F1248" s="188"/>
    </row>
    <row r="1249" spans="6:6" ht="15" customHeight="1">
      <c r="F1249" s="188"/>
    </row>
    <row r="1250" spans="6:6" ht="15" customHeight="1">
      <c r="F1250" s="188"/>
    </row>
    <row r="1251" spans="6:6" ht="15" customHeight="1">
      <c r="F1251" s="188"/>
    </row>
    <row r="1252" spans="6:6" ht="15" customHeight="1">
      <c r="F1252" s="188"/>
    </row>
    <row r="1253" spans="6:6" ht="15" customHeight="1">
      <c r="F1253" s="188"/>
    </row>
    <row r="1254" spans="6:6" ht="15" customHeight="1">
      <c r="F1254" s="188"/>
    </row>
    <row r="1255" spans="6:6" ht="15" customHeight="1">
      <c r="F1255" s="188"/>
    </row>
    <row r="1256" spans="6:6" ht="15" customHeight="1">
      <c r="F1256" s="188"/>
    </row>
    <row r="1257" spans="6:6" ht="15" customHeight="1">
      <c r="F1257" s="188"/>
    </row>
    <row r="1258" spans="6:6" ht="15" customHeight="1">
      <c r="F1258" s="188"/>
    </row>
    <row r="1259" spans="6:6" ht="15" customHeight="1">
      <c r="F1259" s="188"/>
    </row>
    <row r="1260" spans="6:6" ht="15" customHeight="1">
      <c r="F1260" s="188"/>
    </row>
    <row r="1261" spans="6:6" ht="15" customHeight="1">
      <c r="F1261" s="188"/>
    </row>
    <row r="1262" spans="6:6" ht="15" customHeight="1">
      <c r="F1262" s="188"/>
    </row>
    <row r="1263" spans="6:6" ht="15" customHeight="1">
      <c r="F1263" s="188"/>
    </row>
    <row r="1264" spans="6:6" ht="15" customHeight="1">
      <c r="F1264" s="188"/>
    </row>
    <row r="1265" spans="6:6" ht="15" customHeight="1">
      <c r="F1265" s="188"/>
    </row>
    <row r="1266" spans="6:6" ht="15" customHeight="1">
      <c r="F1266" s="188"/>
    </row>
    <row r="1267" spans="6:6" ht="15" customHeight="1">
      <c r="F1267" s="188"/>
    </row>
    <row r="1268" spans="6:6" ht="15" customHeight="1">
      <c r="F1268" s="188"/>
    </row>
    <row r="1269" spans="6:6" ht="15" customHeight="1">
      <c r="F1269" s="188"/>
    </row>
    <row r="1270" spans="6:6" ht="15" customHeight="1">
      <c r="F1270" s="188"/>
    </row>
    <row r="1271" spans="6:6" ht="15" customHeight="1">
      <c r="F1271" s="188"/>
    </row>
    <row r="1272" spans="6:6" ht="15" customHeight="1">
      <c r="F1272" s="188"/>
    </row>
    <row r="1273" spans="6:6" ht="15" customHeight="1">
      <c r="F1273" s="188"/>
    </row>
    <row r="1274" spans="6:6" ht="15" customHeight="1">
      <c r="F1274" s="188"/>
    </row>
    <row r="1275" spans="6:6" ht="15" customHeight="1">
      <c r="F1275" s="188"/>
    </row>
    <row r="1276" spans="6:6" ht="15" customHeight="1">
      <c r="F1276" s="188"/>
    </row>
    <row r="1277" spans="6:6" ht="15" customHeight="1">
      <c r="F1277" s="188"/>
    </row>
    <row r="1278" spans="6:6" ht="15" customHeight="1">
      <c r="F1278" s="188"/>
    </row>
    <row r="1279" spans="6:6" ht="15" customHeight="1">
      <c r="F1279" s="188"/>
    </row>
    <row r="1280" spans="6:6" ht="15" customHeight="1">
      <c r="F1280" s="188"/>
    </row>
    <row r="1281" spans="6:6" ht="15" customHeight="1">
      <c r="F1281" s="188"/>
    </row>
    <row r="1282" spans="6:6" ht="15" customHeight="1">
      <c r="F1282" s="188"/>
    </row>
    <row r="1283" spans="6:6" ht="15" customHeight="1">
      <c r="F1283" s="188"/>
    </row>
    <row r="1284" spans="6:6" ht="15" customHeight="1">
      <c r="F1284" s="188"/>
    </row>
    <row r="1285" spans="6:6" ht="15" customHeight="1">
      <c r="F1285" s="188"/>
    </row>
    <row r="1286" spans="6:6" ht="15" customHeight="1">
      <c r="F1286" s="188"/>
    </row>
    <row r="1287" spans="6:6" ht="15" customHeight="1">
      <c r="F1287" s="188"/>
    </row>
    <row r="1288" spans="6:6" ht="15" customHeight="1">
      <c r="F1288" s="188"/>
    </row>
    <row r="1289" spans="6:6" ht="15" customHeight="1">
      <c r="F1289" s="188"/>
    </row>
    <row r="1290" spans="6:6" ht="15" customHeight="1">
      <c r="F1290" s="188"/>
    </row>
    <row r="1291" spans="6:6" ht="15" customHeight="1">
      <c r="F1291" s="188"/>
    </row>
    <row r="1292" spans="6:6" ht="15" customHeight="1">
      <c r="F1292" s="188"/>
    </row>
    <row r="1293" spans="6:6" ht="15" customHeight="1">
      <c r="F1293" s="188"/>
    </row>
    <row r="1294" spans="6:6" ht="15" customHeight="1">
      <c r="F1294" s="188"/>
    </row>
    <row r="1295" spans="6:6" ht="15" customHeight="1">
      <c r="F1295" s="188"/>
    </row>
    <row r="1296" spans="6:6" ht="15" customHeight="1">
      <c r="F1296" s="188"/>
    </row>
    <row r="1297" spans="6:6" ht="15" customHeight="1">
      <c r="F1297" s="188"/>
    </row>
    <row r="1298" spans="6:6" ht="15" customHeight="1">
      <c r="F1298" s="188"/>
    </row>
    <row r="1299" spans="6:6" ht="15" customHeight="1">
      <c r="F1299" s="188"/>
    </row>
    <row r="1300" spans="6:6" ht="15" customHeight="1">
      <c r="F1300" s="188"/>
    </row>
    <row r="1301" spans="6:6" ht="15" customHeight="1">
      <c r="F1301" s="188"/>
    </row>
    <row r="1302" spans="6:6" ht="15" customHeight="1">
      <c r="F1302" s="188"/>
    </row>
    <row r="1303" spans="6:6" ht="15" customHeight="1">
      <c r="F1303" s="188"/>
    </row>
    <row r="1304" spans="6:6" ht="15" customHeight="1">
      <c r="F1304" s="188"/>
    </row>
    <row r="1305" spans="6:6" ht="15" customHeight="1">
      <c r="F1305" s="188"/>
    </row>
    <row r="1306" spans="6:6" ht="15" customHeight="1">
      <c r="F1306" s="188"/>
    </row>
    <row r="1307" spans="6:6" ht="15" customHeight="1">
      <c r="F1307" s="188"/>
    </row>
    <row r="1308" spans="6:6" ht="15" customHeight="1">
      <c r="F1308" s="188"/>
    </row>
    <row r="1309" spans="6:6" ht="15" customHeight="1">
      <c r="F1309" s="188"/>
    </row>
    <row r="1310" spans="6:6" ht="15" customHeight="1">
      <c r="F1310" s="188"/>
    </row>
    <row r="1311" spans="6:6" ht="15" customHeight="1">
      <c r="F1311" s="188"/>
    </row>
    <row r="1312" spans="6:6" ht="15" customHeight="1">
      <c r="F1312" s="188"/>
    </row>
    <row r="1313" spans="6:6" ht="15" customHeight="1">
      <c r="F1313" s="188"/>
    </row>
    <row r="1314" spans="6:6" ht="15" customHeight="1">
      <c r="F1314" s="188"/>
    </row>
    <row r="1315" spans="6:6" ht="15" customHeight="1">
      <c r="F1315" s="188"/>
    </row>
    <row r="1316" spans="6:6" ht="15" customHeight="1">
      <c r="F1316" s="188"/>
    </row>
    <row r="1317" spans="6:6" ht="15" customHeight="1">
      <c r="F1317" s="188"/>
    </row>
    <row r="1318" spans="6:6" ht="15" customHeight="1">
      <c r="F1318" s="188"/>
    </row>
    <row r="1319" spans="6:6" ht="15" customHeight="1">
      <c r="F1319" s="188"/>
    </row>
    <row r="1320" spans="6:6" ht="15" customHeight="1">
      <c r="F1320" s="188"/>
    </row>
    <row r="1321" spans="6:6" ht="15" customHeight="1">
      <c r="F1321" s="188"/>
    </row>
    <row r="1322" spans="6:6" ht="15" customHeight="1">
      <c r="F1322" s="188"/>
    </row>
    <row r="1323" spans="6:6" ht="15" customHeight="1">
      <c r="F1323" s="188"/>
    </row>
    <row r="1324" spans="6:6" ht="15" customHeight="1">
      <c r="F1324" s="188"/>
    </row>
    <row r="1325" spans="6:6" ht="15" customHeight="1">
      <c r="F1325" s="188"/>
    </row>
    <row r="1326" spans="6:6" ht="15" customHeight="1">
      <c r="F1326" s="188"/>
    </row>
    <row r="1327" spans="6:6" ht="15" customHeight="1">
      <c r="F1327" s="188"/>
    </row>
    <row r="1328" spans="6:6" ht="15" customHeight="1">
      <c r="F1328" s="188"/>
    </row>
    <row r="1329" spans="6:6" ht="15" customHeight="1">
      <c r="F1329" s="188"/>
    </row>
    <row r="1330" spans="6:6" ht="15" customHeight="1">
      <c r="F1330" s="188"/>
    </row>
    <row r="1331" spans="6:6" ht="15" customHeight="1">
      <c r="F1331" s="188"/>
    </row>
    <row r="1332" spans="6:6" ht="15" customHeight="1">
      <c r="F1332" s="188"/>
    </row>
    <row r="1333" spans="6:6" ht="15" customHeight="1">
      <c r="F1333" s="188"/>
    </row>
    <row r="1334" spans="6:6" ht="15" customHeight="1">
      <c r="F1334" s="188"/>
    </row>
    <row r="1335" spans="6:6" ht="15" customHeight="1">
      <c r="F1335" s="188"/>
    </row>
    <row r="1336" spans="6:6" ht="15" customHeight="1">
      <c r="F1336" s="188"/>
    </row>
    <row r="1337" spans="6:6" ht="15" customHeight="1">
      <c r="F1337" s="188"/>
    </row>
    <row r="1338" spans="6:6" ht="15" customHeight="1">
      <c r="F1338" s="188"/>
    </row>
    <row r="1339" spans="6:6" ht="15" customHeight="1">
      <c r="F1339" s="188"/>
    </row>
    <row r="1340" spans="6:6" ht="15" customHeight="1">
      <c r="F1340" s="188"/>
    </row>
    <row r="1341" spans="6:6" ht="15" customHeight="1">
      <c r="F1341" s="188"/>
    </row>
    <row r="1342" spans="6:6" ht="15" customHeight="1">
      <c r="F1342" s="188"/>
    </row>
    <row r="1343" spans="6:6" ht="15" customHeight="1">
      <c r="F1343" s="188"/>
    </row>
    <row r="1344" spans="6:6" ht="15" customHeight="1">
      <c r="F1344" s="188"/>
    </row>
    <row r="1345" spans="6:6" ht="15" customHeight="1">
      <c r="F1345" s="188"/>
    </row>
    <row r="1346" spans="6:6" ht="15" customHeight="1">
      <c r="F1346" s="188"/>
    </row>
    <row r="1347" spans="6:6" ht="15" customHeight="1">
      <c r="F1347" s="188"/>
    </row>
    <row r="1348" spans="6:6" ht="15" customHeight="1">
      <c r="F1348" s="188"/>
    </row>
    <row r="1349" spans="6:6" ht="15" customHeight="1">
      <c r="F1349" s="188"/>
    </row>
    <row r="1350" spans="6:6" ht="15" customHeight="1">
      <c r="F1350" s="188"/>
    </row>
    <row r="1351" spans="6:6" ht="15" customHeight="1">
      <c r="F1351" s="188"/>
    </row>
    <row r="1352" spans="6:6" ht="15" customHeight="1">
      <c r="F1352" s="188"/>
    </row>
    <row r="1353" spans="6:6" ht="15" customHeight="1">
      <c r="F1353" s="188"/>
    </row>
    <row r="1354" spans="6:6" ht="15" customHeight="1">
      <c r="F1354" s="188"/>
    </row>
    <row r="1355" spans="6:6" ht="15" customHeight="1">
      <c r="F1355" s="188"/>
    </row>
    <row r="1356" spans="6:6" ht="15" customHeight="1">
      <c r="F1356" s="188"/>
    </row>
    <row r="1357" spans="6:6" ht="15" customHeight="1">
      <c r="F1357" s="188"/>
    </row>
    <row r="1358" spans="6:6" ht="15" customHeight="1">
      <c r="F1358" s="188"/>
    </row>
    <row r="1359" spans="6:6" ht="15" customHeight="1">
      <c r="F1359" s="188"/>
    </row>
    <row r="1360" spans="6:6" ht="15" customHeight="1">
      <c r="F1360" s="188"/>
    </row>
    <row r="1361" spans="6:6" ht="15" customHeight="1">
      <c r="F1361" s="188"/>
    </row>
    <row r="1362" spans="6:6" ht="15" customHeight="1">
      <c r="F1362" s="188"/>
    </row>
    <row r="1363" spans="6:6" ht="15" customHeight="1">
      <c r="F1363" s="188"/>
    </row>
    <row r="1364" spans="6:6" ht="15" customHeight="1">
      <c r="F1364" s="188"/>
    </row>
    <row r="1365" spans="6:6" ht="15" customHeight="1">
      <c r="F1365" s="188"/>
    </row>
    <row r="1366" spans="6:6" ht="15" customHeight="1">
      <c r="F1366" s="188"/>
    </row>
    <row r="1367" spans="6:6" ht="15" customHeight="1">
      <c r="F1367" s="188"/>
    </row>
    <row r="1368" spans="6:6" ht="15" customHeight="1">
      <c r="F1368" s="188"/>
    </row>
    <row r="1369" spans="6:6" ht="15" customHeight="1">
      <c r="F1369" s="188"/>
    </row>
    <row r="1370" spans="6:6" ht="15" customHeight="1">
      <c r="F1370" s="188"/>
    </row>
    <row r="1371" spans="6:6" ht="15" customHeight="1">
      <c r="F1371" s="188"/>
    </row>
    <row r="1372" spans="6:6" ht="15" customHeight="1">
      <c r="F1372" s="188"/>
    </row>
    <row r="1373" spans="6:6" ht="15" customHeight="1">
      <c r="F1373" s="188"/>
    </row>
    <row r="1374" spans="6:6" ht="15" customHeight="1">
      <c r="F1374" s="188"/>
    </row>
    <row r="1375" spans="6:6" ht="15" customHeight="1">
      <c r="F1375" s="188"/>
    </row>
    <row r="1376" spans="6:6" ht="15" customHeight="1">
      <c r="F1376" s="188"/>
    </row>
    <row r="1377" spans="6:6" ht="15" customHeight="1">
      <c r="F1377" s="188"/>
    </row>
    <row r="1378" spans="6:6" ht="15" customHeight="1">
      <c r="F1378" s="188"/>
    </row>
    <row r="1379" spans="6:6" ht="15" customHeight="1">
      <c r="F1379" s="188"/>
    </row>
    <row r="1380" spans="6:6" ht="15" customHeight="1">
      <c r="F1380" s="188"/>
    </row>
    <row r="1381" spans="6:6" ht="15" customHeight="1">
      <c r="F1381" s="188"/>
    </row>
    <row r="1382" spans="6:6" ht="15" customHeight="1">
      <c r="F1382" s="188"/>
    </row>
    <row r="1383" spans="6:6" ht="15" customHeight="1">
      <c r="F1383" s="188"/>
    </row>
    <row r="1384" spans="6:6" ht="15" customHeight="1">
      <c r="F1384" s="188"/>
    </row>
    <row r="1385" spans="6:6" ht="15" customHeight="1">
      <c r="F1385" s="188"/>
    </row>
    <row r="1386" spans="6:6" ht="15" customHeight="1">
      <c r="F1386" s="188"/>
    </row>
    <row r="1387" spans="6:6" ht="15" customHeight="1">
      <c r="F1387" s="188"/>
    </row>
    <row r="1388" spans="6:6" ht="15" customHeight="1">
      <c r="F1388" s="188"/>
    </row>
    <row r="1389" spans="6:6" ht="15" customHeight="1">
      <c r="F1389" s="188"/>
    </row>
    <row r="1390" spans="6:6" ht="15" customHeight="1">
      <c r="F1390" s="188"/>
    </row>
    <row r="1391" spans="6:6" ht="15" customHeight="1">
      <c r="F1391" s="188"/>
    </row>
    <row r="1392" spans="6:6" ht="15" customHeight="1">
      <c r="F1392" s="188"/>
    </row>
    <row r="1393" spans="6:6" ht="15" customHeight="1">
      <c r="F1393" s="188"/>
    </row>
    <row r="1394" spans="6:6" ht="15" customHeight="1">
      <c r="F1394" s="188"/>
    </row>
    <row r="1395" spans="6:6" ht="15" customHeight="1">
      <c r="F1395" s="188"/>
    </row>
    <row r="1396" spans="6:6" ht="15" customHeight="1">
      <c r="F1396" s="188"/>
    </row>
    <row r="1397" spans="6:6" ht="15" customHeight="1">
      <c r="F1397" s="188"/>
    </row>
    <row r="1398" spans="6:6" ht="15" customHeight="1">
      <c r="F1398" s="188"/>
    </row>
    <row r="1399" spans="6:6" ht="15" customHeight="1">
      <c r="F1399" s="188"/>
    </row>
    <row r="1400" spans="6:6" ht="15" customHeight="1">
      <c r="F1400" s="188"/>
    </row>
    <row r="1401" spans="6:6" ht="15" customHeight="1">
      <c r="F1401" s="188"/>
    </row>
    <row r="1402" spans="6:6" ht="15" customHeight="1">
      <c r="F1402" s="188"/>
    </row>
    <row r="1403" spans="6:6" ht="15" customHeight="1">
      <c r="F1403" s="188"/>
    </row>
    <row r="1404" spans="6:6" ht="15" customHeight="1">
      <c r="F1404" s="188"/>
    </row>
    <row r="1405" spans="6:6" ht="15" customHeight="1">
      <c r="F1405" s="188"/>
    </row>
    <row r="1406" spans="6:6" ht="15" customHeight="1">
      <c r="F1406" s="188"/>
    </row>
    <row r="1407" spans="6:6" ht="15" customHeight="1">
      <c r="F1407" s="188"/>
    </row>
    <row r="1408" spans="6:6" ht="15" customHeight="1">
      <c r="F1408" s="188"/>
    </row>
    <row r="1409" spans="6:6" ht="15" customHeight="1">
      <c r="F1409" s="188"/>
    </row>
    <row r="1410" spans="6:6" ht="15" customHeight="1">
      <c r="F1410" s="188"/>
    </row>
    <row r="1411" spans="6:6" ht="15" customHeight="1">
      <c r="F1411" s="188"/>
    </row>
    <row r="1412" spans="6:6" ht="15" customHeight="1">
      <c r="F1412" s="188"/>
    </row>
    <row r="1413" spans="6:6" ht="15" customHeight="1">
      <c r="F1413" s="188"/>
    </row>
    <row r="1414" spans="6:6" ht="15" customHeight="1">
      <c r="F1414" s="188"/>
    </row>
    <row r="1415" spans="6:6" ht="15" customHeight="1">
      <c r="F1415" s="188"/>
    </row>
    <row r="1416" spans="6:6" ht="15" customHeight="1">
      <c r="F1416" s="188"/>
    </row>
    <row r="1417" spans="6:6" ht="15" customHeight="1">
      <c r="F1417" s="188"/>
    </row>
    <row r="1418" spans="6:6" ht="15" customHeight="1">
      <c r="F1418" s="188"/>
    </row>
    <row r="1419" spans="6:6" ht="15" customHeight="1">
      <c r="F1419" s="188"/>
    </row>
    <row r="1420" spans="6:6" ht="15" customHeight="1">
      <c r="F1420" s="188"/>
    </row>
    <row r="1421" spans="6:6" ht="15" customHeight="1">
      <c r="F1421" s="188"/>
    </row>
    <row r="1422" spans="6:6" ht="15" customHeight="1">
      <c r="F1422" s="188"/>
    </row>
    <row r="1423" spans="6:6" ht="15" customHeight="1">
      <c r="F1423" s="188"/>
    </row>
    <row r="1424" spans="6:6" ht="15" customHeight="1">
      <c r="F1424" s="188"/>
    </row>
    <row r="1425" spans="6:6" ht="15" customHeight="1">
      <c r="F1425" s="188"/>
    </row>
    <row r="1426" spans="6:6" ht="15" customHeight="1">
      <c r="F1426" s="188"/>
    </row>
    <row r="1427" spans="6:6" ht="15" customHeight="1">
      <c r="F1427" s="188"/>
    </row>
    <row r="1428" spans="6:6" ht="15" customHeight="1">
      <c r="F1428" s="188"/>
    </row>
    <row r="1429" spans="6:6" ht="15" customHeight="1">
      <c r="F1429" s="188"/>
    </row>
    <row r="1430" spans="6:6" ht="15" customHeight="1">
      <c r="F1430" s="188"/>
    </row>
    <row r="1431" spans="6:6" ht="15" customHeight="1">
      <c r="F1431" s="188"/>
    </row>
    <row r="1432" spans="6:6" ht="15" customHeight="1">
      <c r="F1432" s="188"/>
    </row>
    <row r="1433" spans="6:6" ht="15" customHeight="1">
      <c r="F1433" s="188"/>
    </row>
    <row r="1434" spans="6:6" ht="15" customHeight="1">
      <c r="F1434" s="188"/>
    </row>
    <row r="1435" spans="6:6" ht="15" customHeight="1">
      <c r="F1435" s="188"/>
    </row>
    <row r="1436" spans="6:6" ht="15" customHeight="1">
      <c r="F1436" s="188"/>
    </row>
    <row r="1437" spans="6:6" ht="15" customHeight="1">
      <c r="F1437" s="188"/>
    </row>
    <row r="1438" spans="6:6" ht="15" customHeight="1">
      <c r="F1438" s="188"/>
    </row>
    <row r="1439" spans="6:6" ht="15" customHeight="1">
      <c r="F1439" s="188"/>
    </row>
    <row r="1440" spans="6:6" ht="15" customHeight="1">
      <c r="F1440" s="188"/>
    </row>
    <row r="1441" spans="6:6" ht="15" customHeight="1">
      <c r="F1441" s="188"/>
    </row>
    <row r="1442" spans="6:6" ht="15" customHeight="1">
      <c r="F1442" s="188"/>
    </row>
    <row r="1443" spans="6:6" ht="15" customHeight="1">
      <c r="F1443" s="188"/>
    </row>
    <row r="1444" spans="6:6" ht="15" customHeight="1">
      <c r="F1444" s="188"/>
    </row>
    <row r="1445" spans="6:6" ht="15" customHeight="1">
      <c r="F1445" s="188"/>
    </row>
    <row r="1446" spans="6:6" ht="15" customHeight="1">
      <c r="F1446" s="188"/>
    </row>
    <row r="1447" spans="6:6" ht="15" customHeight="1">
      <c r="F1447" s="188"/>
    </row>
    <row r="1448" spans="6:6" ht="15" customHeight="1">
      <c r="F1448" s="188"/>
    </row>
    <row r="1449" spans="6:6" ht="15" customHeight="1">
      <c r="F1449" s="188"/>
    </row>
    <row r="1450" spans="6:6" ht="15" customHeight="1">
      <c r="F1450" s="188"/>
    </row>
    <row r="1451" spans="6:6" ht="15" customHeight="1">
      <c r="F1451" s="188"/>
    </row>
    <row r="1452" spans="6:6" ht="15" customHeight="1">
      <c r="F1452" s="188"/>
    </row>
    <row r="1453" spans="6:6" ht="15" customHeight="1">
      <c r="F1453" s="188"/>
    </row>
    <row r="1454" spans="6:6" ht="15" customHeight="1">
      <c r="F1454" s="188"/>
    </row>
    <row r="1455" spans="6:6" ht="15" customHeight="1">
      <c r="F1455" s="188"/>
    </row>
    <row r="1456" spans="6:6" ht="15" customHeight="1">
      <c r="F1456" s="188"/>
    </row>
    <row r="1457" spans="6:6" ht="15" customHeight="1">
      <c r="F1457" s="188"/>
    </row>
    <row r="1458" spans="6:6" ht="15" customHeight="1">
      <c r="F1458" s="188"/>
    </row>
    <row r="1459" spans="6:6" ht="15" customHeight="1">
      <c r="F1459" s="188"/>
    </row>
    <row r="1460" spans="6:6" ht="15" customHeight="1">
      <c r="F1460" s="188"/>
    </row>
    <row r="1461" spans="6:6" ht="15" customHeight="1">
      <c r="F1461" s="188"/>
    </row>
    <row r="1462" spans="6:6" ht="15" customHeight="1">
      <c r="F1462" s="188"/>
    </row>
    <row r="1463" spans="6:6" ht="15" customHeight="1">
      <c r="F1463" s="188"/>
    </row>
    <row r="1464" spans="6:6" ht="15" customHeight="1">
      <c r="F1464" s="188"/>
    </row>
    <row r="1465" spans="6:6" ht="15" customHeight="1">
      <c r="F1465" s="188"/>
    </row>
    <row r="1466" spans="6:6" ht="15" customHeight="1">
      <c r="F1466" s="188"/>
    </row>
    <row r="1467" spans="6:6" ht="15" customHeight="1">
      <c r="F1467" s="188"/>
    </row>
    <row r="1468" spans="6:6" ht="15" customHeight="1">
      <c r="F1468" s="188"/>
    </row>
    <row r="1469" spans="6:6" ht="15" customHeight="1">
      <c r="F1469" s="188"/>
    </row>
    <row r="1470" spans="6:6" ht="15" customHeight="1">
      <c r="F1470" s="188"/>
    </row>
    <row r="1471" spans="6:6" ht="15" customHeight="1">
      <c r="F1471" s="188"/>
    </row>
    <row r="1472" spans="6:6" ht="15" customHeight="1">
      <c r="F1472" s="188"/>
    </row>
    <row r="1473" spans="6:6" ht="15" customHeight="1">
      <c r="F1473" s="188"/>
    </row>
    <row r="1474" spans="6:6" ht="15" customHeight="1">
      <c r="F1474" s="188"/>
    </row>
    <row r="1475" spans="6:6" ht="15" customHeight="1">
      <c r="F1475" s="188"/>
    </row>
    <row r="1476" spans="6:6" ht="15" customHeight="1">
      <c r="F1476" s="188"/>
    </row>
    <row r="1477" spans="6:6" ht="15" customHeight="1">
      <c r="F1477" s="188"/>
    </row>
    <row r="1478" spans="6:6" ht="15" customHeight="1">
      <c r="F1478" s="188"/>
    </row>
    <row r="1479" spans="6:6" ht="15" customHeight="1">
      <c r="F1479" s="188"/>
    </row>
    <row r="1480" spans="6:6" ht="15" customHeight="1">
      <c r="F1480" s="188"/>
    </row>
    <row r="1481" spans="6:6" ht="15" customHeight="1">
      <c r="F1481" s="188"/>
    </row>
    <row r="1482" spans="6:6" ht="15" customHeight="1">
      <c r="F1482" s="188"/>
    </row>
    <row r="1483" spans="6:6" ht="15" customHeight="1">
      <c r="F1483" s="188"/>
    </row>
    <row r="1484" spans="6:6" ht="15" customHeight="1">
      <c r="F1484" s="188"/>
    </row>
    <row r="1485" spans="6:6" ht="15" customHeight="1">
      <c r="F1485" s="188"/>
    </row>
    <row r="1486" spans="6:6" ht="15" customHeight="1">
      <c r="F1486" s="188"/>
    </row>
    <row r="1487" spans="6:6" ht="15" customHeight="1">
      <c r="F1487" s="188"/>
    </row>
    <row r="1488" spans="6:6" ht="15" customHeight="1">
      <c r="F1488" s="188"/>
    </row>
    <row r="1489" spans="6:6" ht="15" customHeight="1">
      <c r="F1489" s="188"/>
    </row>
    <row r="1490" spans="6:6" ht="15" customHeight="1">
      <c r="F1490" s="188"/>
    </row>
    <row r="1491" spans="6:6" ht="15" customHeight="1">
      <c r="F1491" s="188"/>
    </row>
    <row r="1492" spans="6:6" ht="15" customHeight="1">
      <c r="F1492" s="188"/>
    </row>
    <row r="1493" spans="6:6" ht="15" customHeight="1">
      <c r="F1493" s="188"/>
    </row>
    <row r="1494" spans="6:6" ht="15" customHeight="1">
      <c r="F1494" s="188"/>
    </row>
    <row r="1495" spans="6:6" ht="15" customHeight="1">
      <c r="F1495" s="188"/>
    </row>
    <row r="1496" spans="6:6" ht="15" customHeight="1">
      <c r="F1496" s="188"/>
    </row>
    <row r="1497" spans="6:6" ht="15" customHeight="1">
      <c r="F1497" s="188"/>
    </row>
    <row r="1498" spans="6:6" ht="15" customHeight="1">
      <c r="F1498" s="188"/>
    </row>
    <row r="1499" spans="6:6" ht="15" customHeight="1">
      <c r="F1499" s="188"/>
    </row>
    <row r="1500" spans="6:6" ht="15" customHeight="1">
      <c r="F1500" s="188"/>
    </row>
    <row r="1501" spans="6:6" ht="15" customHeight="1">
      <c r="F1501" s="188"/>
    </row>
    <row r="1502" spans="6:6" ht="15" customHeight="1">
      <c r="F1502" s="188"/>
    </row>
    <row r="1503" spans="6:6" ht="15" customHeight="1">
      <c r="F1503" s="188"/>
    </row>
    <row r="1504" spans="6:6" ht="15" customHeight="1">
      <c r="F1504" s="188"/>
    </row>
    <row r="1505" spans="6:6" ht="15" customHeight="1">
      <c r="F1505" s="188"/>
    </row>
    <row r="1506" spans="6:6" ht="15" customHeight="1">
      <c r="F1506" s="188"/>
    </row>
    <row r="1507" spans="6:6" ht="15" customHeight="1">
      <c r="F1507" s="188"/>
    </row>
    <row r="1508" spans="6:6" ht="15" customHeight="1">
      <c r="F1508" s="188"/>
    </row>
    <row r="1509" spans="6:6" ht="15" customHeight="1">
      <c r="F1509" s="188"/>
    </row>
    <row r="1510" spans="6:6" ht="15" customHeight="1">
      <c r="F1510" s="188"/>
    </row>
    <row r="1511" spans="6:6" ht="15" customHeight="1">
      <c r="F1511" s="188"/>
    </row>
    <row r="1512" spans="6:6" ht="15" customHeight="1">
      <c r="F1512" s="188"/>
    </row>
    <row r="1513" spans="6:6" ht="15" customHeight="1">
      <c r="F1513" s="188"/>
    </row>
    <row r="1514" spans="6:6" ht="15" customHeight="1">
      <c r="F1514" s="188"/>
    </row>
    <row r="1515" spans="6:6" ht="15" customHeight="1">
      <c r="F1515" s="188"/>
    </row>
    <row r="1516" spans="6:6" ht="15" customHeight="1">
      <c r="F1516" s="188"/>
    </row>
    <row r="1517" spans="6:6" ht="15" customHeight="1">
      <c r="F1517" s="188"/>
    </row>
    <row r="1518" spans="6:6" ht="15" customHeight="1">
      <c r="F1518" s="188"/>
    </row>
    <row r="1519" spans="6:6" ht="15" customHeight="1">
      <c r="F1519" s="188"/>
    </row>
    <row r="1520" spans="6:6" ht="15" customHeight="1">
      <c r="F1520" s="188"/>
    </row>
    <row r="1521" spans="6:6" ht="15" customHeight="1">
      <c r="F1521" s="188"/>
    </row>
    <row r="1522" spans="6:6" ht="15" customHeight="1">
      <c r="F1522" s="188"/>
    </row>
    <row r="1523" spans="6:6" ht="15" customHeight="1">
      <c r="F1523" s="188"/>
    </row>
  </sheetData>
  <autoFilter ref="B6:R795" xr:uid="{00000000-0001-0000-0100-000000000000}"/>
  <dataConsolidate/>
  <mergeCells count="1">
    <mergeCell ref="E3:F3"/>
  </mergeCells>
  <phoneticPr fontId="72" type="noConversion"/>
  <conditionalFormatting sqref="B37:S46 G47:S47 B49:S277 B279:S790 G796:S1523 B1524:S9256 B47:E47 B796:E1523 G33:S36 B33:E36 B7:S32">
    <cfRule type="expression" dxfId="38" priority="22">
      <formula>$S7="⚠️ EM ATRASO"</formula>
    </cfRule>
  </conditionalFormatting>
  <conditionalFormatting sqref="C1:D1">
    <cfRule type="cellIs" dxfId="37" priority="15" operator="lessThan">
      <formula>0</formula>
    </cfRule>
    <cfRule type="cellIs" dxfId="36" priority="16" operator="greaterThan">
      <formula>0</formula>
    </cfRule>
  </conditionalFormatting>
  <conditionalFormatting sqref="F797:F1523 F33:F34">
    <cfRule type="expression" dxfId="35" priority="24">
      <formula>$S32="⚠️ EM ATRASO"</formula>
    </cfRule>
  </conditionalFormatting>
  <conditionalFormatting sqref="F47">
    <cfRule type="expression" dxfId="34" priority="1">
      <formula>$S46="⚠️ EM ATRASO"</formula>
    </cfRule>
  </conditionalFormatting>
  <conditionalFormatting sqref="F796">
    <cfRule type="expression" dxfId="33" priority="44">
      <formula>$S34="⚠️ EM ATRASO"</formula>
    </cfRule>
  </conditionalFormatting>
  <conditionalFormatting sqref="K49:K277 K279:K790 K796:K1048576 K1:K47">
    <cfRule type="cellIs" dxfId="32" priority="9" operator="equal">
      <formula>0</formula>
    </cfRule>
  </conditionalFormatting>
  <conditionalFormatting sqref="L3:L4">
    <cfRule type="containsText" dxfId="31" priority="17" operator="containsText" text="OK">
      <formula>NOT(ISERROR(SEARCH(("OK"),(L3))))</formula>
    </cfRule>
    <cfRule type="containsText" dxfId="30" priority="18" operator="containsText" text="ERRO">
      <formula>NOT(ISERROR(SEARCH(("ERRO"),(L3))))</formula>
    </cfRule>
  </conditionalFormatting>
  <conditionalFormatting sqref="R49:R277 R279:R790 R796:R1048576 R1:R47">
    <cfRule type="cellIs" dxfId="29" priority="10" operator="equal">
      <formula>"A PAGAR"</formula>
    </cfRule>
    <cfRule type="cellIs" dxfId="28" priority="11" operator="equal">
      <formula>"PAGO"</formula>
    </cfRule>
  </conditionalFormatting>
  <conditionalFormatting sqref="S49:S277 S279:S790 S796:S1048576 S1:S47">
    <cfRule type="containsText" dxfId="27" priority="6" stopIfTrue="1" operator="containsText" text="✔ OK">
      <formula>NOT(ISERROR(SEARCH("✔ OK",S1)))</formula>
    </cfRule>
    <cfRule type="containsText" dxfId="26" priority="8" operator="containsText" text="⚠️ EM ATRASO">
      <formula>NOT(ISERROR(SEARCH("⚠️ EM ATRASO",S1)))</formula>
    </cfRule>
  </conditionalFormatting>
  <conditionalFormatting sqref="F35:F36">
    <cfRule type="expression" dxfId="25" priority="46">
      <formula>$S33="⚠️ EM ATRASO"</formula>
    </cfRule>
  </conditionalFormatting>
  <dataValidations count="2">
    <dataValidation allowBlank="1" showInputMessage="1" showErrorMessage="1" sqref="P1:Q6 Q25 P141:Q277 O279:Q790 O796:Q1048576 O49:O277 O1:O47 P34:Q36" xr:uid="{5FD9C375-511C-4C7B-9278-05824CFFB273}"/>
    <dataValidation type="list" allowBlank="1" showInputMessage="1" showErrorMessage="1" sqref="L279:L790 L49:L198 L7:L47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H796:H1048576 H279:H790 H49:H277 H7:H47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F279:F344 F796:F1523 F49:F277 F7:F47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A12" sqref="A12"/>
    </sheetView>
  </sheetViews>
  <sheetFormatPr defaultColWidth="11.25" defaultRowHeight="15" customHeight="1" outlineLevelRow="1"/>
  <cols>
    <col min="1" max="1" width="10.25" customWidth="1"/>
    <col min="2" max="2" width="17.75" customWidth="1"/>
    <col min="3" max="3" width="11.25" customWidth="1"/>
    <col min="4" max="4" width="14.25" customWidth="1"/>
    <col min="5" max="5" width="17.25" customWidth="1"/>
    <col min="6" max="6" width="14.25" customWidth="1"/>
    <col min="7" max="7" width="11.25" style="191" customWidth="1"/>
    <col min="8" max="8" width="11.25" style="191"/>
    <col min="9" max="9" width="16.25" style="191" customWidth="1"/>
    <col min="10" max="10" width="15.75" style="191" customWidth="1"/>
  </cols>
  <sheetData>
    <row r="5" spans="1:30" ht="16.5" thickBot="1">
      <c r="A5" s="523"/>
      <c r="B5" s="524"/>
      <c r="C5" s="523"/>
      <c r="D5" s="525"/>
      <c r="E5" s="529"/>
      <c r="F5" s="529"/>
      <c r="G5" s="526"/>
      <c r="H5" s="527">
        <v>0.06</v>
      </c>
      <c r="I5" s="528"/>
      <c r="J5" s="528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75">
      <c r="A6" s="48" t="s">
        <v>40</v>
      </c>
      <c r="B6" s="49" t="s">
        <v>56</v>
      </c>
      <c r="C6" s="49" t="s">
        <v>57</v>
      </c>
      <c r="D6" s="240" t="s">
        <v>58</v>
      </c>
      <c r="E6" s="530" t="s">
        <v>222</v>
      </c>
      <c r="F6" s="530" t="s">
        <v>218</v>
      </c>
      <c r="G6" s="521" t="s">
        <v>212</v>
      </c>
      <c r="H6" s="522" t="s">
        <v>217</v>
      </c>
      <c r="I6" s="50" t="s">
        <v>59</v>
      </c>
      <c r="J6" s="241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2" t="str">
        <f>IF(A7&lt;&gt;"",PROPER(TEXT(A7,"Mmmm")),"")</f>
        <v>Junho</v>
      </c>
      <c r="E7" s="531" t="s">
        <v>236</v>
      </c>
      <c r="F7" s="531">
        <v>1</v>
      </c>
      <c r="G7" s="198">
        <v>10000</v>
      </c>
      <c r="H7" s="243">
        <v>0</v>
      </c>
      <c r="I7" s="199">
        <f>G7</f>
        <v>10000</v>
      </c>
      <c r="J7" s="244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2" t="str">
        <f t="shared" ref="D8:D71" si="2">IF(A8&lt;&gt;"",PROPER(TEXT(A8,"Mmmm")),"")</f>
        <v>Junho</v>
      </c>
      <c r="E8" s="531" t="s">
        <v>223</v>
      </c>
      <c r="F8" s="531"/>
      <c r="G8" s="198">
        <v>500</v>
      </c>
      <c r="H8" s="243">
        <v>0</v>
      </c>
      <c r="I8" s="199">
        <f t="shared" ref="I8:I71" si="3">G8</f>
        <v>500</v>
      </c>
      <c r="J8" s="244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>
        <v>46204</v>
      </c>
      <c r="B9" s="52" t="str">
        <f t="shared" si="1"/>
        <v>quarta-feira</v>
      </c>
      <c r="C9" t="str">
        <f t="shared" si="0"/>
        <v>2026</v>
      </c>
      <c r="D9" s="242" t="str">
        <f t="shared" si="2"/>
        <v>Julho</v>
      </c>
      <c r="E9" s="531" t="s">
        <v>236</v>
      </c>
      <c r="F9" s="531">
        <v>2</v>
      </c>
      <c r="G9" s="198">
        <v>10000</v>
      </c>
      <c r="H9" s="243">
        <v>0</v>
      </c>
      <c r="I9" s="199">
        <f t="shared" si="3"/>
        <v>10000</v>
      </c>
      <c r="J9" s="244">
        <f t="shared" si="4"/>
        <v>10000</v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>
        <v>46237</v>
      </c>
      <c r="B10" s="52" t="str">
        <f t="shared" si="1"/>
        <v>segunda-feira</v>
      </c>
      <c r="C10" t="str">
        <f t="shared" si="0"/>
        <v>2026</v>
      </c>
      <c r="D10" s="242" t="str">
        <f t="shared" si="2"/>
        <v>Agosto</v>
      </c>
      <c r="E10" s="531" t="s">
        <v>236</v>
      </c>
      <c r="F10" s="531">
        <v>3</v>
      </c>
      <c r="G10" s="198">
        <v>10000</v>
      </c>
      <c r="H10" s="243">
        <v>0</v>
      </c>
      <c r="I10" s="199">
        <f t="shared" si="3"/>
        <v>10000</v>
      </c>
      <c r="J10" s="244">
        <f t="shared" si="4"/>
        <v>10000</v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>
        <v>46266</v>
      </c>
      <c r="B11" s="52" t="str">
        <f t="shared" si="1"/>
        <v>terça-feira</v>
      </c>
      <c r="C11" t="str">
        <f t="shared" si="0"/>
        <v>2026</v>
      </c>
      <c r="D11" s="242" t="str">
        <f t="shared" si="2"/>
        <v>Setembro</v>
      </c>
      <c r="E11" s="531" t="s">
        <v>236</v>
      </c>
      <c r="F11" s="531">
        <v>4</v>
      </c>
      <c r="G11" s="198">
        <v>10000</v>
      </c>
      <c r="H11" s="243">
        <v>0</v>
      </c>
      <c r="I11" s="199">
        <f t="shared" si="3"/>
        <v>10000</v>
      </c>
      <c r="J11" s="244">
        <f t="shared" si="4"/>
        <v>10000</v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2" t="str">
        <f t="shared" si="2"/>
        <v/>
      </c>
      <c r="E12" s="531"/>
      <c r="F12" s="531"/>
      <c r="G12" s="198"/>
      <c r="H12" s="243" t="str">
        <f t="shared" ref="H12:H40" si="5">IF(G12=0,"",G12*$H$5)</f>
        <v/>
      </c>
      <c r="I12" s="199">
        <f t="shared" si="3"/>
        <v>0</v>
      </c>
      <c r="J12" s="244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2" t="str">
        <f t="shared" si="2"/>
        <v/>
      </c>
      <c r="E13" s="531"/>
      <c r="F13" s="531"/>
      <c r="G13" s="198"/>
      <c r="H13" s="243" t="str">
        <f t="shared" si="5"/>
        <v/>
      </c>
      <c r="I13" s="199">
        <f t="shared" si="3"/>
        <v>0</v>
      </c>
      <c r="J13" s="244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2" t="str">
        <f t="shared" si="2"/>
        <v/>
      </c>
      <c r="E14" s="531"/>
      <c r="F14" s="531"/>
      <c r="G14" s="198"/>
      <c r="H14" s="243" t="str">
        <f t="shared" si="5"/>
        <v/>
      </c>
      <c r="I14" s="199">
        <f t="shared" si="3"/>
        <v>0</v>
      </c>
      <c r="J14" s="244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2" t="str">
        <f t="shared" si="2"/>
        <v/>
      </c>
      <c r="E15" s="531"/>
      <c r="F15" s="531"/>
      <c r="G15" s="313"/>
      <c r="H15" s="243" t="str">
        <f t="shared" si="5"/>
        <v/>
      </c>
      <c r="I15" s="199">
        <f t="shared" si="3"/>
        <v>0</v>
      </c>
      <c r="J15" s="244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2" t="str">
        <f t="shared" si="2"/>
        <v/>
      </c>
      <c r="E16" s="531"/>
      <c r="F16" s="531"/>
      <c r="G16" s="313"/>
      <c r="H16" s="243" t="str">
        <f t="shared" si="5"/>
        <v/>
      </c>
      <c r="I16" s="199">
        <f t="shared" si="3"/>
        <v>0</v>
      </c>
      <c r="J16" s="244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2" t="str">
        <f t="shared" si="2"/>
        <v/>
      </c>
      <c r="E17" s="531"/>
      <c r="F17" s="531"/>
      <c r="G17" s="313"/>
      <c r="H17" s="243" t="str">
        <f t="shared" si="5"/>
        <v/>
      </c>
      <c r="I17" s="199">
        <f t="shared" si="3"/>
        <v>0</v>
      </c>
      <c r="J17" s="244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2" t="str">
        <f t="shared" si="2"/>
        <v/>
      </c>
      <c r="E18" s="531"/>
      <c r="F18" s="531"/>
      <c r="G18" s="313"/>
      <c r="H18" s="243" t="str">
        <f t="shared" si="5"/>
        <v/>
      </c>
      <c r="I18" s="199">
        <f t="shared" si="3"/>
        <v>0</v>
      </c>
      <c r="J18" s="244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2" t="str">
        <f t="shared" si="2"/>
        <v/>
      </c>
      <c r="E19" s="531"/>
      <c r="F19" s="531"/>
      <c r="G19" s="313"/>
      <c r="H19" s="243" t="str">
        <f t="shared" si="5"/>
        <v/>
      </c>
      <c r="I19" s="199">
        <f t="shared" si="3"/>
        <v>0</v>
      </c>
      <c r="J19" s="244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2" t="str">
        <f t="shared" si="2"/>
        <v/>
      </c>
      <c r="E20" s="531"/>
      <c r="F20" s="531"/>
      <c r="G20" s="313"/>
      <c r="H20" s="243" t="str">
        <f t="shared" si="5"/>
        <v/>
      </c>
      <c r="I20" s="199">
        <f t="shared" si="3"/>
        <v>0</v>
      </c>
      <c r="J20" s="244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2" t="str">
        <f t="shared" si="2"/>
        <v/>
      </c>
      <c r="E21" s="531"/>
      <c r="F21" s="531"/>
      <c r="G21" s="313"/>
      <c r="H21" s="243" t="str">
        <f t="shared" si="5"/>
        <v/>
      </c>
      <c r="I21" s="199">
        <f t="shared" si="3"/>
        <v>0</v>
      </c>
      <c r="J21" s="244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2" t="str">
        <f t="shared" si="2"/>
        <v/>
      </c>
      <c r="E22" s="531"/>
      <c r="F22" s="531"/>
      <c r="G22" s="313"/>
      <c r="H22" s="243" t="str">
        <f t="shared" si="5"/>
        <v/>
      </c>
      <c r="I22" s="199">
        <f t="shared" si="3"/>
        <v>0</v>
      </c>
      <c r="J22" s="244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2" t="str">
        <f t="shared" si="2"/>
        <v/>
      </c>
      <c r="E23" s="531"/>
      <c r="F23" s="531"/>
      <c r="G23" s="359"/>
      <c r="H23" s="243" t="str">
        <f t="shared" si="5"/>
        <v/>
      </c>
      <c r="I23" s="199">
        <f t="shared" si="3"/>
        <v>0</v>
      </c>
      <c r="J23" s="244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2" t="str">
        <f t="shared" si="2"/>
        <v/>
      </c>
      <c r="E24" s="531"/>
      <c r="F24" s="531"/>
      <c r="G24" s="360"/>
      <c r="H24" s="243" t="str">
        <f t="shared" si="5"/>
        <v/>
      </c>
      <c r="I24" s="199">
        <f t="shared" si="3"/>
        <v>0</v>
      </c>
      <c r="J24" s="244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2" t="str">
        <f t="shared" si="2"/>
        <v/>
      </c>
      <c r="E25" s="531"/>
      <c r="F25" s="531"/>
      <c r="G25" s="360"/>
      <c r="H25" s="243" t="str">
        <f t="shared" si="5"/>
        <v/>
      </c>
      <c r="I25" s="199">
        <f t="shared" si="3"/>
        <v>0</v>
      </c>
      <c r="J25" s="244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2" t="str">
        <f t="shared" si="2"/>
        <v/>
      </c>
      <c r="E26" s="531"/>
      <c r="F26" s="531"/>
      <c r="G26" s="360"/>
      <c r="H26" s="243" t="str">
        <f t="shared" si="5"/>
        <v/>
      </c>
      <c r="I26" s="199">
        <f t="shared" si="3"/>
        <v>0</v>
      </c>
      <c r="J26" s="244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2" t="str">
        <f t="shared" si="2"/>
        <v/>
      </c>
      <c r="E27" s="531"/>
      <c r="F27" s="531"/>
      <c r="G27" s="359"/>
      <c r="H27" s="243" t="str">
        <f t="shared" si="5"/>
        <v/>
      </c>
      <c r="I27" s="199">
        <f t="shared" si="3"/>
        <v>0</v>
      </c>
      <c r="J27" s="244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2" t="str">
        <f t="shared" si="2"/>
        <v/>
      </c>
      <c r="E28" s="531"/>
      <c r="F28" s="531"/>
      <c r="G28" s="360"/>
      <c r="H28" s="243" t="str">
        <f t="shared" si="5"/>
        <v/>
      </c>
      <c r="I28" s="199">
        <f t="shared" si="3"/>
        <v>0</v>
      </c>
      <c r="J28" s="244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2" t="str">
        <f t="shared" si="2"/>
        <v/>
      </c>
      <c r="E29" s="531"/>
      <c r="F29" s="531"/>
      <c r="G29" s="359"/>
      <c r="H29" s="243" t="str">
        <f t="shared" si="5"/>
        <v/>
      </c>
      <c r="I29" s="199">
        <f t="shared" si="3"/>
        <v>0</v>
      </c>
      <c r="J29" s="244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2" t="str">
        <f t="shared" si="2"/>
        <v/>
      </c>
      <c r="E30" s="531"/>
      <c r="F30" s="531"/>
      <c r="G30" s="360"/>
      <c r="H30" s="243" t="str">
        <f t="shared" si="5"/>
        <v/>
      </c>
      <c r="I30" s="199">
        <f t="shared" si="3"/>
        <v>0</v>
      </c>
      <c r="J30" s="244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2" t="str">
        <f t="shared" si="2"/>
        <v/>
      </c>
      <c r="E31" s="531"/>
      <c r="F31" s="531"/>
      <c r="G31" s="359"/>
      <c r="H31" s="243" t="str">
        <f t="shared" si="5"/>
        <v/>
      </c>
      <c r="I31" s="199">
        <f t="shared" si="3"/>
        <v>0</v>
      </c>
      <c r="J31" s="244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2" t="str">
        <f t="shared" si="2"/>
        <v/>
      </c>
      <c r="E32" s="531"/>
      <c r="F32" s="531"/>
      <c r="G32" s="360"/>
      <c r="H32" s="243" t="str">
        <f t="shared" si="5"/>
        <v/>
      </c>
      <c r="I32" s="199">
        <f t="shared" si="3"/>
        <v>0</v>
      </c>
      <c r="J32" s="244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2" t="str">
        <f t="shared" si="2"/>
        <v/>
      </c>
      <c r="E33" s="531"/>
      <c r="F33" s="531"/>
      <c r="G33" s="360"/>
      <c r="H33" s="243" t="str">
        <f t="shared" si="5"/>
        <v/>
      </c>
      <c r="I33" s="199">
        <f t="shared" si="3"/>
        <v>0</v>
      </c>
      <c r="J33" s="244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2" t="str">
        <f t="shared" si="2"/>
        <v/>
      </c>
      <c r="E34" s="531"/>
      <c r="F34" s="531"/>
      <c r="G34" s="359"/>
      <c r="H34" s="243" t="str">
        <f t="shared" si="5"/>
        <v/>
      </c>
      <c r="I34" s="199">
        <f t="shared" si="3"/>
        <v>0</v>
      </c>
      <c r="J34" s="244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2" t="str">
        <f t="shared" si="2"/>
        <v/>
      </c>
      <c r="E35" s="531"/>
      <c r="F35" s="531"/>
      <c r="G35" s="360"/>
      <c r="H35" s="243" t="str">
        <f t="shared" si="5"/>
        <v/>
      </c>
      <c r="I35" s="199">
        <f t="shared" si="3"/>
        <v>0</v>
      </c>
      <c r="J35" s="244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2" t="str">
        <f t="shared" si="2"/>
        <v/>
      </c>
      <c r="E36" s="531"/>
      <c r="F36" s="531"/>
      <c r="G36" s="360"/>
      <c r="H36" s="243" t="str">
        <f t="shared" si="5"/>
        <v/>
      </c>
      <c r="I36" s="199">
        <f t="shared" si="3"/>
        <v>0</v>
      </c>
      <c r="J36" s="244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2" t="str">
        <f t="shared" si="2"/>
        <v/>
      </c>
      <c r="E37" s="531"/>
      <c r="F37" s="531"/>
      <c r="G37" s="313"/>
      <c r="H37" s="243" t="str">
        <f t="shared" si="5"/>
        <v/>
      </c>
      <c r="I37" s="199">
        <f t="shared" si="3"/>
        <v>0</v>
      </c>
      <c r="J37" s="244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2" t="str">
        <f t="shared" si="2"/>
        <v/>
      </c>
      <c r="E38" s="531"/>
      <c r="F38" s="531"/>
      <c r="G38" s="391"/>
      <c r="H38" s="243" t="str">
        <f t="shared" si="5"/>
        <v/>
      </c>
      <c r="I38" s="199">
        <f t="shared" si="3"/>
        <v>0</v>
      </c>
      <c r="J38" s="244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2" t="str">
        <f t="shared" si="2"/>
        <v/>
      </c>
      <c r="E39" s="531"/>
      <c r="F39" s="531"/>
      <c r="G39" s="392"/>
      <c r="H39" s="243" t="str">
        <f t="shared" si="5"/>
        <v/>
      </c>
      <c r="I39" s="199">
        <f t="shared" si="3"/>
        <v>0</v>
      </c>
      <c r="J39" s="244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2" t="str">
        <f t="shared" si="2"/>
        <v/>
      </c>
      <c r="E40" s="531"/>
      <c r="F40" s="531"/>
      <c r="G40" s="392"/>
      <c r="H40" s="243" t="str">
        <f t="shared" si="5"/>
        <v/>
      </c>
      <c r="I40" s="199">
        <f t="shared" si="3"/>
        <v>0</v>
      </c>
      <c r="J40" s="244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2" t="str">
        <f t="shared" si="2"/>
        <v/>
      </c>
      <c r="E41" s="531"/>
      <c r="F41" s="531"/>
      <c r="G41" s="392"/>
      <c r="H41" s="243" t="str">
        <f t="shared" ref="H41:H71" si="6">IF(G41=0,"",G41*$H$5)</f>
        <v/>
      </c>
      <c r="I41" s="199">
        <f t="shared" si="3"/>
        <v>0</v>
      </c>
      <c r="J41" s="244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2" t="str">
        <f t="shared" si="2"/>
        <v/>
      </c>
      <c r="E42" s="531"/>
      <c r="F42" s="531"/>
      <c r="G42" s="392"/>
      <c r="H42" s="243" t="str">
        <f t="shared" si="6"/>
        <v/>
      </c>
      <c r="I42" s="199">
        <f t="shared" si="3"/>
        <v>0</v>
      </c>
      <c r="J42" s="244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2" t="str">
        <f t="shared" si="2"/>
        <v/>
      </c>
      <c r="E43" s="531"/>
      <c r="F43" s="531"/>
      <c r="G43" s="392"/>
      <c r="H43" s="243" t="str">
        <f t="shared" si="6"/>
        <v/>
      </c>
      <c r="I43" s="199">
        <f t="shared" si="3"/>
        <v>0</v>
      </c>
      <c r="J43" s="244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2" t="str">
        <f t="shared" si="2"/>
        <v/>
      </c>
      <c r="E44" s="531"/>
      <c r="F44" s="531"/>
      <c r="G44" s="393"/>
      <c r="H44" s="243" t="str">
        <f t="shared" si="6"/>
        <v/>
      </c>
      <c r="I44" s="199">
        <f t="shared" si="3"/>
        <v>0</v>
      </c>
      <c r="J44" s="244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2" t="str">
        <f t="shared" si="2"/>
        <v/>
      </c>
      <c r="E45" s="531"/>
      <c r="F45" s="531"/>
      <c r="G45" s="392"/>
      <c r="H45" s="243" t="str">
        <f t="shared" si="6"/>
        <v/>
      </c>
      <c r="I45" s="199">
        <f t="shared" si="3"/>
        <v>0</v>
      </c>
      <c r="J45" s="244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2" t="str">
        <f t="shared" si="2"/>
        <v/>
      </c>
      <c r="E46" s="531"/>
      <c r="F46" s="531"/>
      <c r="G46" s="392"/>
      <c r="H46" s="243" t="str">
        <f t="shared" si="6"/>
        <v/>
      </c>
      <c r="I46" s="199">
        <f t="shared" si="3"/>
        <v>0</v>
      </c>
      <c r="J46" s="244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2" t="str">
        <f t="shared" si="2"/>
        <v/>
      </c>
      <c r="E47" s="531"/>
      <c r="F47" s="531"/>
      <c r="G47" s="392"/>
      <c r="H47" s="243" t="str">
        <f t="shared" si="6"/>
        <v/>
      </c>
      <c r="I47" s="199">
        <f t="shared" si="3"/>
        <v>0</v>
      </c>
      <c r="J47" s="244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2" t="str">
        <f t="shared" si="2"/>
        <v/>
      </c>
      <c r="E48" s="531"/>
      <c r="F48" s="531"/>
      <c r="G48" s="392"/>
      <c r="H48" s="243" t="str">
        <f t="shared" si="6"/>
        <v/>
      </c>
      <c r="I48" s="199">
        <f t="shared" si="3"/>
        <v>0</v>
      </c>
      <c r="J48" s="244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2" t="str">
        <f t="shared" si="2"/>
        <v/>
      </c>
      <c r="E49" s="531"/>
      <c r="F49" s="531"/>
      <c r="G49" s="392"/>
      <c r="H49" s="243" t="str">
        <f t="shared" si="6"/>
        <v/>
      </c>
      <c r="I49" s="199">
        <f t="shared" si="3"/>
        <v>0</v>
      </c>
      <c r="J49" s="244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2" t="str">
        <f t="shared" si="2"/>
        <v/>
      </c>
      <c r="E50" s="531"/>
      <c r="F50" s="531"/>
      <c r="G50" s="392"/>
      <c r="H50" s="243" t="str">
        <f t="shared" si="6"/>
        <v/>
      </c>
      <c r="I50" s="199">
        <f t="shared" si="3"/>
        <v>0</v>
      </c>
      <c r="J50" s="244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2" t="str">
        <f t="shared" si="2"/>
        <v/>
      </c>
      <c r="E51" s="531"/>
      <c r="F51" s="531"/>
      <c r="G51" s="392"/>
      <c r="H51" s="243" t="str">
        <f t="shared" si="6"/>
        <v/>
      </c>
      <c r="I51" s="199">
        <f t="shared" si="3"/>
        <v>0</v>
      </c>
      <c r="J51" s="244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2" t="str">
        <f t="shared" si="2"/>
        <v/>
      </c>
      <c r="E52" s="531"/>
      <c r="F52" s="531"/>
      <c r="G52" s="392"/>
      <c r="H52" s="243" t="str">
        <f t="shared" si="6"/>
        <v/>
      </c>
      <c r="I52" s="199">
        <f t="shared" si="3"/>
        <v>0</v>
      </c>
      <c r="J52" s="244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2" t="str">
        <f t="shared" si="2"/>
        <v/>
      </c>
      <c r="E53" s="531"/>
      <c r="F53" s="531"/>
      <c r="G53" s="392"/>
      <c r="H53" s="243" t="str">
        <f t="shared" si="6"/>
        <v/>
      </c>
      <c r="I53" s="199">
        <f t="shared" si="3"/>
        <v>0</v>
      </c>
      <c r="J53" s="244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2" t="str">
        <f t="shared" si="2"/>
        <v/>
      </c>
      <c r="E54" s="531"/>
      <c r="F54" s="531"/>
      <c r="G54" s="392"/>
      <c r="H54" s="243" t="str">
        <f t="shared" si="6"/>
        <v/>
      </c>
      <c r="I54" s="199">
        <f t="shared" si="3"/>
        <v>0</v>
      </c>
      <c r="J54" s="244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2" t="str">
        <f t="shared" si="2"/>
        <v/>
      </c>
      <c r="E55" s="531"/>
      <c r="F55" s="531"/>
      <c r="G55" s="392"/>
      <c r="H55" s="243" t="str">
        <f t="shared" si="6"/>
        <v/>
      </c>
      <c r="I55" s="199">
        <f t="shared" si="3"/>
        <v>0</v>
      </c>
      <c r="J55" s="244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2" t="str">
        <f t="shared" si="2"/>
        <v/>
      </c>
      <c r="E56" s="531"/>
      <c r="F56" s="531"/>
      <c r="G56" s="392"/>
      <c r="H56" s="243" t="str">
        <f t="shared" si="6"/>
        <v/>
      </c>
      <c r="I56" s="199">
        <f t="shared" si="3"/>
        <v>0</v>
      </c>
      <c r="J56" s="244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2" t="str">
        <f t="shared" si="2"/>
        <v/>
      </c>
      <c r="E57" s="531"/>
      <c r="F57" s="531"/>
      <c r="G57" s="392"/>
      <c r="H57" s="243" t="str">
        <f t="shared" si="6"/>
        <v/>
      </c>
      <c r="I57" s="199">
        <f t="shared" si="3"/>
        <v>0</v>
      </c>
      <c r="J57" s="244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2" t="str">
        <f t="shared" si="2"/>
        <v/>
      </c>
      <c r="E58" s="531"/>
      <c r="F58" s="531"/>
      <c r="G58" s="392"/>
      <c r="H58" s="243" t="str">
        <f t="shared" si="6"/>
        <v/>
      </c>
      <c r="I58" s="199">
        <f t="shared" si="3"/>
        <v>0</v>
      </c>
      <c r="J58" s="244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2" t="str">
        <f t="shared" si="2"/>
        <v/>
      </c>
      <c r="E59" s="531"/>
      <c r="F59" s="531"/>
      <c r="G59" s="392"/>
      <c r="H59" s="243" t="str">
        <f t="shared" si="6"/>
        <v/>
      </c>
      <c r="I59" s="199">
        <f t="shared" si="3"/>
        <v>0</v>
      </c>
      <c r="J59" s="244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2" t="str">
        <f t="shared" si="2"/>
        <v/>
      </c>
      <c r="E60" s="531"/>
      <c r="F60" s="531"/>
      <c r="G60" s="392"/>
      <c r="H60" s="243" t="str">
        <f t="shared" si="6"/>
        <v/>
      </c>
      <c r="I60" s="199">
        <f t="shared" si="3"/>
        <v>0</v>
      </c>
      <c r="J60" s="244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2" t="str">
        <f t="shared" si="2"/>
        <v/>
      </c>
      <c r="E61" s="531"/>
      <c r="F61" s="531"/>
      <c r="G61" s="392"/>
      <c r="H61" s="243" t="str">
        <f t="shared" si="6"/>
        <v/>
      </c>
      <c r="I61" s="199">
        <f t="shared" si="3"/>
        <v>0</v>
      </c>
      <c r="J61" s="244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2" t="str">
        <f t="shared" si="2"/>
        <v/>
      </c>
      <c r="E62" s="531"/>
      <c r="F62" s="531"/>
      <c r="G62" s="392"/>
      <c r="H62" s="243" t="str">
        <f t="shared" si="6"/>
        <v/>
      </c>
      <c r="I62" s="199">
        <f t="shared" si="3"/>
        <v>0</v>
      </c>
      <c r="J62" s="244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2" t="str">
        <f t="shared" si="2"/>
        <v/>
      </c>
      <c r="E63" s="531"/>
      <c r="F63" s="531"/>
      <c r="G63" s="392"/>
      <c r="H63" s="243" t="str">
        <f t="shared" si="6"/>
        <v/>
      </c>
      <c r="I63" s="199">
        <f t="shared" si="3"/>
        <v>0</v>
      </c>
      <c r="J63" s="244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2" t="str">
        <f t="shared" si="2"/>
        <v/>
      </c>
      <c r="E64" s="531"/>
      <c r="F64" s="531"/>
      <c r="G64" s="392"/>
      <c r="H64" s="243" t="str">
        <f t="shared" si="6"/>
        <v/>
      </c>
      <c r="I64" s="199">
        <f t="shared" si="3"/>
        <v>0</v>
      </c>
      <c r="J64" s="244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2" t="str">
        <f t="shared" si="2"/>
        <v/>
      </c>
      <c r="E65" s="531"/>
      <c r="F65" s="531"/>
      <c r="G65" s="392"/>
      <c r="H65" s="243" t="str">
        <f t="shared" si="6"/>
        <v/>
      </c>
      <c r="I65" s="199">
        <f t="shared" si="3"/>
        <v>0</v>
      </c>
      <c r="J65" s="244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2" t="str">
        <f t="shared" si="2"/>
        <v/>
      </c>
      <c r="E66" s="531"/>
      <c r="F66" s="531"/>
      <c r="G66" s="392"/>
      <c r="H66" s="243" t="str">
        <f t="shared" si="6"/>
        <v/>
      </c>
      <c r="I66" s="199">
        <f t="shared" si="3"/>
        <v>0</v>
      </c>
      <c r="J66" s="244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2" t="str">
        <f t="shared" si="2"/>
        <v/>
      </c>
      <c r="E67" s="531"/>
      <c r="F67" s="531"/>
      <c r="G67" s="392"/>
      <c r="H67" s="243" t="str">
        <f t="shared" si="6"/>
        <v/>
      </c>
      <c r="I67" s="199">
        <f t="shared" si="3"/>
        <v>0</v>
      </c>
      <c r="J67" s="244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2" t="str">
        <f t="shared" si="2"/>
        <v/>
      </c>
      <c r="E68" s="531"/>
      <c r="F68" s="531"/>
      <c r="G68" s="395"/>
      <c r="H68" s="243" t="str">
        <f t="shared" si="6"/>
        <v/>
      </c>
      <c r="I68" s="199">
        <f t="shared" si="3"/>
        <v>0</v>
      </c>
      <c r="J68" s="244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2" t="str">
        <f t="shared" si="2"/>
        <v/>
      </c>
      <c r="E69" s="531"/>
      <c r="F69" s="531"/>
      <c r="G69" s="391"/>
      <c r="H69" s="243" t="str">
        <f t="shared" si="6"/>
        <v/>
      </c>
      <c r="I69" s="199">
        <f t="shared" si="3"/>
        <v>0</v>
      </c>
      <c r="J69" s="244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2" t="str">
        <f t="shared" si="2"/>
        <v/>
      </c>
      <c r="E70" s="531"/>
      <c r="F70" s="531"/>
      <c r="G70" s="392"/>
      <c r="H70" s="243" t="str">
        <f t="shared" si="6"/>
        <v/>
      </c>
      <c r="I70" s="199">
        <f t="shared" si="3"/>
        <v>0</v>
      </c>
      <c r="J70" s="244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2" t="str">
        <f t="shared" si="2"/>
        <v/>
      </c>
      <c r="E71" s="531"/>
      <c r="F71" s="531"/>
      <c r="G71" s="392"/>
      <c r="H71" s="243" t="str">
        <f t="shared" si="6"/>
        <v/>
      </c>
      <c r="I71" s="199">
        <f t="shared" si="3"/>
        <v>0</v>
      </c>
      <c r="J71" s="244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2" t="str">
        <f t="shared" ref="D72:D135" si="9">IF(A72&lt;&gt;"",PROPER(TEXT(A72,"Mmmm")),"")</f>
        <v/>
      </c>
      <c r="E72" s="531"/>
      <c r="F72" s="531"/>
      <c r="G72" s="392"/>
      <c r="H72" s="243" t="str">
        <f t="shared" ref="H72:H135" si="10">IF(G72=0,"",G72*$H$5)</f>
        <v/>
      </c>
      <c r="I72" s="199">
        <f t="shared" ref="I72:I135" si="11">G72</f>
        <v>0</v>
      </c>
      <c r="J72" s="244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2" t="str">
        <f t="shared" si="9"/>
        <v/>
      </c>
      <c r="E73" s="531"/>
      <c r="F73" s="531"/>
      <c r="G73" s="392"/>
      <c r="H73" s="243" t="str">
        <f t="shared" si="10"/>
        <v/>
      </c>
      <c r="I73" s="199">
        <f t="shared" si="11"/>
        <v>0</v>
      </c>
      <c r="J73" s="244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2" t="str">
        <f t="shared" si="9"/>
        <v/>
      </c>
      <c r="E74" s="531"/>
      <c r="F74" s="531"/>
      <c r="G74" s="392"/>
      <c r="H74" s="243" t="str">
        <f t="shared" si="10"/>
        <v/>
      </c>
      <c r="I74" s="199">
        <f t="shared" si="11"/>
        <v>0</v>
      </c>
      <c r="J74" s="244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2" t="str">
        <f t="shared" si="9"/>
        <v/>
      </c>
      <c r="E75" s="531"/>
      <c r="F75" s="531"/>
      <c r="G75" s="393"/>
      <c r="H75" s="243" t="str">
        <f t="shared" si="10"/>
        <v/>
      </c>
      <c r="I75" s="199">
        <f t="shared" si="11"/>
        <v>0</v>
      </c>
      <c r="J75" s="244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2" t="str">
        <f t="shared" si="9"/>
        <v/>
      </c>
      <c r="E76" s="531"/>
      <c r="F76" s="531"/>
      <c r="G76" s="392"/>
      <c r="H76" s="243" t="str">
        <f t="shared" si="10"/>
        <v/>
      </c>
      <c r="I76" s="199">
        <f t="shared" si="11"/>
        <v>0</v>
      </c>
      <c r="J76" s="244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2" t="str">
        <f t="shared" si="9"/>
        <v/>
      </c>
      <c r="E77" s="531"/>
      <c r="F77" s="531"/>
      <c r="G77" s="392"/>
      <c r="H77" s="243" t="str">
        <f t="shared" si="10"/>
        <v/>
      </c>
      <c r="I77" s="199">
        <f t="shared" si="11"/>
        <v>0</v>
      </c>
      <c r="J77" s="244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2" t="str">
        <f t="shared" si="9"/>
        <v/>
      </c>
      <c r="E78" s="531"/>
      <c r="F78" s="531"/>
      <c r="G78" s="392"/>
      <c r="H78" s="243" t="str">
        <f t="shared" si="10"/>
        <v/>
      </c>
      <c r="I78" s="199">
        <f t="shared" si="11"/>
        <v>0</v>
      </c>
      <c r="J78" s="244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2" t="str">
        <f t="shared" si="9"/>
        <v/>
      </c>
      <c r="E79" s="531"/>
      <c r="F79" s="531"/>
      <c r="G79" s="392"/>
      <c r="H79" s="243" t="str">
        <f t="shared" si="10"/>
        <v/>
      </c>
      <c r="I79" s="199">
        <f t="shared" si="11"/>
        <v>0</v>
      </c>
      <c r="J79" s="244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2" t="str">
        <f t="shared" si="9"/>
        <v/>
      </c>
      <c r="E80" s="531"/>
      <c r="F80" s="531"/>
      <c r="G80" s="392"/>
      <c r="H80" s="243" t="str">
        <f t="shared" si="10"/>
        <v/>
      </c>
      <c r="I80" s="199">
        <f t="shared" si="11"/>
        <v>0</v>
      </c>
      <c r="J80" s="244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2" t="str">
        <f t="shared" si="9"/>
        <v/>
      </c>
      <c r="E81" s="531"/>
      <c r="F81" s="531"/>
      <c r="G81" s="392"/>
      <c r="H81" s="243" t="str">
        <f t="shared" si="10"/>
        <v/>
      </c>
      <c r="I81" s="199">
        <f t="shared" si="11"/>
        <v>0</v>
      </c>
      <c r="J81" s="244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2" t="str">
        <f t="shared" si="9"/>
        <v/>
      </c>
      <c r="E82" s="531"/>
      <c r="F82" s="531"/>
      <c r="G82" s="392"/>
      <c r="H82" s="243" t="str">
        <f t="shared" si="10"/>
        <v/>
      </c>
      <c r="I82" s="199">
        <f t="shared" si="11"/>
        <v>0</v>
      </c>
      <c r="J82" s="244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2" t="str">
        <f t="shared" si="9"/>
        <v/>
      </c>
      <c r="E83" s="531"/>
      <c r="F83" s="531"/>
      <c r="G83" s="392"/>
      <c r="H83" s="243" t="str">
        <f t="shared" si="10"/>
        <v/>
      </c>
      <c r="I83" s="199">
        <f t="shared" si="11"/>
        <v>0</v>
      </c>
      <c r="J83" s="244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2" t="str">
        <f t="shared" si="9"/>
        <v/>
      </c>
      <c r="E84" s="531"/>
      <c r="F84" s="531"/>
      <c r="G84" s="392"/>
      <c r="H84" s="243" t="str">
        <f t="shared" si="10"/>
        <v/>
      </c>
      <c r="I84" s="199">
        <f t="shared" si="11"/>
        <v>0</v>
      </c>
      <c r="J84" s="244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2" t="str">
        <f t="shared" si="9"/>
        <v/>
      </c>
      <c r="E85" s="531"/>
      <c r="F85" s="531"/>
      <c r="G85" s="392"/>
      <c r="H85" s="243" t="str">
        <f t="shared" si="10"/>
        <v/>
      </c>
      <c r="I85" s="199">
        <f t="shared" si="11"/>
        <v>0</v>
      </c>
      <c r="J85" s="244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2" t="str">
        <f t="shared" si="9"/>
        <v/>
      </c>
      <c r="E86" s="531"/>
      <c r="F86" s="531"/>
      <c r="G86" s="392"/>
      <c r="H86" s="243" t="str">
        <f t="shared" si="10"/>
        <v/>
      </c>
      <c r="I86" s="199">
        <f t="shared" si="11"/>
        <v>0</v>
      </c>
      <c r="J86" s="244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2" t="str">
        <f t="shared" si="9"/>
        <v/>
      </c>
      <c r="E87" s="531"/>
      <c r="F87" s="531"/>
      <c r="G87" s="392"/>
      <c r="H87" s="243" t="str">
        <f t="shared" si="10"/>
        <v/>
      </c>
      <c r="I87" s="199">
        <f t="shared" si="11"/>
        <v>0</v>
      </c>
      <c r="J87" s="244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2" t="str">
        <f t="shared" si="9"/>
        <v/>
      </c>
      <c r="E88" s="531"/>
      <c r="F88" s="531"/>
      <c r="G88" s="392"/>
      <c r="H88" s="243" t="str">
        <f t="shared" si="10"/>
        <v/>
      </c>
      <c r="I88" s="199">
        <f t="shared" si="11"/>
        <v>0</v>
      </c>
      <c r="J88" s="244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2" t="str">
        <f t="shared" si="9"/>
        <v/>
      </c>
      <c r="E89" s="531"/>
      <c r="F89" s="531"/>
      <c r="G89" s="392"/>
      <c r="H89" s="243" t="str">
        <f t="shared" si="10"/>
        <v/>
      </c>
      <c r="I89" s="199">
        <f t="shared" si="11"/>
        <v>0</v>
      </c>
      <c r="J89" s="244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2" t="str">
        <f t="shared" si="9"/>
        <v/>
      </c>
      <c r="E90" s="531"/>
      <c r="F90" s="531"/>
      <c r="G90" s="392"/>
      <c r="H90" s="243" t="str">
        <f t="shared" si="10"/>
        <v/>
      </c>
      <c r="I90" s="199">
        <f t="shared" si="11"/>
        <v>0</v>
      </c>
      <c r="J90" s="244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2" t="str">
        <f t="shared" si="9"/>
        <v/>
      </c>
      <c r="E91" s="531"/>
      <c r="F91" s="531"/>
      <c r="G91" s="392"/>
      <c r="H91" s="243" t="str">
        <f t="shared" si="10"/>
        <v/>
      </c>
      <c r="I91" s="199">
        <f t="shared" si="11"/>
        <v>0</v>
      </c>
      <c r="J91" s="244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2" t="str">
        <f t="shared" si="9"/>
        <v/>
      </c>
      <c r="E92" s="531"/>
      <c r="F92" s="531"/>
      <c r="G92" s="392"/>
      <c r="H92" s="243" t="str">
        <f t="shared" si="10"/>
        <v/>
      </c>
      <c r="I92" s="199">
        <f t="shared" si="11"/>
        <v>0</v>
      </c>
      <c r="J92" s="244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2" t="str">
        <f t="shared" si="9"/>
        <v/>
      </c>
      <c r="E93" s="531"/>
      <c r="F93" s="531"/>
      <c r="G93" s="392"/>
      <c r="H93" s="243" t="str">
        <f t="shared" si="10"/>
        <v/>
      </c>
      <c r="I93" s="199">
        <f t="shared" si="11"/>
        <v>0</v>
      </c>
      <c r="J93" s="244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2" t="str">
        <f t="shared" si="9"/>
        <v/>
      </c>
      <c r="E94" s="531"/>
      <c r="F94" s="531"/>
      <c r="G94" s="392"/>
      <c r="H94" s="243" t="str">
        <f t="shared" si="10"/>
        <v/>
      </c>
      <c r="I94" s="199">
        <f t="shared" si="11"/>
        <v>0</v>
      </c>
      <c r="J94" s="244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2" t="str">
        <f t="shared" si="9"/>
        <v/>
      </c>
      <c r="E95" s="531"/>
      <c r="F95" s="531"/>
      <c r="G95" s="392"/>
      <c r="H95" s="243" t="str">
        <f t="shared" si="10"/>
        <v/>
      </c>
      <c r="I95" s="199">
        <f t="shared" si="11"/>
        <v>0</v>
      </c>
      <c r="J95" s="244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2" t="str">
        <f t="shared" si="9"/>
        <v/>
      </c>
      <c r="E96" s="531"/>
      <c r="F96" s="531"/>
      <c r="G96" s="392"/>
      <c r="H96" s="243" t="str">
        <f t="shared" si="10"/>
        <v/>
      </c>
      <c r="I96" s="199">
        <f t="shared" si="11"/>
        <v>0</v>
      </c>
      <c r="J96" s="244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2" t="str">
        <f t="shared" si="9"/>
        <v/>
      </c>
      <c r="E97" s="531"/>
      <c r="F97" s="531"/>
      <c r="G97" s="392"/>
      <c r="H97" s="243" t="str">
        <f t="shared" si="10"/>
        <v/>
      </c>
      <c r="I97" s="199">
        <f t="shared" si="11"/>
        <v>0</v>
      </c>
      <c r="J97" s="244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2" t="str">
        <f t="shared" si="9"/>
        <v/>
      </c>
      <c r="E98" s="531"/>
      <c r="F98" s="531"/>
      <c r="G98" s="392"/>
      <c r="H98" s="243" t="str">
        <f t="shared" si="10"/>
        <v/>
      </c>
      <c r="I98" s="199">
        <f t="shared" si="11"/>
        <v>0</v>
      </c>
      <c r="J98" s="244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2" t="str">
        <f t="shared" si="9"/>
        <v/>
      </c>
      <c r="E99" s="531"/>
      <c r="F99" s="531"/>
      <c r="G99" s="391"/>
      <c r="H99" s="243" t="str">
        <f t="shared" si="10"/>
        <v/>
      </c>
      <c r="I99" s="199">
        <f t="shared" si="11"/>
        <v>0</v>
      </c>
      <c r="J99" s="244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2" t="str">
        <f t="shared" si="9"/>
        <v/>
      </c>
      <c r="E100" s="531"/>
      <c r="F100" s="531"/>
      <c r="G100" s="392"/>
      <c r="H100" s="243" t="str">
        <f t="shared" si="10"/>
        <v/>
      </c>
      <c r="I100" s="199">
        <f t="shared" si="11"/>
        <v>0</v>
      </c>
      <c r="J100" s="244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2" t="str">
        <f t="shared" si="9"/>
        <v/>
      </c>
      <c r="E101" s="531"/>
      <c r="F101" s="531"/>
      <c r="G101" s="392"/>
      <c r="H101" s="243" t="str">
        <f t="shared" si="10"/>
        <v/>
      </c>
      <c r="I101" s="199">
        <f t="shared" si="11"/>
        <v>0</v>
      </c>
      <c r="J101" s="244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2" t="str">
        <f t="shared" si="9"/>
        <v/>
      </c>
      <c r="E102" s="531"/>
      <c r="F102" s="531"/>
      <c r="G102" s="392"/>
      <c r="H102" s="243" t="str">
        <f t="shared" si="10"/>
        <v/>
      </c>
      <c r="I102" s="199">
        <f t="shared" si="11"/>
        <v>0</v>
      </c>
      <c r="J102" s="244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2" t="str">
        <f t="shared" si="9"/>
        <v/>
      </c>
      <c r="E103" s="531"/>
      <c r="F103" s="531"/>
      <c r="G103" s="392"/>
      <c r="H103" s="243" t="str">
        <f t="shared" si="10"/>
        <v/>
      </c>
      <c r="I103" s="199">
        <f t="shared" si="11"/>
        <v>0</v>
      </c>
      <c r="J103" s="244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2" t="str">
        <f t="shared" si="9"/>
        <v/>
      </c>
      <c r="E104" s="531"/>
      <c r="F104" s="531"/>
      <c r="G104" s="392"/>
      <c r="H104" s="243" t="str">
        <f t="shared" si="10"/>
        <v/>
      </c>
      <c r="I104" s="199">
        <f t="shared" si="11"/>
        <v>0</v>
      </c>
      <c r="J104" s="244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2" t="str">
        <f t="shared" si="9"/>
        <v/>
      </c>
      <c r="E105" s="531"/>
      <c r="F105" s="531"/>
      <c r="G105" s="393"/>
      <c r="H105" s="243" t="str">
        <f t="shared" si="10"/>
        <v/>
      </c>
      <c r="I105" s="199">
        <f t="shared" si="11"/>
        <v>0</v>
      </c>
      <c r="J105" s="244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2" t="str">
        <f t="shared" si="9"/>
        <v/>
      </c>
      <c r="E106" s="531"/>
      <c r="F106" s="531"/>
      <c r="G106" s="392"/>
      <c r="H106" s="243" t="str">
        <f t="shared" si="10"/>
        <v/>
      </c>
      <c r="I106" s="199">
        <f t="shared" si="11"/>
        <v>0</v>
      </c>
      <c r="J106" s="244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2" t="str">
        <f t="shared" si="9"/>
        <v/>
      </c>
      <c r="E107" s="531"/>
      <c r="F107" s="531"/>
      <c r="G107" s="392"/>
      <c r="H107" s="243" t="str">
        <f t="shared" si="10"/>
        <v/>
      </c>
      <c r="I107" s="199">
        <f t="shared" si="11"/>
        <v>0</v>
      </c>
      <c r="J107" s="244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2" t="str">
        <f t="shared" si="9"/>
        <v/>
      </c>
      <c r="E108" s="531"/>
      <c r="F108" s="531"/>
      <c r="G108" s="392"/>
      <c r="H108" s="243" t="str">
        <f t="shared" si="10"/>
        <v/>
      </c>
      <c r="I108" s="199">
        <f t="shared" si="11"/>
        <v>0</v>
      </c>
      <c r="J108" s="244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2" t="str">
        <f t="shared" si="9"/>
        <v/>
      </c>
      <c r="E109" s="531"/>
      <c r="F109" s="531"/>
      <c r="G109" s="392"/>
      <c r="H109" s="243" t="str">
        <f t="shared" si="10"/>
        <v/>
      </c>
      <c r="I109" s="199">
        <f t="shared" si="11"/>
        <v>0</v>
      </c>
      <c r="J109" s="244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2" t="str">
        <f t="shared" si="9"/>
        <v/>
      </c>
      <c r="E110" s="531"/>
      <c r="F110" s="531"/>
      <c r="G110" s="392"/>
      <c r="H110" s="243" t="str">
        <f t="shared" si="10"/>
        <v/>
      </c>
      <c r="I110" s="199">
        <f t="shared" si="11"/>
        <v>0</v>
      </c>
      <c r="J110" s="244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2" t="str">
        <f t="shared" si="9"/>
        <v/>
      </c>
      <c r="E111" s="531"/>
      <c r="F111" s="531"/>
      <c r="G111" s="392"/>
      <c r="H111" s="243" t="str">
        <f t="shared" si="10"/>
        <v/>
      </c>
      <c r="I111" s="199">
        <f t="shared" si="11"/>
        <v>0</v>
      </c>
      <c r="J111" s="244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2" t="str">
        <f t="shared" si="9"/>
        <v/>
      </c>
      <c r="E112" s="531"/>
      <c r="F112" s="531"/>
      <c r="G112" s="392"/>
      <c r="H112" s="243" t="str">
        <f t="shared" si="10"/>
        <v/>
      </c>
      <c r="I112" s="199">
        <f t="shared" si="11"/>
        <v>0</v>
      </c>
      <c r="J112" s="244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2" t="str">
        <f t="shared" si="9"/>
        <v/>
      </c>
      <c r="E113" s="531"/>
      <c r="F113" s="531"/>
      <c r="G113" s="392"/>
      <c r="H113" s="243" t="str">
        <f t="shared" si="10"/>
        <v/>
      </c>
      <c r="I113" s="199">
        <f t="shared" si="11"/>
        <v>0</v>
      </c>
      <c r="J113" s="244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2" t="str">
        <f t="shared" si="9"/>
        <v/>
      </c>
      <c r="E114" s="531"/>
      <c r="F114" s="531"/>
      <c r="G114" s="392"/>
      <c r="H114" s="243" t="str">
        <f t="shared" si="10"/>
        <v/>
      </c>
      <c r="I114" s="199">
        <f t="shared" si="11"/>
        <v>0</v>
      </c>
      <c r="J114" s="244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2" t="str">
        <f t="shared" si="9"/>
        <v/>
      </c>
      <c r="E115" s="531"/>
      <c r="F115" s="531"/>
      <c r="G115" s="392"/>
      <c r="H115" s="243" t="str">
        <f t="shared" si="10"/>
        <v/>
      </c>
      <c r="I115" s="199">
        <f t="shared" si="11"/>
        <v>0</v>
      </c>
      <c r="J115" s="244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2" t="str">
        <f t="shared" si="9"/>
        <v/>
      </c>
      <c r="E116" s="531"/>
      <c r="F116" s="531"/>
      <c r="G116" s="392"/>
      <c r="H116" s="243" t="str">
        <f t="shared" si="10"/>
        <v/>
      </c>
      <c r="I116" s="199">
        <f t="shared" si="11"/>
        <v>0</v>
      </c>
      <c r="J116" s="244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2" t="str">
        <f t="shared" si="9"/>
        <v/>
      </c>
      <c r="E117" s="531"/>
      <c r="F117" s="531"/>
      <c r="G117" s="392"/>
      <c r="H117" s="243" t="str">
        <f t="shared" si="10"/>
        <v/>
      </c>
      <c r="I117" s="199">
        <f t="shared" si="11"/>
        <v>0</v>
      </c>
      <c r="J117" s="244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2" t="str">
        <f t="shared" si="9"/>
        <v/>
      </c>
      <c r="E118" s="531"/>
      <c r="F118" s="531"/>
      <c r="G118" s="392"/>
      <c r="H118" s="243" t="str">
        <f t="shared" si="10"/>
        <v/>
      </c>
      <c r="I118" s="199">
        <f t="shared" si="11"/>
        <v>0</v>
      </c>
      <c r="J118" s="244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2" t="str">
        <f t="shared" si="9"/>
        <v/>
      </c>
      <c r="E119" s="531"/>
      <c r="F119" s="531"/>
      <c r="G119" s="392"/>
      <c r="H119" s="243" t="str">
        <f t="shared" si="10"/>
        <v/>
      </c>
      <c r="I119" s="199">
        <f t="shared" si="11"/>
        <v>0</v>
      </c>
      <c r="J119" s="244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2" t="str">
        <f t="shared" si="9"/>
        <v/>
      </c>
      <c r="E120" s="531"/>
      <c r="F120" s="531"/>
      <c r="G120" s="392"/>
      <c r="H120" s="243" t="str">
        <f t="shared" si="10"/>
        <v/>
      </c>
      <c r="I120" s="199">
        <f t="shared" si="11"/>
        <v>0</v>
      </c>
      <c r="J120" s="244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2" t="str">
        <f t="shared" si="9"/>
        <v/>
      </c>
      <c r="E121" s="531"/>
      <c r="F121" s="531"/>
      <c r="G121" s="392"/>
      <c r="H121" s="243" t="str">
        <f t="shared" si="10"/>
        <v/>
      </c>
      <c r="I121" s="199">
        <f t="shared" si="11"/>
        <v>0</v>
      </c>
      <c r="J121" s="244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2" t="str">
        <f t="shared" si="9"/>
        <v/>
      </c>
      <c r="E122" s="531"/>
      <c r="F122" s="531"/>
      <c r="G122" s="392"/>
      <c r="H122" s="243" t="str">
        <f t="shared" si="10"/>
        <v/>
      </c>
      <c r="I122" s="199">
        <f t="shared" si="11"/>
        <v>0</v>
      </c>
      <c r="J122" s="244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2" t="str">
        <f t="shared" si="9"/>
        <v/>
      </c>
      <c r="E123" s="531"/>
      <c r="F123" s="531"/>
      <c r="G123" s="392"/>
      <c r="H123" s="243" t="str">
        <f t="shared" si="10"/>
        <v/>
      </c>
      <c r="I123" s="199">
        <f t="shared" si="11"/>
        <v>0</v>
      </c>
      <c r="J123" s="244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2" t="str">
        <f t="shared" si="9"/>
        <v/>
      </c>
      <c r="E124" s="531"/>
      <c r="F124" s="531"/>
      <c r="G124" s="392"/>
      <c r="H124" s="243" t="str">
        <f t="shared" si="10"/>
        <v/>
      </c>
      <c r="I124" s="199">
        <f t="shared" si="11"/>
        <v>0</v>
      </c>
      <c r="J124" s="244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2" t="str">
        <f t="shared" si="9"/>
        <v/>
      </c>
      <c r="E125" s="531"/>
      <c r="F125" s="531"/>
      <c r="G125" s="392"/>
      <c r="H125" s="243" t="str">
        <f t="shared" si="10"/>
        <v/>
      </c>
      <c r="I125" s="199">
        <f t="shared" si="11"/>
        <v>0</v>
      </c>
      <c r="J125" s="244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2" t="str">
        <f t="shared" si="9"/>
        <v/>
      </c>
      <c r="E126" s="531"/>
      <c r="F126" s="531"/>
      <c r="G126" s="392"/>
      <c r="H126" s="243" t="str">
        <f t="shared" si="10"/>
        <v/>
      </c>
      <c r="I126" s="199">
        <f t="shared" si="11"/>
        <v>0</v>
      </c>
      <c r="J126" s="244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2" t="str">
        <f t="shared" si="9"/>
        <v/>
      </c>
      <c r="E127" s="531"/>
      <c r="F127" s="531"/>
      <c r="G127" s="392"/>
      <c r="H127" s="243" t="str">
        <f t="shared" si="10"/>
        <v/>
      </c>
      <c r="I127" s="199">
        <f t="shared" si="11"/>
        <v>0</v>
      </c>
      <c r="J127" s="244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2" t="str">
        <f t="shared" si="9"/>
        <v/>
      </c>
      <c r="E128" s="531"/>
      <c r="F128" s="531"/>
      <c r="G128" s="392"/>
      <c r="H128" s="243" t="str">
        <f t="shared" si="10"/>
        <v/>
      </c>
      <c r="I128" s="199">
        <f t="shared" si="11"/>
        <v>0</v>
      </c>
      <c r="J128" s="244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2" t="str">
        <f t="shared" si="9"/>
        <v/>
      </c>
      <c r="E129" s="531"/>
      <c r="F129" s="531"/>
      <c r="G129" s="395"/>
      <c r="H129" s="243" t="str">
        <f t="shared" si="10"/>
        <v/>
      </c>
      <c r="I129" s="199">
        <f t="shared" si="11"/>
        <v>0</v>
      </c>
      <c r="J129" s="244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2" t="str">
        <f t="shared" si="9"/>
        <v/>
      </c>
      <c r="E130" s="531"/>
      <c r="F130" s="531"/>
      <c r="G130" s="391"/>
      <c r="H130" s="243" t="str">
        <f t="shared" si="10"/>
        <v/>
      </c>
      <c r="I130" s="199">
        <f t="shared" si="11"/>
        <v>0</v>
      </c>
      <c r="J130" s="244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2" t="str">
        <f t="shared" si="9"/>
        <v/>
      </c>
      <c r="E131" s="531"/>
      <c r="F131" s="531"/>
      <c r="G131" s="392"/>
      <c r="H131" s="243" t="str">
        <f t="shared" si="10"/>
        <v/>
      </c>
      <c r="I131" s="199">
        <f t="shared" si="11"/>
        <v>0</v>
      </c>
      <c r="J131" s="244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2" t="str">
        <f t="shared" si="9"/>
        <v/>
      </c>
      <c r="E132" s="531"/>
      <c r="F132" s="531"/>
      <c r="G132" s="392"/>
      <c r="H132" s="243" t="str">
        <f t="shared" si="10"/>
        <v/>
      </c>
      <c r="I132" s="199">
        <f t="shared" si="11"/>
        <v>0</v>
      </c>
      <c r="J132" s="244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2" t="str">
        <f t="shared" si="9"/>
        <v/>
      </c>
      <c r="E133" s="531"/>
      <c r="F133" s="531"/>
      <c r="G133" s="392"/>
      <c r="H133" s="243" t="str">
        <f t="shared" si="10"/>
        <v/>
      </c>
      <c r="I133" s="199">
        <f t="shared" si="11"/>
        <v>0</v>
      </c>
      <c r="J133" s="244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2" t="str">
        <f t="shared" si="9"/>
        <v/>
      </c>
      <c r="E134" s="531"/>
      <c r="F134" s="531"/>
      <c r="G134" s="392"/>
      <c r="H134" s="243" t="str">
        <f t="shared" si="10"/>
        <v/>
      </c>
      <c r="I134" s="199">
        <f t="shared" si="11"/>
        <v>0</v>
      </c>
      <c r="J134" s="244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2" t="str">
        <f t="shared" si="9"/>
        <v/>
      </c>
      <c r="E135" s="531"/>
      <c r="F135" s="531"/>
      <c r="G135" s="392"/>
      <c r="H135" s="243" t="str">
        <f t="shared" si="10"/>
        <v/>
      </c>
      <c r="I135" s="199">
        <f t="shared" si="11"/>
        <v>0</v>
      </c>
      <c r="J135" s="244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2" t="str">
        <f t="shared" ref="D136:D199" si="15">IF(A136&lt;&gt;"",PROPER(TEXT(A136,"Mmmm")),"")</f>
        <v/>
      </c>
      <c r="E136" s="531"/>
      <c r="F136" s="531"/>
      <c r="G136" s="393"/>
      <c r="H136" s="243" t="str">
        <f t="shared" ref="H136:H199" si="16">IF(G136=0,"",G136*$H$5)</f>
        <v/>
      </c>
      <c r="I136" s="199">
        <f t="shared" ref="I136:I199" si="17">G136</f>
        <v>0</v>
      </c>
      <c r="J136" s="244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2" t="str">
        <f t="shared" si="15"/>
        <v/>
      </c>
      <c r="E137" s="531"/>
      <c r="F137" s="531"/>
      <c r="G137" s="392"/>
      <c r="H137" s="243" t="str">
        <f t="shared" si="16"/>
        <v/>
      </c>
      <c r="I137" s="199">
        <f t="shared" si="17"/>
        <v>0</v>
      </c>
      <c r="J137" s="244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2" t="str">
        <f t="shared" si="15"/>
        <v/>
      </c>
      <c r="E138" s="531"/>
      <c r="F138" s="531"/>
      <c r="G138" s="392"/>
      <c r="H138" s="243" t="str">
        <f t="shared" si="16"/>
        <v/>
      </c>
      <c r="I138" s="199">
        <f t="shared" si="17"/>
        <v>0</v>
      </c>
      <c r="J138" s="244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2" t="str">
        <f t="shared" si="15"/>
        <v/>
      </c>
      <c r="E139" s="531"/>
      <c r="F139" s="531"/>
      <c r="G139" s="392"/>
      <c r="H139" s="243" t="str">
        <f t="shared" si="16"/>
        <v/>
      </c>
      <c r="I139" s="199">
        <f t="shared" si="17"/>
        <v>0</v>
      </c>
      <c r="J139" s="244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2" t="str">
        <f t="shared" si="15"/>
        <v/>
      </c>
      <c r="E140" s="531"/>
      <c r="F140" s="531"/>
      <c r="G140" s="392"/>
      <c r="H140" s="243" t="str">
        <f t="shared" si="16"/>
        <v/>
      </c>
      <c r="I140" s="199">
        <f t="shared" si="17"/>
        <v>0</v>
      </c>
      <c r="J140" s="244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2" t="str">
        <f t="shared" si="15"/>
        <v/>
      </c>
      <c r="E141" s="531"/>
      <c r="F141" s="531"/>
      <c r="G141" s="392"/>
      <c r="H141" s="243" t="str">
        <f t="shared" si="16"/>
        <v/>
      </c>
      <c r="I141" s="199">
        <f t="shared" si="17"/>
        <v>0</v>
      </c>
      <c r="J141" s="244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2" t="str">
        <f t="shared" si="15"/>
        <v/>
      </c>
      <c r="E142" s="531"/>
      <c r="F142" s="531"/>
      <c r="G142" s="392"/>
      <c r="H142" s="243" t="str">
        <f t="shared" si="16"/>
        <v/>
      </c>
      <c r="I142" s="199">
        <f t="shared" si="17"/>
        <v>0</v>
      </c>
      <c r="J142" s="244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2" t="str">
        <f t="shared" si="15"/>
        <v/>
      </c>
      <c r="E143" s="531"/>
      <c r="F143" s="531"/>
      <c r="G143" s="392"/>
      <c r="H143" s="243" t="str">
        <f t="shared" si="16"/>
        <v/>
      </c>
      <c r="I143" s="199">
        <f t="shared" si="17"/>
        <v>0</v>
      </c>
      <c r="J143" s="244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2" t="str">
        <f t="shared" si="15"/>
        <v/>
      </c>
      <c r="E144" s="531"/>
      <c r="F144" s="531"/>
      <c r="G144" s="392"/>
      <c r="H144" s="243" t="str">
        <f t="shared" si="16"/>
        <v/>
      </c>
      <c r="I144" s="199">
        <f t="shared" si="17"/>
        <v>0</v>
      </c>
      <c r="J144" s="244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2" t="str">
        <f t="shared" si="15"/>
        <v/>
      </c>
      <c r="E145" s="531"/>
      <c r="F145" s="531"/>
      <c r="G145" s="392"/>
      <c r="H145" s="243" t="str">
        <f t="shared" si="16"/>
        <v/>
      </c>
      <c r="I145" s="199">
        <f t="shared" si="17"/>
        <v>0</v>
      </c>
      <c r="J145" s="244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2" t="str">
        <f t="shared" si="15"/>
        <v/>
      </c>
      <c r="E146" s="531"/>
      <c r="F146" s="531"/>
      <c r="G146" s="392"/>
      <c r="H146" s="243" t="str">
        <f t="shared" si="16"/>
        <v/>
      </c>
      <c r="I146" s="199">
        <f t="shared" si="17"/>
        <v>0</v>
      </c>
      <c r="J146" s="244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2" t="str">
        <f t="shared" si="15"/>
        <v/>
      </c>
      <c r="E147" s="531"/>
      <c r="F147" s="531"/>
      <c r="G147" s="392"/>
      <c r="H147" s="243" t="str">
        <f t="shared" si="16"/>
        <v/>
      </c>
      <c r="I147" s="199">
        <f t="shared" si="17"/>
        <v>0</v>
      </c>
      <c r="J147" s="244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2" t="str">
        <f t="shared" si="15"/>
        <v/>
      </c>
      <c r="E148" s="531"/>
      <c r="F148" s="531"/>
      <c r="G148" s="392"/>
      <c r="H148" s="243" t="str">
        <f t="shared" si="16"/>
        <v/>
      </c>
      <c r="I148" s="199">
        <f t="shared" si="17"/>
        <v>0</v>
      </c>
      <c r="J148" s="244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2" t="str">
        <f t="shared" si="15"/>
        <v/>
      </c>
      <c r="E149" s="531"/>
      <c r="F149" s="531"/>
      <c r="G149" s="392"/>
      <c r="H149" s="243" t="str">
        <f t="shared" si="16"/>
        <v/>
      </c>
      <c r="I149" s="199">
        <f t="shared" si="17"/>
        <v>0</v>
      </c>
      <c r="J149" s="244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2" t="str">
        <f t="shared" si="15"/>
        <v/>
      </c>
      <c r="E150" s="531"/>
      <c r="F150" s="531"/>
      <c r="G150" s="392"/>
      <c r="H150" s="243" t="str">
        <f t="shared" si="16"/>
        <v/>
      </c>
      <c r="I150" s="199">
        <f t="shared" si="17"/>
        <v>0</v>
      </c>
      <c r="J150" s="244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2" t="str">
        <f t="shared" si="15"/>
        <v/>
      </c>
      <c r="E151" s="531"/>
      <c r="F151" s="531"/>
      <c r="G151" s="392"/>
      <c r="H151" s="243" t="str">
        <f t="shared" si="16"/>
        <v/>
      </c>
      <c r="I151" s="199">
        <f t="shared" si="17"/>
        <v>0</v>
      </c>
      <c r="J151" s="244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2" t="str">
        <f t="shared" si="15"/>
        <v/>
      </c>
      <c r="E152" s="531"/>
      <c r="F152" s="531"/>
      <c r="G152" s="392"/>
      <c r="H152" s="243" t="str">
        <f t="shared" si="16"/>
        <v/>
      </c>
      <c r="I152" s="199">
        <f t="shared" si="17"/>
        <v>0</v>
      </c>
      <c r="J152" s="244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2" t="str">
        <f t="shared" si="15"/>
        <v/>
      </c>
      <c r="E153" s="531"/>
      <c r="F153" s="531"/>
      <c r="G153" s="392"/>
      <c r="H153" s="243" t="str">
        <f t="shared" si="16"/>
        <v/>
      </c>
      <c r="I153" s="199">
        <f t="shared" si="17"/>
        <v>0</v>
      </c>
      <c r="J153" s="244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2" t="str">
        <f t="shared" si="15"/>
        <v/>
      </c>
      <c r="E154" s="531"/>
      <c r="F154" s="531"/>
      <c r="G154" s="392"/>
      <c r="H154" s="243" t="str">
        <f t="shared" si="16"/>
        <v/>
      </c>
      <c r="I154" s="199">
        <f t="shared" si="17"/>
        <v>0</v>
      </c>
      <c r="J154" s="244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2" t="str">
        <f t="shared" si="15"/>
        <v/>
      </c>
      <c r="E155" s="531"/>
      <c r="F155" s="531"/>
      <c r="G155" s="392"/>
      <c r="H155" s="243" t="str">
        <f t="shared" si="16"/>
        <v/>
      </c>
      <c r="I155" s="199">
        <f t="shared" si="17"/>
        <v>0</v>
      </c>
      <c r="J155" s="244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2" t="str">
        <f t="shared" si="15"/>
        <v/>
      </c>
      <c r="E156" s="531"/>
      <c r="F156" s="531"/>
      <c r="G156" s="392"/>
      <c r="H156" s="243" t="str">
        <f t="shared" si="16"/>
        <v/>
      </c>
      <c r="I156" s="199">
        <f t="shared" si="17"/>
        <v>0</v>
      </c>
      <c r="J156" s="244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2" t="str">
        <f t="shared" si="15"/>
        <v/>
      </c>
      <c r="E157" s="531"/>
      <c r="F157" s="531"/>
      <c r="G157" s="392"/>
      <c r="H157" s="243" t="str">
        <f t="shared" si="16"/>
        <v/>
      </c>
      <c r="I157" s="199">
        <f t="shared" si="17"/>
        <v>0</v>
      </c>
      <c r="J157" s="244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2" t="str">
        <f t="shared" si="15"/>
        <v/>
      </c>
      <c r="E158" s="531"/>
      <c r="F158" s="531"/>
      <c r="G158" s="392"/>
      <c r="H158" s="243" t="str">
        <f t="shared" si="16"/>
        <v/>
      </c>
      <c r="I158" s="199">
        <f t="shared" si="17"/>
        <v>0</v>
      </c>
      <c r="J158" s="244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2" t="str">
        <f t="shared" si="15"/>
        <v/>
      </c>
      <c r="E159" s="531"/>
      <c r="F159" s="531"/>
      <c r="G159" s="392"/>
      <c r="H159" s="243" t="str">
        <f t="shared" si="16"/>
        <v/>
      </c>
      <c r="I159" s="199">
        <f t="shared" si="17"/>
        <v>0</v>
      </c>
      <c r="J159" s="244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2" t="str">
        <f t="shared" si="15"/>
        <v/>
      </c>
      <c r="E160" s="531"/>
      <c r="F160" s="531"/>
      <c r="G160" s="391"/>
      <c r="H160" s="243" t="str">
        <f t="shared" si="16"/>
        <v/>
      </c>
      <c r="I160" s="199">
        <f t="shared" si="17"/>
        <v>0</v>
      </c>
      <c r="J160" s="244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2" t="str">
        <f t="shared" si="15"/>
        <v/>
      </c>
      <c r="E161" s="531"/>
      <c r="F161" s="531"/>
      <c r="G161" s="392"/>
      <c r="H161" s="243" t="str">
        <f t="shared" si="16"/>
        <v/>
      </c>
      <c r="I161" s="199">
        <f t="shared" si="17"/>
        <v>0</v>
      </c>
      <c r="J161" s="244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2" t="str">
        <f t="shared" si="15"/>
        <v/>
      </c>
      <c r="E162" s="531"/>
      <c r="F162" s="531"/>
      <c r="G162" s="392"/>
      <c r="H162" s="243" t="str">
        <f t="shared" si="16"/>
        <v/>
      </c>
      <c r="I162" s="199">
        <f t="shared" si="17"/>
        <v>0</v>
      </c>
      <c r="J162" s="244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2" t="str">
        <f t="shared" si="15"/>
        <v/>
      </c>
      <c r="E163" s="531"/>
      <c r="F163" s="531"/>
      <c r="G163" s="392"/>
      <c r="H163" s="243" t="str">
        <f t="shared" si="16"/>
        <v/>
      </c>
      <c r="I163" s="199">
        <f t="shared" si="17"/>
        <v>0</v>
      </c>
      <c r="J163" s="244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2" t="str">
        <f t="shared" si="15"/>
        <v/>
      </c>
      <c r="E164" s="531"/>
      <c r="F164" s="531"/>
      <c r="G164" s="392"/>
      <c r="H164" s="243" t="str">
        <f t="shared" si="16"/>
        <v/>
      </c>
      <c r="I164" s="199">
        <f t="shared" si="17"/>
        <v>0</v>
      </c>
      <c r="J164" s="244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2" t="str">
        <f t="shared" si="15"/>
        <v/>
      </c>
      <c r="E165" s="531"/>
      <c r="F165" s="531"/>
      <c r="G165" s="392"/>
      <c r="H165" s="243" t="str">
        <f t="shared" si="16"/>
        <v/>
      </c>
      <c r="I165" s="199">
        <f t="shared" si="17"/>
        <v>0</v>
      </c>
      <c r="J165" s="244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2" t="str">
        <f t="shared" si="15"/>
        <v/>
      </c>
      <c r="E166" s="531"/>
      <c r="F166" s="531"/>
      <c r="G166" s="393"/>
      <c r="H166" s="243" t="str">
        <f t="shared" si="16"/>
        <v/>
      </c>
      <c r="I166" s="199">
        <f t="shared" si="17"/>
        <v>0</v>
      </c>
      <c r="J166" s="244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2" t="str">
        <f t="shared" si="15"/>
        <v/>
      </c>
      <c r="E167" s="531"/>
      <c r="F167" s="531"/>
      <c r="G167" s="392"/>
      <c r="H167" s="243" t="str">
        <f t="shared" si="16"/>
        <v/>
      </c>
      <c r="I167" s="199">
        <f t="shared" si="17"/>
        <v>0</v>
      </c>
      <c r="J167" s="244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2" t="str">
        <f t="shared" si="15"/>
        <v/>
      </c>
      <c r="E168" s="531"/>
      <c r="F168" s="531"/>
      <c r="G168" s="392"/>
      <c r="H168" s="243" t="str">
        <f t="shared" si="16"/>
        <v/>
      </c>
      <c r="I168" s="199">
        <f t="shared" si="17"/>
        <v>0</v>
      </c>
      <c r="J168" s="244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2" t="str">
        <f t="shared" si="15"/>
        <v/>
      </c>
      <c r="E169" s="531"/>
      <c r="F169" s="531"/>
      <c r="G169" s="392"/>
      <c r="H169" s="243" t="str">
        <f t="shared" si="16"/>
        <v/>
      </c>
      <c r="I169" s="199">
        <f t="shared" si="17"/>
        <v>0</v>
      </c>
      <c r="J169" s="244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2" t="str">
        <f t="shared" si="15"/>
        <v/>
      </c>
      <c r="E170" s="531"/>
      <c r="F170" s="531"/>
      <c r="G170" s="392"/>
      <c r="H170" s="243" t="str">
        <f t="shared" si="16"/>
        <v/>
      </c>
      <c r="I170" s="199">
        <f t="shared" si="17"/>
        <v>0</v>
      </c>
      <c r="J170" s="244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2" t="str">
        <f t="shared" si="15"/>
        <v/>
      </c>
      <c r="E171" s="531"/>
      <c r="F171" s="531"/>
      <c r="G171" s="392"/>
      <c r="H171" s="243" t="str">
        <f t="shared" si="16"/>
        <v/>
      </c>
      <c r="I171" s="199">
        <f t="shared" si="17"/>
        <v>0</v>
      </c>
      <c r="J171" s="244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2" t="str">
        <f t="shared" si="15"/>
        <v/>
      </c>
      <c r="E172" s="531"/>
      <c r="F172" s="531"/>
      <c r="G172" s="392"/>
      <c r="H172" s="243" t="str">
        <f t="shared" si="16"/>
        <v/>
      </c>
      <c r="I172" s="199">
        <f t="shared" si="17"/>
        <v>0</v>
      </c>
      <c r="J172" s="244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2" t="str">
        <f t="shared" si="15"/>
        <v/>
      </c>
      <c r="E173" s="531"/>
      <c r="F173" s="531"/>
      <c r="G173" s="392"/>
      <c r="H173" s="243" t="str">
        <f t="shared" si="16"/>
        <v/>
      </c>
      <c r="I173" s="199">
        <f t="shared" si="17"/>
        <v>0</v>
      </c>
      <c r="J173" s="244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2" t="str">
        <f t="shared" si="15"/>
        <v/>
      </c>
      <c r="E174" s="531"/>
      <c r="F174" s="531"/>
      <c r="G174" s="392"/>
      <c r="H174" s="243" t="str">
        <f t="shared" si="16"/>
        <v/>
      </c>
      <c r="I174" s="199">
        <f t="shared" si="17"/>
        <v>0</v>
      </c>
      <c r="J174" s="244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2" t="str">
        <f t="shared" si="15"/>
        <v/>
      </c>
      <c r="E175" s="531"/>
      <c r="F175" s="531"/>
      <c r="G175" s="392"/>
      <c r="H175" s="243" t="str">
        <f t="shared" si="16"/>
        <v/>
      </c>
      <c r="I175" s="199">
        <f t="shared" si="17"/>
        <v>0</v>
      </c>
      <c r="J175" s="244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2" t="str">
        <f t="shared" si="15"/>
        <v/>
      </c>
      <c r="E176" s="531"/>
      <c r="F176" s="531"/>
      <c r="G176" s="392"/>
      <c r="H176" s="243" t="str">
        <f t="shared" si="16"/>
        <v/>
      </c>
      <c r="I176" s="199">
        <f t="shared" si="17"/>
        <v>0</v>
      </c>
      <c r="J176" s="244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2" t="str">
        <f t="shared" si="15"/>
        <v/>
      </c>
      <c r="E177" s="531"/>
      <c r="F177" s="531"/>
      <c r="G177" s="392"/>
      <c r="H177" s="243" t="str">
        <f t="shared" si="16"/>
        <v/>
      </c>
      <c r="I177" s="199">
        <f t="shared" si="17"/>
        <v>0</v>
      </c>
      <c r="J177" s="244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2" t="str">
        <f t="shared" si="15"/>
        <v/>
      </c>
      <c r="E178" s="531"/>
      <c r="F178" s="531"/>
      <c r="G178" s="392"/>
      <c r="H178" s="243" t="str">
        <f t="shared" si="16"/>
        <v/>
      </c>
      <c r="I178" s="199">
        <f t="shared" si="17"/>
        <v>0</v>
      </c>
      <c r="J178" s="244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2" t="str">
        <f t="shared" si="15"/>
        <v/>
      </c>
      <c r="E179" s="531"/>
      <c r="F179" s="531"/>
      <c r="G179" s="392"/>
      <c r="H179" s="243" t="str">
        <f t="shared" si="16"/>
        <v/>
      </c>
      <c r="I179" s="199">
        <f t="shared" si="17"/>
        <v>0</v>
      </c>
      <c r="J179" s="244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2" t="str">
        <f t="shared" si="15"/>
        <v/>
      </c>
      <c r="E180" s="531"/>
      <c r="F180" s="531"/>
      <c r="G180" s="392"/>
      <c r="H180" s="243" t="str">
        <f t="shared" si="16"/>
        <v/>
      </c>
      <c r="I180" s="199">
        <f t="shared" si="17"/>
        <v>0</v>
      </c>
      <c r="J180" s="244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2" t="str">
        <f t="shared" si="15"/>
        <v/>
      </c>
      <c r="E181" s="531"/>
      <c r="F181" s="531"/>
      <c r="G181" s="392"/>
      <c r="H181" s="243" t="str">
        <f t="shared" si="16"/>
        <v/>
      </c>
      <c r="I181" s="199">
        <f t="shared" si="17"/>
        <v>0</v>
      </c>
      <c r="J181" s="244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2" t="str">
        <f t="shared" si="15"/>
        <v/>
      </c>
      <c r="E182" s="531"/>
      <c r="F182" s="531"/>
      <c r="G182" s="392"/>
      <c r="H182" s="243" t="str">
        <f t="shared" si="16"/>
        <v/>
      </c>
      <c r="I182" s="199">
        <f t="shared" si="17"/>
        <v>0</v>
      </c>
      <c r="J182" s="244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2" t="str">
        <f t="shared" si="15"/>
        <v/>
      </c>
      <c r="E183" s="531"/>
      <c r="F183" s="531"/>
      <c r="G183" s="392"/>
      <c r="H183" s="243" t="str">
        <f t="shared" si="16"/>
        <v/>
      </c>
      <c r="I183" s="199">
        <f t="shared" si="17"/>
        <v>0</v>
      </c>
      <c r="J183" s="244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2" t="str">
        <f t="shared" si="15"/>
        <v/>
      </c>
      <c r="E184" s="531"/>
      <c r="F184" s="531"/>
      <c r="G184" s="392"/>
      <c r="H184" s="243" t="str">
        <f t="shared" si="16"/>
        <v/>
      </c>
      <c r="I184" s="199">
        <f t="shared" si="17"/>
        <v>0</v>
      </c>
      <c r="J184" s="244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2" t="str">
        <f t="shared" si="15"/>
        <v/>
      </c>
      <c r="E185" s="531"/>
      <c r="F185" s="531"/>
      <c r="G185" s="392"/>
      <c r="H185" s="243" t="str">
        <f t="shared" si="16"/>
        <v/>
      </c>
      <c r="I185" s="199">
        <f t="shared" si="17"/>
        <v>0</v>
      </c>
      <c r="J185" s="244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2" t="str">
        <f t="shared" si="15"/>
        <v/>
      </c>
      <c r="E186" s="531"/>
      <c r="F186" s="531"/>
      <c r="G186" s="392"/>
      <c r="H186" s="243" t="str">
        <f t="shared" si="16"/>
        <v/>
      </c>
      <c r="I186" s="199">
        <f t="shared" si="17"/>
        <v>0</v>
      </c>
      <c r="J186" s="244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2" t="str">
        <f t="shared" si="15"/>
        <v/>
      </c>
      <c r="E187" s="531"/>
      <c r="F187" s="531"/>
      <c r="G187" s="392"/>
      <c r="H187" s="243" t="str">
        <f t="shared" si="16"/>
        <v/>
      </c>
      <c r="I187" s="199">
        <f t="shared" si="17"/>
        <v>0</v>
      </c>
      <c r="J187" s="244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2" t="str">
        <f t="shared" si="15"/>
        <v/>
      </c>
      <c r="E188" s="531"/>
      <c r="F188" s="531"/>
      <c r="G188" s="392"/>
      <c r="H188" s="243" t="str">
        <f t="shared" si="16"/>
        <v/>
      </c>
      <c r="I188" s="199">
        <f t="shared" si="17"/>
        <v>0</v>
      </c>
      <c r="J188" s="244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2" t="str">
        <f t="shared" si="15"/>
        <v/>
      </c>
      <c r="E189" s="531"/>
      <c r="F189" s="531"/>
      <c r="G189" s="392"/>
      <c r="H189" s="243" t="str">
        <f t="shared" si="16"/>
        <v/>
      </c>
      <c r="I189" s="199">
        <f t="shared" si="17"/>
        <v>0</v>
      </c>
      <c r="J189" s="244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2" t="str">
        <f t="shared" si="15"/>
        <v/>
      </c>
      <c r="E190" s="531"/>
      <c r="F190" s="531"/>
      <c r="G190" s="395"/>
      <c r="H190" s="243" t="str">
        <f t="shared" si="16"/>
        <v/>
      </c>
      <c r="I190" s="199">
        <f t="shared" si="17"/>
        <v>0</v>
      </c>
      <c r="J190" s="244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2" t="str">
        <f t="shared" si="15"/>
        <v/>
      </c>
      <c r="E191" s="531"/>
      <c r="F191" s="531"/>
      <c r="G191" s="391"/>
      <c r="H191" s="243" t="str">
        <f t="shared" si="16"/>
        <v/>
      </c>
      <c r="I191" s="199">
        <f t="shared" si="17"/>
        <v>0</v>
      </c>
      <c r="J191" s="244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2" t="str">
        <f t="shared" si="15"/>
        <v/>
      </c>
      <c r="E192" s="531"/>
      <c r="F192" s="531"/>
      <c r="G192" s="392"/>
      <c r="H192" s="243" t="str">
        <f t="shared" si="16"/>
        <v/>
      </c>
      <c r="I192" s="199">
        <f t="shared" si="17"/>
        <v>0</v>
      </c>
      <c r="J192" s="244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2" t="str">
        <f t="shared" si="15"/>
        <v/>
      </c>
      <c r="E193" s="531"/>
      <c r="F193" s="531"/>
      <c r="G193" s="392"/>
      <c r="H193" s="243" t="str">
        <f t="shared" si="16"/>
        <v/>
      </c>
      <c r="I193" s="199">
        <f t="shared" si="17"/>
        <v>0</v>
      </c>
      <c r="J193" s="244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2" t="str">
        <f t="shared" si="15"/>
        <v/>
      </c>
      <c r="E194" s="531"/>
      <c r="F194" s="531"/>
      <c r="G194" s="392"/>
      <c r="H194" s="243" t="str">
        <f t="shared" si="16"/>
        <v/>
      </c>
      <c r="I194" s="199">
        <f t="shared" si="17"/>
        <v>0</v>
      </c>
      <c r="J194" s="244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2" t="str">
        <f t="shared" si="15"/>
        <v/>
      </c>
      <c r="E195" s="531"/>
      <c r="F195" s="531"/>
      <c r="G195" s="392"/>
      <c r="H195" s="243" t="str">
        <f t="shared" si="16"/>
        <v/>
      </c>
      <c r="I195" s="199">
        <f t="shared" si="17"/>
        <v>0</v>
      </c>
      <c r="J195" s="244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2" t="str">
        <f t="shared" si="15"/>
        <v/>
      </c>
      <c r="E196" s="531"/>
      <c r="F196" s="531"/>
      <c r="G196" s="392"/>
      <c r="H196" s="243" t="str">
        <f t="shared" si="16"/>
        <v/>
      </c>
      <c r="I196" s="199">
        <f t="shared" si="17"/>
        <v>0</v>
      </c>
      <c r="J196" s="244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2" t="str">
        <f t="shared" si="15"/>
        <v/>
      </c>
      <c r="E197" s="531"/>
      <c r="F197" s="531"/>
      <c r="G197" s="393"/>
      <c r="H197" s="243" t="str">
        <f t="shared" si="16"/>
        <v/>
      </c>
      <c r="I197" s="199">
        <f t="shared" si="17"/>
        <v>0</v>
      </c>
      <c r="J197" s="244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2" t="str">
        <f t="shared" si="15"/>
        <v/>
      </c>
      <c r="E198" s="531"/>
      <c r="F198" s="531"/>
      <c r="G198" s="392"/>
      <c r="H198" s="243" t="str">
        <f t="shared" si="16"/>
        <v/>
      </c>
      <c r="I198" s="199">
        <f t="shared" si="17"/>
        <v>0</v>
      </c>
      <c r="J198" s="244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2" t="str">
        <f t="shared" si="15"/>
        <v/>
      </c>
      <c r="E199" s="531"/>
      <c r="F199" s="531"/>
      <c r="G199" s="392"/>
      <c r="H199" s="243" t="str">
        <f t="shared" si="16"/>
        <v/>
      </c>
      <c r="I199" s="199">
        <f t="shared" si="17"/>
        <v>0</v>
      </c>
      <c r="J199" s="244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2" t="str">
        <f t="shared" ref="D200:D263" si="21">IF(A200&lt;&gt;"",PROPER(TEXT(A200,"Mmmm")),"")</f>
        <v/>
      </c>
      <c r="E200" s="531"/>
      <c r="F200" s="531"/>
      <c r="G200" s="392"/>
      <c r="H200" s="243" t="str">
        <f t="shared" ref="H200:H263" si="22">IF(G200=0,"",G200*$H$5)</f>
        <v/>
      </c>
      <c r="I200" s="199">
        <f t="shared" ref="I200:I263" si="23">G200</f>
        <v>0</v>
      </c>
      <c r="J200" s="244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2" t="str">
        <f t="shared" si="21"/>
        <v/>
      </c>
      <c r="E201" s="531"/>
      <c r="F201" s="531"/>
      <c r="G201" s="392"/>
      <c r="H201" s="243" t="str">
        <f t="shared" si="22"/>
        <v/>
      </c>
      <c r="I201" s="199">
        <f t="shared" si="23"/>
        <v>0</v>
      </c>
      <c r="J201" s="244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2" t="str">
        <f t="shared" si="21"/>
        <v/>
      </c>
      <c r="E202" s="531"/>
      <c r="F202" s="531"/>
      <c r="G202" s="392"/>
      <c r="H202" s="243" t="str">
        <f t="shared" si="22"/>
        <v/>
      </c>
      <c r="I202" s="199">
        <f t="shared" si="23"/>
        <v>0</v>
      </c>
      <c r="J202" s="244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2" t="str">
        <f t="shared" si="21"/>
        <v/>
      </c>
      <c r="E203" s="531"/>
      <c r="F203" s="531"/>
      <c r="G203" s="392"/>
      <c r="H203" s="243" t="str">
        <f t="shared" si="22"/>
        <v/>
      </c>
      <c r="I203" s="199">
        <f t="shared" si="23"/>
        <v>0</v>
      </c>
      <c r="J203" s="244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2" t="str">
        <f t="shared" si="21"/>
        <v/>
      </c>
      <c r="E204" s="531"/>
      <c r="F204" s="531"/>
      <c r="G204" s="392"/>
      <c r="H204" s="243" t="str">
        <f t="shared" si="22"/>
        <v/>
      </c>
      <c r="I204" s="199">
        <f t="shared" si="23"/>
        <v>0</v>
      </c>
      <c r="J204" s="244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2" t="str">
        <f t="shared" si="21"/>
        <v/>
      </c>
      <c r="E205" s="531"/>
      <c r="F205" s="531"/>
      <c r="G205" s="392"/>
      <c r="H205" s="243" t="str">
        <f t="shared" si="22"/>
        <v/>
      </c>
      <c r="I205" s="199">
        <f t="shared" si="23"/>
        <v>0</v>
      </c>
      <c r="J205" s="244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2" t="str">
        <f t="shared" si="21"/>
        <v/>
      </c>
      <c r="E206" s="531"/>
      <c r="F206" s="531"/>
      <c r="G206" s="392"/>
      <c r="H206" s="243" t="str">
        <f t="shared" si="22"/>
        <v/>
      </c>
      <c r="I206" s="199">
        <f t="shared" si="23"/>
        <v>0</v>
      </c>
      <c r="J206" s="244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2" t="str">
        <f t="shared" si="21"/>
        <v/>
      </c>
      <c r="E207" s="531"/>
      <c r="F207" s="531"/>
      <c r="G207" s="392"/>
      <c r="H207" s="243" t="str">
        <f t="shared" si="22"/>
        <v/>
      </c>
      <c r="I207" s="199">
        <f t="shared" si="23"/>
        <v>0</v>
      </c>
      <c r="J207" s="244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2" t="str">
        <f t="shared" si="21"/>
        <v/>
      </c>
      <c r="E208" s="531"/>
      <c r="F208" s="531"/>
      <c r="G208" s="392"/>
      <c r="H208" s="243" t="str">
        <f t="shared" si="22"/>
        <v/>
      </c>
      <c r="I208" s="199">
        <f t="shared" si="23"/>
        <v>0</v>
      </c>
      <c r="J208" s="244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2" t="str">
        <f t="shared" si="21"/>
        <v/>
      </c>
      <c r="E209" s="531"/>
      <c r="F209" s="531"/>
      <c r="G209" s="392"/>
      <c r="H209" s="243" t="str">
        <f t="shared" si="22"/>
        <v/>
      </c>
      <c r="I209" s="199">
        <f t="shared" si="23"/>
        <v>0</v>
      </c>
      <c r="J209" s="244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2" t="str">
        <f t="shared" si="21"/>
        <v/>
      </c>
      <c r="E210" s="531"/>
      <c r="F210" s="531"/>
      <c r="G210" s="392"/>
      <c r="H210" s="243" t="str">
        <f t="shared" si="22"/>
        <v/>
      </c>
      <c r="I210" s="199">
        <f t="shared" si="23"/>
        <v>0</v>
      </c>
      <c r="J210" s="244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2" t="str">
        <f t="shared" si="21"/>
        <v/>
      </c>
      <c r="E211" s="531"/>
      <c r="F211" s="531"/>
      <c r="G211" s="392"/>
      <c r="H211" s="243" t="str">
        <f t="shared" si="22"/>
        <v/>
      </c>
      <c r="I211" s="199">
        <f t="shared" si="23"/>
        <v>0</v>
      </c>
      <c r="J211" s="244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2" t="str">
        <f t="shared" si="21"/>
        <v/>
      </c>
      <c r="E212" s="531"/>
      <c r="F212" s="531"/>
      <c r="G212" s="392"/>
      <c r="H212" s="243" t="str">
        <f t="shared" si="22"/>
        <v/>
      </c>
      <c r="I212" s="199">
        <f t="shared" si="23"/>
        <v>0</v>
      </c>
      <c r="J212" s="244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2" t="str">
        <f t="shared" si="21"/>
        <v/>
      </c>
      <c r="E213" s="531"/>
      <c r="F213" s="531"/>
      <c r="G213" s="392"/>
      <c r="H213" s="243" t="str">
        <f t="shared" si="22"/>
        <v/>
      </c>
      <c r="I213" s="199">
        <f t="shared" si="23"/>
        <v>0</v>
      </c>
      <c r="J213" s="244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2" t="str">
        <f t="shared" si="21"/>
        <v/>
      </c>
      <c r="E214" s="531"/>
      <c r="F214" s="531"/>
      <c r="G214" s="392"/>
      <c r="H214" s="243" t="str">
        <f t="shared" si="22"/>
        <v/>
      </c>
      <c r="I214" s="199">
        <f t="shared" si="23"/>
        <v>0</v>
      </c>
      <c r="J214" s="244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2" t="str">
        <f t="shared" si="21"/>
        <v/>
      </c>
      <c r="E215" s="531"/>
      <c r="F215" s="531"/>
      <c r="G215" s="392"/>
      <c r="H215" s="243" t="str">
        <f t="shared" si="22"/>
        <v/>
      </c>
      <c r="I215" s="199">
        <f t="shared" si="23"/>
        <v>0</v>
      </c>
      <c r="J215" s="244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2" t="str">
        <f t="shared" si="21"/>
        <v/>
      </c>
      <c r="E216" s="531"/>
      <c r="F216" s="531"/>
      <c r="G216" s="392"/>
      <c r="H216" s="243" t="str">
        <f t="shared" si="22"/>
        <v/>
      </c>
      <c r="I216" s="199">
        <f t="shared" si="23"/>
        <v>0</v>
      </c>
      <c r="J216" s="244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2" t="str">
        <f t="shared" si="21"/>
        <v/>
      </c>
      <c r="E217" s="531"/>
      <c r="F217" s="531"/>
      <c r="G217" s="392"/>
      <c r="H217" s="243" t="str">
        <f t="shared" si="22"/>
        <v/>
      </c>
      <c r="I217" s="199">
        <f t="shared" si="23"/>
        <v>0</v>
      </c>
      <c r="J217" s="244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2" t="str">
        <f t="shared" si="21"/>
        <v/>
      </c>
      <c r="E218" s="531"/>
      <c r="F218" s="531"/>
      <c r="G218" s="392"/>
      <c r="H218" s="243" t="str">
        <f t="shared" si="22"/>
        <v/>
      </c>
      <c r="I218" s="199">
        <f t="shared" si="23"/>
        <v>0</v>
      </c>
      <c r="J218" s="244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2" t="str">
        <f t="shared" si="21"/>
        <v/>
      </c>
      <c r="E219" s="531"/>
      <c r="F219" s="531"/>
      <c r="G219" s="392"/>
      <c r="H219" s="243" t="str">
        <f t="shared" si="22"/>
        <v/>
      </c>
      <c r="I219" s="199">
        <f t="shared" si="23"/>
        <v>0</v>
      </c>
      <c r="J219" s="244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2" t="str">
        <f t="shared" si="21"/>
        <v/>
      </c>
      <c r="E220" s="531"/>
      <c r="F220" s="531"/>
      <c r="G220" s="392"/>
      <c r="H220" s="243" t="str">
        <f t="shared" si="22"/>
        <v/>
      </c>
      <c r="I220" s="199">
        <f t="shared" si="23"/>
        <v>0</v>
      </c>
      <c r="J220" s="244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2" t="str">
        <f t="shared" si="21"/>
        <v/>
      </c>
      <c r="E221" s="531"/>
      <c r="F221" s="531"/>
      <c r="G221" s="395"/>
      <c r="H221" s="243" t="str">
        <f t="shared" si="22"/>
        <v/>
      </c>
      <c r="I221" s="199">
        <f t="shared" si="23"/>
        <v>0</v>
      </c>
      <c r="J221" s="244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2" t="str">
        <f t="shared" si="21"/>
        <v/>
      </c>
      <c r="E222" s="531"/>
      <c r="F222" s="531"/>
      <c r="G222" s="198"/>
      <c r="H222" s="243" t="str">
        <f t="shared" si="22"/>
        <v/>
      </c>
      <c r="I222" s="199">
        <f t="shared" si="23"/>
        <v>0</v>
      </c>
      <c r="J222" s="244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2" t="str">
        <f t="shared" si="21"/>
        <v/>
      </c>
      <c r="E223" s="531"/>
      <c r="F223" s="531"/>
      <c r="G223" s="198"/>
      <c r="H223" s="243" t="str">
        <f t="shared" si="22"/>
        <v/>
      </c>
      <c r="I223" s="199">
        <f t="shared" si="23"/>
        <v>0</v>
      </c>
      <c r="J223" s="244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2" t="str">
        <f t="shared" si="21"/>
        <v/>
      </c>
      <c r="E224" s="531"/>
      <c r="F224" s="531"/>
      <c r="G224" s="198"/>
      <c r="H224" s="243" t="str">
        <f t="shared" si="22"/>
        <v/>
      </c>
      <c r="I224" s="199">
        <f t="shared" si="23"/>
        <v>0</v>
      </c>
      <c r="J224" s="244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2" t="str">
        <f t="shared" si="21"/>
        <v/>
      </c>
      <c r="E225" s="531"/>
      <c r="F225" s="531"/>
      <c r="G225" s="198"/>
      <c r="H225" s="243" t="str">
        <f t="shared" si="22"/>
        <v/>
      </c>
      <c r="I225" s="199">
        <f t="shared" si="23"/>
        <v>0</v>
      </c>
      <c r="J225" s="244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2" t="str">
        <f t="shared" si="21"/>
        <v/>
      </c>
      <c r="E226" s="531"/>
      <c r="F226" s="531"/>
      <c r="G226" s="198"/>
      <c r="H226" s="243" t="str">
        <f t="shared" si="22"/>
        <v/>
      </c>
      <c r="I226" s="199">
        <f t="shared" si="23"/>
        <v>0</v>
      </c>
      <c r="J226" s="244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2" t="str">
        <f t="shared" si="21"/>
        <v/>
      </c>
      <c r="E227" s="531"/>
      <c r="F227" s="531"/>
      <c r="G227" s="198"/>
      <c r="H227" s="243" t="str">
        <f t="shared" si="22"/>
        <v/>
      </c>
      <c r="I227" s="199">
        <f t="shared" si="23"/>
        <v>0</v>
      </c>
      <c r="J227" s="244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2" t="str">
        <f t="shared" si="21"/>
        <v/>
      </c>
      <c r="E228" s="531"/>
      <c r="F228" s="531"/>
      <c r="G228" s="198"/>
      <c r="H228" s="243" t="str">
        <f t="shared" si="22"/>
        <v/>
      </c>
      <c r="I228" s="199">
        <f t="shared" si="23"/>
        <v>0</v>
      </c>
      <c r="J228" s="244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2" t="str">
        <f t="shared" si="21"/>
        <v/>
      </c>
      <c r="E229" s="531"/>
      <c r="F229" s="531"/>
      <c r="G229" s="198"/>
      <c r="H229" s="243" t="str">
        <f t="shared" si="22"/>
        <v/>
      </c>
      <c r="I229" s="199">
        <f t="shared" si="23"/>
        <v>0</v>
      </c>
      <c r="J229" s="244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2" t="str">
        <f t="shared" si="21"/>
        <v/>
      </c>
      <c r="E230" s="531"/>
      <c r="F230" s="531"/>
      <c r="G230" s="198"/>
      <c r="H230" s="243" t="str">
        <f t="shared" si="22"/>
        <v/>
      </c>
      <c r="I230" s="199">
        <f t="shared" si="23"/>
        <v>0</v>
      </c>
      <c r="J230" s="244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2" t="str">
        <f t="shared" si="21"/>
        <v/>
      </c>
      <c r="E231" s="531"/>
      <c r="F231" s="531"/>
      <c r="G231" s="198"/>
      <c r="H231" s="243" t="str">
        <f t="shared" si="22"/>
        <v/>
      </c>
      <c r="I231" s="199">
        <f t="shared" si="23"/>
        <v>0</v>
      </c>
      <c r="J231" s="244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2" t="str">
        <f t="shared" si="21"/>
        <v/>
      </c>
      <c r="E232" s="531"/>
      <c r="F232" s="531"/>
      <c r="G232" s="198"/>
      <c r="H232" s="243" t="str">
        <f t="shared" si="22"/>
        <v/>
      </c>
      <c r="I232" s="199">
        <f t="shared" si="23"/>
        <v>0</v>
      </c>
      <c r="J232" s="244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2" t="str">
        <f t="shared" si="21"/>
        <v/>
      </c>
      <c r="E233" s="531"/>
      <c r="F233" s="531"/>
      <c r="G233" s="198"/>
      <c r="H233" s="243" t="str">
        <f t="shared" si="22"/>
        <v/>
      </c>
      <c r="I233" s="199">
        <f t="shared" si="23"/>
        <v>0</v>
      </c>
      <c r="J233" s="244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2" t="str">
        <f t="shared" si="21"/>
        <v/>
      </c>
      <c r="E234" s="531"/>
      <c r="F234" s="531"/>
      <c r="G234" s="198"/>
      <c r="H234" s="243" t="str">
        <f t="shared" si="22"/>
        <v/>
      </c>
      <c r="I234" s="199">
        <f t="shared" si="23"/>
        <v>0</v>
      </c>
      <c r="J234" s="244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2" t="str">
        <f t="shared" si="21"/>
        <v/>
      </c>
      <c r="E235" s="531"/>
      <c r="F235" s="531"/>
      <c r="G235" s="198"/>
      <c r="H235" s="243" t="str">
        <f t="shared" si="22"/>
        <v/>
      </c>
      <c r="I235" s="199">
        <f t="shared" si="23"/>
        <v>0</v>
      </c>
      <c r="J235" s="244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2" t="str">
        <f t="shared" si="21"/>
        <v/>
      </c>
      <c r="E236" s="531"/>
      <c r="F236" s="531"/>
      <c r="G236" s="198"/>
      <c r="H236" s="243" t="str">
        <f t="shared" si="22"/>
        <v/>
      </c>
      <c r="I236" s="199">
        <f t="shared" si="23"/>
        <v>0</v>
      </c>
      <c r="J236" s="244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2" t="str">
        <f t="shared" si="21"/>
        <v/>
      </c>
      <c r="E237" s="531"/>
      <c r="F237" s="531"/>
      <c r="G237" s="198"/>
      <c r="H237" s="243" t="str">
        <f t="shared" si="22"/>
        <v/>
      </c>
      <c r="I237" s="199">
        <f t="shared" si="23"/>
        <v>0</v>
      </c>
      <c r="J237" s="244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2" t="str">
        <f t="shared" si="21"/>
        <v/>
      </c>
      <c r="E238" s="531"/>
      <c r="F238" s="531"/>
      <c r="G238" s="198"/>
      <c r="H238" s="243" t="str">
        <f t="shared" si="22"/>
        <v/>
      </c>
      <c r="I238" s="199">
        <f t="shared" si="23"/>
        <v>0</v>
      </c>
      <c r="J238" s="244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2" t="str">
        <f t="shared" si="21"/>
        <v/>
      </c>
      <c r="E239" s="531"/>
      <c r="F239" s="531"/>
      <c r="G239" s="198"/>
      <c r="H239" s="243" t="str">
        <f t="shared" si="22"/>
        <v/>
      </c>
      <c r="I239" s="199">
        <f t="shared" si="23"/>
        <v>0</v>
      </c>
      <c r="J239" s="244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2" t="str">
        <f t="shared" si="21"/>
        <v/>
      </c>
      <c r="E240" s="531"/>
      <c r="F240" s="531"/>
      <c r="G240" s="198"/>
      <c r="H240" s="243" t="str">
        <f t="shared" si="22"/>
        <v/>
      </c>
      <c r="I240" s="199">
        <f t="shared" si="23"/>
        <v>0</v>
      </c>
      <c r="J240" s="244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2" t="str">
        <f t="shared" si="21"/>
        <v/>
      </c>
      <c r="E241" s="531"/>
      <c r="F241" s="531"/>
      <c r="G241" s="198"/>
      <c r="H241" s="243" t="str">
        <f t="shared" si="22"/>
        <v/>
      </c>
      <c r="I241" s="199">
        <f t="shared" si="23"/>
        <v>0</v>
      </c>
      <c r="J241" s="244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2" t="str">
        <f t="shared" si="21"/>
        <v/>
      </c>
      <c r="E242" s="531"/>
      <c r="F242" s="531"/>
      <c r="G242" s="198"/>
      <c r="H242" s="243" t="str">
        <f t="shared" si="22"/>
        <v/>
      </c>
      <c r="I242" s="199">
        <f t="shared" si="23"/>
        <v>0</v>
      </c>
      <c r="J242" s="244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2" t="str">
        <f t="shared" si="21"/>
        <v/>
      </c>
      <c r="E243" s="531"/>
      <c r="F243" s="531"/>
      <c r="G243" s="198"/>
      <c r="H243" s="243" t="str">
        <f t="shared" si="22"/>
        <v/>
      </c>
      <c r="I243" s="199">
        <f t="shared" si="23"/>
        <v>0</v>
      </c>
      <c r="J243" s="244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2" t="str">
        <f t="shared" si="21"/>
        <v/>
      </c>
      <c r="E244" s="531"/>
      <c r="F244" s="531"/>
      <c r="G244" s="198"/>
      <c r="H244" s="243" t="str">
        <f t="shared" si="22"/>
        <v/>
      </c>
      <c r="I244" s="199">
        <f t="shared" si="23"/>
        <v>0</v>
      </c>
      <c r="J244" s="244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2" t="str">
        <f t="shared" si="21"/>
        <v/>
      </c>
      <c r="E245" s="531"/>
      <c r="F245" s="531"/>
      <c r="G245" s="198"/>
      <c r="H245" s="243" t="str">
        <f t="shared" si="22"/>
        <v/>
      </c>
      <c r="I245" s="199">
        <f t="shared" si="23"/>
        <v>0</v>
      </c>
      <c r="J245" s="244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2" t="str">
        <f t="shared" si="21"/>
        <v/>
      </c>
      <c r="E246" s="531"/>
      <c r="F246" s="531"/>
      <c r="G246" s="198"/>
      <c r="H246" s="243" t="str">
        <f t="shared" si="22"/>
        <v/>
      </c>
      <c r="I246" s="199">
        <f t="shared" si="23"/>
        <v>0</v>
      </c>
      <c r="J246" s="244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2" t="str">
        <f t="shared" si="21"/>
        <v/>
      </c>
      <c r="E247" s="531"/>
      <c r="F247" s="531"/>
      <c r="G247" s="198"/>
      <c r="H247" s="243" t="str">
        <f t="shared" si="22"/>
        <v/>
      </c>
      <c r="I247" s="199">
        <f t="shared" si="23"/>
        <v>0</v>
      </c>
      <c r="J247" s="244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2" t="str">
        <f t="shared" si="21"/>
        <v/>
      </c>
      <c r="E248" s="531"/>
      <c r="F248" s="531"/>
      <c r="G248" s="198"/>
      <c r="H248" s="243" t="str">
        <f t="shared" si="22"/>
        <v/>
      </c>
      <c r="I248" s="199">
        <f t="shared" si="23"/>
        <v>0</v>
      </c>
      <c r="J248" s="244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2" t="str">
        <f t="shared" si="21"/>
        <v/>
      </c>
      <c r="E249" s="531"/>
      <c r="F249" s="531"/>
      <c r="G249" s="198"/>
      <c r="H249" s="243" t="str">
        <f t="shared" si="22"/>
        <v/>
      </c>
      <c r="I249" s="199">
        <f t="shared" si="23"/>
        <v>0</v>
      </c>
      <c r="J249" s="244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2" t="str">
        <f t="shared" si="21"/>
        <v/>
      </c>
      <c r="E250" s="531"/>
      <c r="F250" s="531"/>
      <c r="G250" s="198"/>
      <c r="H250" s="243" t="str">
        <f t="shared" si="22"/>
        <v/>
      </c>
      <c r="I250" s="199">
        <f t="shared" si="23"/>
        <v>0</v>
      </c>
      <c r="J250" s="244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2" t="str">
        <f t="shared" si="21"/>
        <v/>
      </c>
      <c r="E251" s="531"/>
      <c r="F251" s="531"/>
      <c r="G251" s="198"/>
      <c r="H251" s="243" t="str">
        <f t="shared" si="22"/>
        <v/>
      </c>
      <c r="I251" s="199">
        <f t="shared" si="23"/>
        <v>0</v>
      </c>
      <c r="J251" s="244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2" t="str">
        <f t="shared" si="21"/>
        <v/>
      </c>
      <c r="E252" s="531"/>
      <c r="F252" s="531"/>
      <c r="G252" s="198"/>
      <c r="H252" s="243" t="str">
        <f t="shared" si="22"/>
        <v/>
      </c>
      <c r="I252" s="199">
        <f t="shared" si="23"/>
        <v>0</v>
      </c>
      <c r="J252" s="244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2" t="str">
        <f t="shared" si="21"/>
        <v/>
      </c>
      <c r="E253" s="531"/>
      <c r="F253" s="531"/>
      <c r="G253" s="198"/>
      <c r="H253" s="243" t="str">
        <f t="shared" si="22"/>
        <v/>
      </c>
      <c r="I253" s="199">
        <f t="shared" si="23"/>
        <v>0</v>
      </c>
      <c r="J253" s="244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2" t="str">
        <f t="shared" si="21"/>
        <v/>
      </c>
      <c r="E254" s="531"/>
      <c r="F254" s="531"/>
      <c r="G254" s="198"/>
      <c r="H254" s="243" t="str">
        <f t="shared" si="22"/>
        <v/>
      </c>
      <c r="I254" s="199">
        <f t="shared" si="23"/>
        <v>0</v>
      </c>
      <c r="J254" s="244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2" t="str">
        <f t="shared" si="21"/>
        <v/>
      </c>
      <c r="E255" s="531"/>
      <c r="F255" s="531"/>
      <c r="G255" s="198"/>
      <c r="H255" s="243" t="str">
        <f t="shared" si="22"/>
        <v/>
      </c>
      <c r="I255" s="199">
        <f t="shared" si="23"/>
        <v>0</v>
      </c>
      <c r="J255" s="244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2" t="str">
        <f t="shared" si="21"/>
        <v/>
      </c>
      <c r="E256" s="531"/>
      <c r="F256" s="531"/>
      <c r="G256" s="198"/>
      <c r="H256" s="243" t="str">
        <f t="shared" si="22"/>
        <v/>
      </c>
      <c r="I256" s="199">
        <f t="shared" si="23"/>
        <v>0</v>
      </c>
      <c r="J256" s="244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2" t="str">
        <f t="shared" si="21"/>
        <v/>
      </c>
      <c r="E257" s="531"/>
      <c r="F257" s="531"/>
      <c r="G257" s="198"/>
      <c r="H257" s="243" t="str">
        <f t="shared" si="22"/>
        <v/>
      </c>
      <c r="I257" s="199">
        <f t="shared" si="23"/>
        <v>0</v>
      </c>
      <c r="J257" s="244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2" t="str">
        <f t="shared" si="21"/>
        <v/>
      </c>
      <c r="E258" s="531"/>
      <c r="F258" s="531"/>
      <c r="G258" s="198"/>
      <c r="H258" s="243" t="str">
        <f t="shared" si="22"/>
        <v/>
      </c>
      <c r="I258" s="199">
        <f t="shared" si="23"/>
        <v>0</v>
      </c>
      <c r="J258" s="244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2" t="str">
        <f t="shared" si="21"/>
        <v/>
      </c>
      <c r="E259" s="531"/>
      <c r="F259" s="531"/>
      <c r="G259" s="198"/>
      <c r="H259" s="243" t="str">
        <f t="shared" si="22"/>
        <v/>
      </c>
      <c r="I259" s="199">
        <f t="shared" si="23"/>
        <v>0</v>
      </c>
      <c r="J259" s="244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2" t="str">
        <f t="shared" si="21"/>
        <v/>
      </c>
      <c r="E260" s="531"/>
      <c r="F260" s="531"/>
      <c r="G260" s="198"/>
      <c r="H260" s="243" t="str">
        <f t="shared" si="22"/>
        <v/>
      </c>
      <c r="I260" s="199">
        <f t="shared" si="23"/>
        <v>0</v>
      </c>
      <c r="J260" s="244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2" t="str">
        <f t="shared" si="21"/>
        <v/>
      </c>
      <c r="E261" s="531"/>
      <c r="F261" s="531"/>
      <c r="G261" s="198"/>
      <c r="H261" s="243" t="str">
        <f t="shared" si="22"/>
        <v/>
      </c>
      <c r="I261" s="199">
        <f t="shared" si="23"/>
        <v>0</v>
      </c>
      <c r="J261" s="244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2" t="str">
        <f t="shared" si="21"/>
        <v/>
      </c>
      <c r="E262" s="531"/>
      <c r="F262" s="531"/>
      <c r="G262" s="198"/>
      <c r="H262" s="243" t="str">
        <f t="shared" si="22"/>
        <v/>
      </c>
      <c r="I262" s="199">
        <f t="shared" si="23"/>
        <v>0</v>
      </c>
      <c r="J262" s="244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2" t="str">
        <f t="shared" si="21"/>
        <v/>
      </c>
      <c r="E263" s="531"/>
      <c r="F263" s="531"/>
      <c r="G263" s="198"/>
      <c r="H263" s="243" t="str">
        <f t="shared" si="22"/>
        <v/>
      </c>
      <c r="I263" s="199">
        <f t="shared" si="23"/>
        <v>0</v>
      </c>
      <c r="J263" s="244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2" t="str">
        <f t="shared" ref="D264:D327" si="27">IF(A264&lt;&gt;"",PROPER(TEXT(A264,"Mmmm")),"")</f>
        <v/>
      </c>
      <c r="E264" s="531"/>
      <c r="F264" s="531"/>
      <c r="G264" s="198"/>
      <c r="H264" s="243" t="str">
        <f t="shared" ref="H264:H327" si="28">IF(G264=0,"",G264*$H$5)</f>
        <v/>
      </c>
      <c r="I264" s="199">
        <f t="shared" ref="I264:I327" si="29">G264</f>
        <v>0</v>
      </c>
      <c r="J264" s="244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2" t="str">
        <f t="shared" si="27"/>
        <v/>
      </c>
      <c r="E265" s="531"/>
      <c r="F265" s="531"/>
      <c r="G265" s="198"/>
      <c r="H265" s="243" t="str">
        <f t="shared" si="28"/>
        <v/>
      </c>
      <c r="I265" s="199">
        <f t="shared" si="29"/>
        <v>0</v>
      </c>
      <c r="J265" s="244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2" t="str">
        <f t="shared" si="27"/>
        <v/>
      </c>
      <c r="E266" s="531"/>
      <c r="F266" s="531"/>
      <c r="G266" s="198"/>
      <c r="H266" s="243" t="str">
        <f t="shared" si="28"/>
        <v/>
      </c>
      <c r="I266" s="199">
        <f t="shared" si="29"/>
        <v>0</v>
      </c>
      <c r="J266" s="244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2" t="str">
        <f t="shared" si="27"/>
        <v/>
      </c>
      <c r="E267" s="531"/>
      <c r="F267" s="531"/>
      <c r="G267" s="198"/>
      <c r="H267" s="243" t="str">
        <f t="shared" si="28"/>
        <v/>
      </c>
      <c r="I267" s="199">
        <f t="shared" si="29"/>
        <v>0</v>
      </c>
      <c r="J267" s="244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2" t="str">
        <f t="shared" si="27"/>
        <v/>
      </c>
      <c r="E268" s="531"/>
      <c r="F268" s="531"/>
      <c r="G268" s="198"/>
      <c r="H268" s="243" t="str">
        <f t="shared" si="28"/>
        <v/>
      </c>
      <c r="I268" s="199">
        <f t="shared" si="29"/>
        <v>0</v>
      </c>
      <c r="J268" s="244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2" t="str">
        <f t="shared" si="27"/>
        <v/>
      </c>
      <c r="E269" s="531"/>
      <c r="F269" s="531"/>
      <c r="G269" s="198"/>
      <c r="H269" s="243" t="str">
        <f t="shared" si="28"/>
        <v/>
      </c>
      <c r="I269" s="199">
        <f t="shared" si="29"/>
        <v>0</v>
      </c>
      <c r="J269" s="244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2" t="str">
        <f t="shared" si="27"/>
        <v/>
      </c>
      <c r="E270" s="531"/>
      <c r="F270" s="531"/>
      <c r="G270" s="198"/>
      <c r="H270" s="243" t="str">
        <f t="shared" si="28"/>
        <v/>
      </c>
      <c r="I270" s="199">
        <f t="shared" si="29"/>
        <v>0</v>
      </c>
      <c r="J270" s="244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2" t="str">
        <f t="shared" si="27"/>
        <v/>
      </c>
      <c r="E271" s="531"/>
      <c r="F271" s="531"/>
      <c r="G271" s="198"/>
      <c r="H271" s="243" t="str">
        <f t="shared" si="28"/>
        <v/>
      </c>
      <c r="I271" s="199">
        <f t="shared" si="29"/>
        <v>0</v>
      </c>
      <c r="J271" s="244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2" t="str">
        <f t="shared" si="27"/>
        <v/>
      </c>
      <c r="E272" s="531"/>
      <c r="F272" s="531"/>
      <c r="G272" s="198"/>
      <c r="H272" s="243" t="str">
        <f t="shared" si="28"/>
        <v/>
      </c>
      <c r="I272" s="199">
        <f t="shared" si="29"/>
        <v>0</v>
      </c>
      <c r="J272" s="244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2" t="str">
        <f t="shared" si="27"/>
        <v/>
      </c>
      <c r="E273" s="531"/>
      <c r="F273" s="531"/>
      <c r="G273" s="198"/>
      <c r="H273" s="243" t="str">
        <f t="shared" si="28"/>
        <v/>
      </c>
      <c r="I273" s="199">
        <f t="shared" si="29"/>
        <v>0</v>
      </c>
      <c r="J273" s="244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2" t="str">
        <f t="shared" si="27"/>
        <v/>
      </c>
      <c r="E274" s="531"/>
      <c r="F274" s="531"/>
      <c r="G274" s="198"/>
      <c r="H274" s="243" t="str">
        <f t="shared" si="28"/>
        <v/>
      </c>
      <c r="I274" s="199">
        <f t="shared" si="29"/>
        <v>0</v>
      </c>
      <c r="J274" s="244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2" t="str">
        <f t="shared" si="27"/>
        <v/>
      </c>
      <c r="E275" s="531"/>
      <c r="F275" s="531"/>
      <c r="G275" s="198"/>
      <c r="H275" s="243" t="str">
        <f t="shared" si="28"/>
        <v/>
      </c>
      <c r="I275" s="199">
        <f t="shared" si="29"/>
        <v>0</v>
      </c>
      <c r="J275" s="244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2" t="str">
        <f t="shared" si="27"/>
        <v/>
      </c>
      <c r="E276" s="531"/>
      <c r="F276" s="531"/>
      <c r="G276" s="198"/>
      <c r="H276" s="243" t="str">
        <f t="shared" si="28"/>
        <v/>
      </c>
      <c r="I276" s="199">
        <f t="shared" si="29"/>
        <v>0</v>
      </c>
      <c r="J276" s="244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2" t="str">
        <f t="shared" si="27"/>
        <v/>
      </c>
      <c r="E277" s="531"/>
      <c r="F277" s="531"/>
      <c r="G277" s="198"/>
      <c r="H277" s="243" t="str">
        <f t="shared" si="28"/>
        <v/>
      </c>
      <c r="I277" s="199">
        <f t="shared" si="29"/>
        <v>0</v>
      </c>
      <c r="J277" s="244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2" t="str">
        <f t="shared" si="27"/>
        <v/>
      </c>
      <c r="E278" s="531"/>
      <c r="F278" s="531"/>
      <c r="G278" s="198"/>
      <c r="H278" s="243" t="str">
        <f t="shared" si="28"/>
        <v/>
      </c>
      <c r="I278" s="199">
        <f t="shared" si="29"/>
        <v>0</v>
      </c>
      <c r="J278" s="244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2" t="str">
        <f t="shared" si="27"/>
        <v/>
      </c>
      <c r="E279" s="531"/>
      <c r="F279" s="531"/>
      <c r="G279" s="198"/>
      <c r="H279" s="243" t="str">
        <f t="shared" si="28"/>
        <v/>
      </c>
      <c r="I279" s="199">
        <f t="shared" si="29"/>
        <v>0</v>
      </c>
      <c r="J279" s="244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2" t="str">
        <f t="shared" si="27"/>
        <v/>
      </c>
      <c r="E280" s="531"/>
      <c r="F280" s="531"/>
      <c r="G280" s="198"/>
      <c r="H280" s="243" t="str">
        <f t="shared" si="28"/>
        <v/>
      </c>
      <c r="I280" s="199">
        <f t="shared" si="29"/>
        <v>0</v>
      </c>
      <c r="J280" s="244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2" t="str">
        <f t="shared" si="27"/>
        <v/>
      </c>
      <c r="E281" s="531"/>
      <c r="F281" s="531"/>
      <c r="G281" s="198"/>
      <c r="H281" s="243" t="str">
        <f t="shared" si="28"/>
        <v/>
      </c>
      <c r="I281" s="199">
        <f t="shared" si="29"/>
        <v>0</v>
      </c>
      <c r="J281" s="244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2" t="str">
        <f t="shared" si="27"/>
        <v/>
      </c>
      <c r="E282" s="531"/>
      <c r="F282" s="531"/>
      <c r="G282" s="198"/>
      <c r="H282" s="243" t="str">
        <f t="shared" si="28"/>
        <v/>
      </c>
      <c r="I282" s="199">
        <f t="shared" si="29"/>
        <v>0</v>
      </c>
      <c r="J282" s="244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2" t="str">
        <f t="shared" si="27"/>
        <v/>
      </c>
      <c r="E283" s="531"/>
      <c r="F283" s="531"/>
      <c r="G283" s="198"/>
      <c r="H283" s="243" t="str">
        <f t="shared" si="28"/>
        <v/>
      </c>
      <c r="I283" s="199">
        <f t="shared" si="29"/>
        <v>0</v>
      </c>
      <c r="J283" s="244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2" t="str">
        <f t="shared" si="27"/>
        <v/>
      </c>
      <c r="E284" s="531"/>
      <c r="F284" s="531"/>
      <c r="G284" s="198"/>
      <c r="H284" s="243" t="str">
        <f t="shared" si="28"/>
        <v/>
      </c>
      <c r="I284" s="199">
        <f t="shared" si="29"/>
        <v>0</v>
      </c>
      <c r="J284" s="244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2" t="str">
        <f t="shared" si="27"/>
        <v/>
      </c>
      <c r="E285" s="531"/>
      <c r="F285" s="531"/>
      <c r="G285" s="198"/>
      <c r="H285" s="243" t="str">
        <f t="shared" si="28"/>
        <v/>
      </c>
      <c r="I285" s="199">
        <f t="shared" si="29"/>
        <v>0</v>
      </c>
      <c r="J285" s="244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2" t="str">
        <f t="shared" si="27"/>
        <v/>
      </c>
      <c r="E286" s="531"/>
      <c r="F286" s="531"/>
      <c r="G286" s="198"/>
      <c r="H286" s="243" t="str">
        <f t="shared" si="28"/>
        <v/>
      </c>
      <c r="I286" s="199">
        <f t="shared" si="29"/>
        <v>0</v>
      </c>
      <c r="J286" s="244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2" t="str">
        <f t="shared" si="27"/>
        <v/>
      </c>
      <c r="E287" s="531"/>
      <c r="F287" s="531"/>
      <c r="G287" s="198"/>
      <c r="H287" s="243" t="str">
        <f t="shared" si="28"/>
        <v/>
      </c>
      <c r="I287" s="199">
        <f t="shared" si="29"/>
        <v>0</v>
      </c>
      <c r="J287" s="244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2" t="str">
        <f t="shared" si="27"/>
        <v/>
      </c>
      <c r="E288" s="531"/>
      <c r="F288" s="531"/>
      <c r="G288" s="198"/>
      <c r="H288" s="243" t="str">
        <f t="shared" si="28"/>
        <v/>
      </c>
      <c r="I288" s="199">
        <f t="shared" si="29"/>
        <v>0</v>
      </c>
      <c r="J288" s="244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2" t="str">
        <f t="shared" si="27"/>
        <v/>
      </c>
      <c r="E289" s="531"/>
      <c r="F289" s="531"/>
      <c r="G289" s="198"/>
      <c r="H289" s="243" t="str">
        <f t="shared" si="28"/>
        <v/>
      </c>
      <c r="I289" s="199">
        <f t="shared" si="29"/>
        <v>0</v>
      </c>
      <c r="J289" s="244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2" t="str">
        <f t="shared" si="27"/>
        <v/>
      </c>
      <c r="E290" s="531"/>
      <c r="F290" s="531"/>
      <c r="G290" s="198"/>
      <c r="H290" s="243" t="str">
        <f t="shared" si="28"/>
        <v/>
      </c>
      <c r="I290" s="199">
        <f t="shared" si="29"/>
        <v>0</v>
      </c>
      <c r="J290" s="244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2" t="str">
        <f t="shared" si="27"/>
        <v/>
      </c>
      <c r="E291" s="531"/>
      <c r="F291" s="531"/>
      <c r="G291" s="198"/>
      <c r="H291" s="243" t="str">
        <f t="shared" si="28"/>
        <v/>
      </c>
      <c r="I291" s="199">
        <f t="shared" si="29"/>
        <v>0</v>
      </c>
      <c r="J291" s="244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2" t="str">
        <f t="shared" si="27"/>
        <v/>
      </c>
      <c r="E292" s="531"/>
      <c r="F292" s="531"/>
      <c r="G292" s="198"/>
      <c r="H292" s="243" t="str">
        <f t="shared" si="28"/>
        <v/>
      </c>
      <c r="I292" s="199">
        <f t="shared" si="29"/>
        <v>0</v>
      </c>
      <c r="J292" s="244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2" t="str">
        <f t="shared" si="27"/>
        <v/>
      </c>
      <c r="E293" s="531"/>
      <c r="F293" s="531"/>
      <c r="G293" s="198"/>
      <c r="H293" s="243" t="str">
        <f t="shared" si="28"/>
        <v/>
      </c>
      <c r="I293" s="199">
        <f t="shared" si="29"/>
        <v>0</v>
      </c>
      <c r="J293" s="244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2" t="str">
        <f t="shared" si="27"/>
        <v/>
      </c>
      <c r="E294" s="531"/>
      <c r="F294" s="531"/>
      <c r="G294" s="198"/>
      <c r="H294" s="243" t="str">
        <f t="shared" si="28"/>
        <v/>
      </c>
      <c r="I294" s="199">
        <f t="shared" si="29"/>
        <v>0</v>
      </c>
      <c r="J294" s="244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2" t="str">
        <f t="shared" si="27"/>
        <v/>
      </c>
      <c r="E295" s="531"/>
      <c r="F295" s="531"/>
      <c r="G295" s="198"/>
      <c r="H295" s="243" t="str">
        <f t="shared" si="28"/>
        <v/>
      </c>
      <c r="I295" s="199">
        <f t="shared" si="29"/>
        <v>0</v>
      </c>
      <c r="J295" s="244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2" t="str">
        <f t="shared" si="27"/>
        <v/>
      </c>
      <c r="E296" s="531"/>
      <c r="F296" s="531"/>
      <c r="G296" s="198"/>
      <c r="H296" s="243" t="str">
        <f t="shared" si="28"/>
        <v/>
      </c>
      <c r="I296" s="199">
        <f t="shared" si="29"/>
        <v>0</v>
      </c>
      <c r="J296" s="244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2" t="str">
        <f t="shared" si="27"/>
        <v/>
      </c>
      <c r="E297" s="531"/>
      <c r="F297" s="531"/>
      <c r="G297" s="198"/>
      <c r="H297" s="243" t="str">
        <f t="shared" si="28"/>
        <v/>
      </c>
      <c r="I297" s="199">
        <f t="shared" si="29"/>
        <v>0</v>
      </c>
      <c r="J297" s="244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2" t="str">
        <f t="shared" si="27"/>
        <v/>
      </c>
      <c r="E298" s="531"/>
      <c r="F298" s="531"/>
      <c r="G298" s="198"/>
      <c r="H298" s="243" t="str">
        <f t="shared" si="28"/>
        <v/>
      </c>
      <c r="I298" s="199">
        <f t="shared" si="29"/>
        <v>0</v>
      </c>
      <c r="J298" s="244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2" t="str">
        <f t="shared" si="27"/>
        <v/>
      </c>
      <c r="E299" s="531"/>
      <c r="F299" s="531"/>
      <c r="G299" s="198"/>
      <c r="H299" s="243" t="str">
        <f t="shared" si="28"/>
        <v/>
      </c>
      <c r="I299" s="199">
        <f t="shared" si="29"/>
        <v>0</v>
      </c>
      <c r="J299" s="244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2" t="str">
        <f t="shared" si="27"/>
        <v/>
      </c>
      <c r="E300" s="531"/>
      <c r="F300" s="531"/>
      <c r="G300" s="198"/>
      <c r="H300" s="243" t="str">
        <f t="shared" si="28"/>
        <v/>
      </c>
      <c r="I300" s="199">
        <f t="shared" si="29"/>
        <v>0</v>
      </c>
      <c r="J300" s="244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2" t="str">
        <f t="shared" si="27"/>
        <v/>
      </c>
      <c r="E301" s="531"/>
      <c r="F301" s="531"/>
      <c r="G301" s="198"/>
      <c r="H301" s="243" t="str">
        <f t="shared" si="28"/>
        <v/>
      </c>
      <c r="I301" s="199">
        <f t="shared" si="29"/>
        <v>0</v>
      </c>
      <c r="J301" s="244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2" t="str">
        <f t="shared" si="27"/>
        <v/>
      </c>
      <c r="E302" s="531"/>
      <c r="F302" s="531"/>
      <c r="G302" s="198"/>
      <c r="H302" s="243" t="str">
        <f t="shared" si="28"/>
        <v/>
      </c>
      <c r="I302" s="199">
        <f t="shared" si="29"/>
        <v>0</v>
      </c>
      <c r="J302" s="244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2" t="str">
        <f t="shared" si="27"/>
        <v/>
      </c>
      <c r="E303" s="531"/>
      <c r="F303" s="531"/>
      <c r="G303" s="198"/>
      <c r="H303" s="243" t="str">
        <f t="shared" si="28"/>
        <v/>
      </c>
      <c r="I303" s="199">
        <f t="shared" si="29"/>
        <v>0</v>
      </c>
      <c r="J303" s="244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2" t="str">
        <f t="shared" si="27"/>
        <v/>
      </c>
      <c r="E304" s="531"/>
      <c r="F304" s="531"/>
      <c r="G304" s="198"/>
      <c r="H304" s="243" t="str">
        <f t="shared" si="28"/>
        <v/>
      </c>
      <c r="I304" s="199">
        <f t="shared" si="29"/>
        <v>0</v>
      </c>
      <c r="J304" s="244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2" t="str">
        <f t="shared" si="27"/>
        <v/>
      </c>
      <c r="E305" s="531"/>
      <c r="F305" s="531"/>
      <c r="G305" s="198"/>
      <c r="H305" s="243" t="str">
        <f t="shared" si="28"/>
        <v/>
      </c>
      <c r="I305" s="199">
        <f t="shared" si="29"/>
        <v>0</v>
      </c>
      <c r="J305" s="244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2" t="str">
        <f t="shared" si="27"/>
        <v/>
      </c>
      <c r="E306" s="531"/>
      <c r="F306" s="531"/>
      <c r="G306" s="198"/>
      <c r="H306" s="243" t="str">
        <f t="shared" si="28"/>
        <v/>
      </c>
      <c r="I306" s="199">
        <f t="shared" si="29"/>
        <v>0</v>
      </c>
      <c r="J306" s="244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2" t="str">
        <f t="shared" si="27"/>
        <v/>
      </c>
      <c r="E307" s="531"/>
      <c r="F307" s="531"/>
      <c r="G307" s="198"/>
      <c r="H307" s="243" t="str">
        <f t="shared" si="28"/>
        <v/>
      </c>
      <c r="I307" s="199">
        <f t="shared" si="29"/>
        <v>0</v>
      </c>
      <c r="J307" s="244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2" t="str">
        <f t="shared" si="27"/>
        <v/>
      </c>
      <c r="E308" s="531"/>
      <c r="F308" s="531"/>
      <c r="G308" s="198"/>
      <c r="H308" s="243" t="str">
        <f t="shared" si="28"/>
        <v/>
      </c>
      <c r="I308" s="199">
        <f t="shared" si="29"/>
        <v>0</v>
      </c>
      <c r="J308" s="244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2" t="str">
        <f t="shared" si="27"/>
        <v/>
      </c>
      <c r="E309" s="531"/>
      <c r="F309" s="531"/>
      <c r="G309" s="198"/>
      <c r="H309" s="243" t="str">
        <f t="shared" si="28"/>
        <v/>
      </c>
      <c r="I309" s="199">
        <f t="shared" si="29"/>
        <v>0</v>
      </c>
      <c r="J309" s="244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2" t="str">
        <f t="shared" si="27"/>
        <v/>
      </c>
      <c r="E310" s="531"/>
      <c r="F310" s="531"/>
      <c r="G310" s="198"/>
      <c r="H310" s="243" t="str">
        <f t="shared" si="28"/>
        <v/>
      </c>
      <c r="I310" s="199">
        <f t="shared" si="29"/>
        <v>0</v>
      </c>
      <c r="J310" s="244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2" t="str">
        <f t="shared" si="27"/>
        <v/>
      </c>
      <c r="E311" s="531"/>
      <c r="F311" s="531"/>
      <c r="G311" s="198"/>
      <c r="H311" s="243" t="str">
        <f t="shared" si="28"/>
        <v/>
      </c>
      <c r="I311" s="199">
        <f t="shared" si="29"/>
        <v>0</v>
      </c>
      <c r="J311" s="244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2" t="str">
        <f t="shared" si="27"/>
        <v/>
      </c>
      <c r="E312" s="531"/>
      <c r="F312" s="531"/>
      <c r="G312" s="198"/>
      <c r="H312" s="243" t="str">
        <f t="shared" si="28"/>
        <v/>
      </c>
      <c r="I312" s="199">
        <f t="shared" si="29"/>
        <v>0</v>
      </c>
      <c r="J312" s="244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2" t="str">
        <f t="shared" si="27"/>
        <v/>
      </c>
      <c r="E313" s="531"/>
      <c r="F313" s="531"/>
      <c r="G313" s="198"/>
      <c r="H313" s="243" t="str">
        <f t="shared" si="28"/>
        <v/>
      </c>
      <c r="I313" s="199">
        <f t="shared" si="29"/>
        <v>0</v>
      </c>
      <c r="J313" s="244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2" t="str">
        <f t="shared" si="27"/>
        <v/>
      </c>
      <c r="E314" s="531"/>
      <c r="F314" s="531"/>
      <c r="G314" s="198"/>
      <c r="H314" s="243" t="str">
        <f t="shared" si="28"/>
        <v/>
      </c>
      <c r="I314" s="199">
        <f t="shared" si="29"/>
        <v>0</v>
      </c>
      <c r="J314" s="244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2" t="str">
        <f t="shared" si="27"/>
        <v/>
      </c>
      <c r="E315" s="531"/>
      <c r="F315" s="531"/>
      <c r="G315" s="198"/>
      <c r="H315" s="243" t="str">
        <f t="shared" si="28"/>
        <v/>
      </c>
      <c r="I315" s="199">
        <f t="shared" si="29"/>
        <v>0</v>
      </c>
      <c r="J315" s="244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2" t="str">
        <f t="shared" si="27"/>
        <v/>
      </c>
      <c r="E316" s="531"/>
      <c r="F316" s="531"/>
      <c r="G316" s="198"/>
      <c r="H316" s="243" t="str">
        <f t="shared" si="28"/>
        <v/>
      </c>
      <c r="I316" s="199">
        <f t="shared" si="29"/>
        <v>0</v>
      </c>
      <c r="J316" s="244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2" t="str">
        <f t="shared" si="27"/>
        <v/>
      </c>
      <c r="E317" s="531"/>
      <c r="F317" s="531"/>
      <c r="G317" s="198"/>
      <c r="H317" s="243" t="str">
        <f t="shared" si="28"/>
        <v/>
      </c>
      <c r="I317" s="199">
        <f t="shared" si="29"/>
        <v>0</v>
      </c>
      <c r="J317" s="244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2" t="str">
        <f t="shared" si="27"/>
        <v/>
      </c>
      <c r="E318" s="531"/>
      <c r="F318" s="531"/>
      <c r="G318" s="198"/>
      <c r="H318" s="243" t="str">
        <f t="shared" si="28"/>
        <v/>
      </c>
      <c r="I318" s="199">
        <f t="shared" si="29"/>
        <v>0</v>
      </c>
      <c r="J318" s="244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2" t="str">
        <f t="shared" si="27"/>
        <v/>
      </c>
      <c r="E319" s="531"/>
      <c r="F319" s="531"/>
      <c r="G319" s="198"/>
      <c r="H319" s="243" t="str">
        <f t="shared" si="28"/>
        <v/>
      </c>
      <c r="I319" s="199">
        <f t="shared" si="29"/>
        <v>0</v>
      </c>
      <c r="J319" s="244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2" t="str">
        <f t="shared" si="27"/>
        <v/>
      </c>
      <c r="E320" s="531"/>
      <c r="F320" s="531"/>
      <c r="G320" s="198"/>
      <c r="H320" s="243" t="str">
        <f t="shared" si="28"/>
        <v/>
      </c>
      <c r="I320" s="199">
        <f t="shared" si="29"/>
        <v>0</v>
      </c>
      <c r="J320" s="244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2" t="str">
        <f t="shared" si="27"/>
        <v/>
      </c>
      <c r="E321" s="531"/>
      <c r="F321" s="531"/>
      <c r="G321" s="198"/>
      <c r="H321" s="243" t="str">
        <f t="shared" si="28"/>
        <v/>
      </c>
      <c r="I321" s="199">
        <f t="shared" si="29"/>
        <v>0</v>
      </c>
      <c r="J321" s="244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2" t="str">
        <f t="shared" si="27"/>
        <v/>
      </c>
      <c r="E322" s="531"/>
      <c r="F322" s="531"/>
      <c r="G322" s="198"/>
      <c r="H322" s="243" t="str">
        <f t="shared" si="28"/>
        <v/>
      </c>
      <c r="I322" s="199">
        <f t="shared" si="29"/>
        <v>0</v>
      </c>
      <c r="J322" s="244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2" t="str">
        <f t="shared" si="27"/>
        <v/>
      </c>
      <c r="E323" s="531"/>
      <c r="F323" s="531"/>
      <c r="G323" s="198"/>
      <c r="H323" s="243" t="str">
        <f t="shared" si="28"/>
        <v/>
      </c>
      <c r="I323" s="199">
        <f t="shared" si="29"/>
        <v>0</v>
      </c>
      <c r="J323" s="244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2" t="str">
        <f t="shared" si="27"/>
        <v/>
      </c>
      <c r="E324" s="531"/>
      <c r="F324" s="531"/>
      <c r="G324" s="198"/>
      <c r="H324" s="243" t="str">
        <f t="shared" si="28"/>
        <v/>
      </c>
      <c r="I324" s="199">
        <f t="shared" si="29"/>
        <v>0</v>
      </c>
      <c r="J324" s="244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2" t="str">
        <f t="shared" si="27"/>
        <v/>
      </c>
      <c r="E325" s="531"/>
      <c r="F325" s="531"/>
      <c r="G325" s="198"/>
      <c r="H325" s="243" t="str">
        <f t="shared" si="28"/>
        <v/>
      </c>
      <c r="I325" s="199">
        <f t="shared" si="29"/>
        <v>0</v>
      </c>
      <c r="J325" s="244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2" t="str">
        <f t="shared" si="27"/>
        <v/>
      </c>
      <c r="E326" s="531"/>
      <c r="F326" s="531"/>
      <c r="G326" s="198"/>
      <c r="H326" s="243" t="str">
        <f t="shared" si="28"/>
        <v/>
      </c>
      <c r="I326" s="199">
        <f t="shared" si="29"/>
        <v>0</v>
      </c>
      <c r="J326" s="244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2" t="str">
        <f t="shared" si="27"/>
        <v/>
      </c>
      <c r="E327" s="531"/>
      <c r="F327" s="531"/>
      <c r="G327" s="198"/>
      <c r="H327" s="243" t="str">
        <f t="shared" si="28"/>
        <v/>
      </c>
      <c r="I327" s="199">
        <f t="shared" si="29"/>
        <v>0</v>
      </c>
      <c r="J327" s="244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2" t="str">
        <f t="shared" ref="D328:D341" si="33">IF(A328&lt;&gt;"",PROPER(TEXT(A328,"Mmmm")),"")</f>
        <v/>
      </c>
      <c r="E328" s="531"/>
      <c r="F328" s="531"/>
      <c r="G328" s="198"/>
      <c r="H328" s="243" t="str">
        <f t="shared" ref="H328:H391" si="34">IF(G328=0,"",G328*$H$5)</f>
        <v/>
      </c>
      <c r="I328" s="199">
        <f t="shared" ref="I328:I341" si="35">G328</f>
        <v>0</v>
      </c>
      <c r="J328" s="244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2" t="str">
        <f t="shared" si="33"/>
        <v/>
      </c>
      <c r="E329" s="531"/>
      <c r="F329" s="531"/>
      <c r="G329" s="198"/>
      <c r="H329" s="243" t="str">
        <f t="shared" si="34"/>
        <v/>
      </c>
      <c r="I329" s="199">
        <f t="shared" si="35"/>
        <v>0</v>
      </c>
      <c r="J329" s="244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2" t="str">
        <f t="shared" si="33"/>
        <v/>
      </c>
      <c r="E330" s="531"/>
      <c r="F330" s="531"/>
      <c r="G330" s="198"/>
      <c r="H330" s="243" t="str">
        <f t="shared" si="34"/>
        <v/>
      </c>
      <c r="I330" s="199">
        <f t="shared" si="35"/>
        <v>0</v>
      </c>
      <c r="J330" s="244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2" t="str">
        <f t="shared" si="33"/>
        <v/>
      </c>
      <c r="E331" s="531"/>
      <c r="F331" s="531"/>
      <c r="G331" s="198"/>
      <c r="H331" s="243" t="str">
        <f t="shared" si="34"/>
        <v/>
      </c>
      <c r="I331" s="199">
        <f t="shared" si="35"/>
        <v>0</v>
      </c>
      <c r="J331" s="244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2" t="str">
        <f t="shared" si="33"/>
        <v/>
      </c>
      <c r="E332" s="531"/>
      <c r="F332" s="531"/>
      <c r="G332" s="198"/>
      <c r="H332" s="243" t="str">
        <f t="shared" si="34"/>
        <v/>
      </c>
      <c r="I332" s="199">
        <f t="shared" si="35"/>
        <v>0</v>
      </c>
      <c r="J332" s="244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2" t="str">
        <f t="shared" si="33"/>
        <v/>
      </c>
      <c r="E333" s="531"/>
      <c r="F333" s="531"/>
      <c r="G333" s="198"/>
      <c r="H333" s="243" t="str">
        <f t="shared" si="34"/>
        <v/>
      </c>
      <c r="I333" s="199">
        <f t="shared" si="35"/>
        <v>0</v>
      </c>
      <c r="J333" s="244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2" t="str">
        <f t="shared" si="33"/>
        <v/>
      </c>
      <c r="E334" s="531"/>
      <c r="F334" s="531"/>
      <c r="G334" s="198"/>
      <c r="H334" s="243" t="str">
        <f t="shared" si="34"/>
        <v/>
      </c>
      <c r="I334" s="199">
        <f t="shared" si="35"/>
        <v>0</v>
      </c>
      <c r="J334" s="244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2" t="str">
        <f t="shared" si="33"/>
        <v/>
      </c>
      <c r="E335" s="531"/>
      <c r="F335" s="531"/>
      <c r="G335" s="198"/>
      <c r="H335" s="243" t="str">
        <f t="shared" si="34"/>
        <v/>
      </c>
      <c r="I335" s="199">
        <f t="shared" si="35"/>
        <v>0</v>
      </c>
      <c r="J335" s="244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2" t="str">
        <f t="shared" si="33"/>
        <v/>
      </c>
      <c r="E336" s="531"/>
      <c r="F336" s="531"/>
      <c r="G336" s="198"/>
      <c r="H336" s="243" t="str">
        <f t="shared" si="34"/>
        <v/>
      </c>
      <c r="I336" s="199">
        <f t="shared" si="35"/>
        <v>0</v>
      </c>
      <c r="J336" s="244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2" t="str">
        <f t="shared" si="33"/>
        <v/>
      </c>
      <c r="E337" s="531"/>
      <c r="F337" s="531"/>
      <c r="G337" s="198"/>
      <c r="H337" s="243" t="str">
        <f t="shared" si="34"/>
        <v/>
      </c>
      <c r="I337" s="199">
        <f t="shared" si="35"/>
        <v>0</v>
      </c>
      <c r="J337" s="244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2" t="str">
        <f t="shared" si="33"/>
        <v/>
      </c>
      <c r="E338" s="531"/>
      <c r="F338" s="531"/>
      <c r="G338" s="198"/>
      <c r="H338" s="243" t="str">
        <f t="shared" si="34"/>
        <v/>
      </c>
      <c r="I338" s="199">
        <f t="shared" si="35"/>
        <v>0</v>
      </c>
      <c r="J338" s="244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2" t="str">
        <f t="shared" si="33"/>
        <v/>
      </c>
      <c r="E339" s="531"/>
      <c r="F339" s="531"/>
      <c r="G339" s="198"/>
      <c r="H339" s="243" t="str">
        <f t="shared" si="34"/>
        <v/>
      </c>
      <c r="I339" s="199">
        <f t="shared" si="35"/>
        <v>0</v>
      </c>
      <c r="J339" s="244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2" t="str">
        <f t="shared" si="33"/>
        <v/>
      </c>
      <c r="E340" s="531"/>
      <c r="F340" s="531"/>
      <c r="G340" s="198"/>
      <c r="H340" s="243" t="str">
        <f t="shared" si="34"/>
        <v/>
      </c>
      <c r="I340" s="199">
        <f t="shared" si="35"/>
        <v>0</v>
      </c>
      <c r="J340" s="244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2" t="str">
        <f t="shared" si="33"/>
        <v/>
      </c>
      <c r="E341" s="531"/>
      <c r="F341" s="531"/>
      <c r="G341" s="198"/>
      <c r="H341" s="243" t="str">
        <f t="shared" si="34"/>
        <v/>
      </c>
      <c r="I341" s="199">
        <f t="shared" si="35"/>
        <v>0</v>
      </c>
      <c r="J341" s="244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2" t="str">
        <f t="shared" ref="D342:D392" si="39">IF(A342&lt;&gt;"",PROPER(TEXT(A342,"Mmmm")),"")</f>
        <v/>
      </c>
      <c r="E342" s="531"/>
      <c r="F342" s="531"/>
      <c r="G342" s="198"/>
      <c r="H342" s="243" t="str">
        <f t="shared" si="34"/>
        <v/>
      </c>
      <c r="I342" s="199" t="e">
        <f>IF(#REF!="","",#REF!+G342+#REF!+#REF!+#REF!+H342)</f>
        <v>#REF!</v>
      </c>
      <c r="J342" s="244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2" t="str">
        <f t="shared" si="39"/>
        <v/>
      </c>
      <c r="E343" s="531"/>
      <c r="F343" s="531"/>
      <c r="G343" s="198"/>
      <c r="H343" s="243" t="str">
        <f t="shared" si="34"/>
        <v/>
      </c>
      <c r="I343" s="199" t="e">
        <f>IF(#REF!="","",#REF!+G343+#REF!+#REF!+#REF!+H343)</f>
        <v>#REF!</v>
      </c>
      <c r="J343" s="244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2" t="str">
        <f t="shared" si="39"/>
        <v/>
      </c>
      <c r="E344" s="531"/>
      <c r="F344" s="531"/>
      <c r="G344" s="198"/>
      <c r="H344" s="243" t="str">
        <f t="shared" si="34"/>
        <v/>
      </c>
      <c r="I344" s="199" t="e">
        <f>IF(#REF!="","",#REF!+G344+#REF!+#REF!+#REF!+H344)</f>
        <v>#REF!</v>
      </c>
      <c r="J344" s="244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2" t="str">
        <f t="shared" si="39"/>
        <v/>
      </c>
      <c r="E345" s="531"/>
      <c r="F345" s="531"/>
      <c r="G345" s="198"/>
      <c r="H345" s="243" t="str">
        <f t="shared" si="34"/>
        <v/>
      </c>
      <c r="I345" s="199" t="e">
        <f>IF(#REF!="","",#REF!+G345+#REF!+#REF!+#REF!+H345)</f>
        <v>#REF!</v>
      </c>
      <c r="J345" s="244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2" t="str">
        <f t="shared" si="39"/>
        <v/>
      </c>
      <c r="E346" s="531"/>
      <c r="F346" s="531"/>
      <c r="G346" s="198"/>
      <c r="H346" s="243" t="str">
        <f t="shared" si="34"/>
        <v/>
      </c>
      <c r="I346" s="199" t="e">
        <f>IF(#REF!="","",#REF!+G346+#REF!+#REF!+#REF!+H346)</f>
        <v>#REF!</v>
      </c>
      <c r="J346" s="244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2" t="str">
        <f t="shared" si="39"/>
        <v/>
      </c>
      <c r="E347" s="531"/>
      <c r="F347" s="531"/>
      <c r="G347" s="198"/>
      <c r="H347" s="243" t="str">
        <f t="shared" si="34"/>
        <v/>
      </c>
      <c r="I347" s="199" t="e">
        <f>IF(#REF!="","",#REF!+G347+#REF!+#REF!+#REF!+H347)</f>
        <v>#REF!</v>
      </c>
      <c r="J347" s="244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2" t="str">
        <f t="shared" si="39"/>
        <v/>
      </c>
      <c r="E348" s="531"/>
      <c r="F348" s="531"/>
      <c r="G348" s="198"/>
      <c r="H348" s="243" t="str">
        <f t="shared" si="34"/>
        <v/>
      </c>
      <c r="I348" s="199" t="e">
        <f>IF(#REF!="","",#REF!+G348+#REF!+#REF!+#REF!+H348)</f>
        <v>#REF!</v>
      </c>
      <c r="J348" s="244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2" t="str">
        <f t="shared" si="39"/>
        <v/>
      </c>
      <c r="E349" s="531"/>
      <c r="F349" s="531"/>
      <c r="G349" s="198"/>
      <c r="H349" s="243" t="str">
        <f t="shared" si="34"/>
        <v/>
      </c>
      <c r="I349" s="199" t="e">
        <f>IF(#REF!="","",#REF!+G349+#REF!+#REF!+#REF!+H349)</f>
        <v>#REF!</v>
      </c>
      <c r="J349" s="244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2" t="str">
        <f t="shared" si="39"/>
        <v/>
      </c>
      <c r="E350" s="531"/>
      <c r="F350" s="531"/>
      <c r="G350" s="198"/>
      <c r="H350" s="243" t="str">
        <f t="shared" si="34"/>
        <v/>
      </c>
      <c r="I350" s="199" t="e">
        <f>IF(#REF!="","",#REF!+G350+#REF!+#REF!+#REF!+H350)</f>
        <v>#REF!</v>
      </c>
      <c r="J350" s="244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2" t="str">
        <f t="shared" si="39"/>
        <v/>
      </c>
      <c r="E351" s="531"/>
      <c r="F351" s="531"/>
      <c r="G351" s="198"/>
      <c r="H351" s="243" t="str">
        <f t="shared" si="34"/>
        <v/>
      </c>
      <c r="I351" s="199" t="e">
        <f>IF(#REF!="","",#REF!+G351+#REF!+#REF!+#REF!+H351)</f>
        <v>#REF!</v>
      </c>
      <c r="J351" s="244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2" t="str">
        <f t="shared" si="39"/>
        <v/>
      </c>
      <c r="E352" s="531"/>
      <c r="F352" s="531"/>
      <c r="G352" s="198"/>
      <c r="H352" s="243" t="str">
        <f t="shared" si="34"/>
        <v/>
      </c>
      <c r="I352" s="199" t="e">
        <f>IF(#REF!="","",#REF!+G352+#REF!+#REF!+#REF!+H352)</f>
        <v>#REF!</v>
      </c>
      <c r="J352" s="244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2" t="str">
        <f t="shared" si="39"/>
        <v/>
      </c>
      <c r="E353" s="531"/>
      <c r="F353" s="531"/>
      <c r="G353" s="198"/>
      <c r="H353" s="243" t="str">
        <f t="shared" si="34"/>
        <v/>
      </c>
      <c r="I353" s="199" t="e">
        <f>IF(#REF!="","",#REF!+G353+#REF!+#REF!+#REF!+H353)</f>
        <v>#REF!</v>
      </c>
      <c r="J353" s="244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2" t="str">
        <f t="shared" si="39"/>
        <v/>
      </c>
      <c r="E354" s="531"/>
      <c r="F354" s="531"/>
      <c r="G354" s="198"/>
      <c r="H354" s="243" t="str">
        <f t="shared" si="34"/>
        <v/>
      </c>
      <c r="I354" s="199" t="e">
        <f>IF(#REF!="","",#REF!+G354+#REF!+#REF!+#REF!+H354)</f>
        <v>#REF!</v>
      </c>
      <c r="J354" s="244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2" t="str">
        <f t="shared" si="39"/>
        <v/>
      </c>
      <c r="E355" s="531"/>
      <c r="F355" s="531"/>
      <c r="G355" s="198"/>
      <c r="H355" s="243" t="str">
        <f t="shared" si="34"/>
        <v/>
      </c>
      <c r="I355" s="199" t="e">
        <f>IF(#REF!="","",#REF!+G355+#REF!+#REF!+#REF!+H355)</f>
        <v>#REF!</v>
      </c>
      <c r="J355" s="244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2" t="str">
        <f t="shared" si="39"/>
        <v/>
      </c>
      <c r="E356" s="531"/>
      <c r="F356" s="531"/>
      <c r="G356" s="198"/>
      <c r="H356" s="243" t="str">
        <f t="shared" si="34"/>
        <v/>
      </c>
      <c r="I356" s="199" t="e">
        <f>IF(#REF!="","",#REF!+G356+#REF!+#REF!+#REF!+H356)</f>
        <v>#REF!</v>
      </c>
      <c r="J356" s="244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2" t="str">
        <f t="shared" si="39"/>
        <v/>
      </c>
      <c r="E357" s="531"/>
      <c r="F357" s="531"/>
      <c r="G357" s="198"/>
      <c r="H357" s="243" t="str">
        <f t="shared" si="34"/>
        <v/>
      </c>
      <c r="I357" s="199" t="e">
        <f>IF(#REF!="","",#REF!+G357+#REF!+#REF!+#REF!+H357)</f>
        <v>#REF!</v>
      </c>
      <c r="J357" s="244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2" t="str">
        <f t="shared" si="39"/>
        <v/>
      </c>
      <c r="E358" s="531"/>
      <c r="F358" s="531"/>
      <c r="G358" s="198"/>
      <c r="H358" s="243" t="str">
        <f t="shared" si="34"/>
        <v/>
      </c>
      <c r="I358" s="199" t="e">
        <f>IF(#REF!="","",#REF!+G358+#REF!+#REF!+#REF!+H358)</f>
        <v>#REF!</v>
      </c>
      <c r="J358" s="244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2" t="str">
        <f t="shared" si="39"/>
        <v/>
      </c>
      <c r="E359" s="531"/>
      <c r="F359" s="531"/>
      <c r="G359" s="198"/>
      <c r="H359" s="243" t="str">
        <f t="shared" si="34"/>
        <v/>
      </c>
      <c r="I359" s="199" t="e">
        <f>IF(#REF!="","",#REF!+G359+#REF!+#REF!+#REF!+H359)</f>
        <v>#REF!</v>
      </c>
      <c r="J359" s="244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2" t="str">
        <f t="shared" si="39"/>
        <v/>
      </c>
      <c r="E360" s="531"/>
      <c r="F360" s="531"/>
      <c r="G360" s="198"/>
      <c r="H360" s="243" t="str">
        <f t="shared" si="34"/>
        <v/>
      </c>
      <c r="I360" s="199" t="e">
        <f>IF(#REF!="","",#REF!+G360+#REF!+#REF!+#REF!+H360)</f>
        <v>#REF!</v>
      </c>
      <c r="J360" s="244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2" t="str">
        <f t="shared" si="39"/>
        <v/>
      </c>
      <c r="E361" s="531"/>
      <c r="F361" s="531"/>
      <c r="G361" s="198"/>
      <c r="H361" s="243" t="str">
        <f t="shared" si="34"/>
        <v/>
      </c>
      <c r="I361" s="199" t="e">
        <f>IF(#REF!="","",#REF!+G361+#REF!+#REF!+#REF!+H361)</f>
        <v>#REF!</v>
      </c>
      <c r="J361" s="244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2" t="str">
        <f t="shared" si="39"/>
        <v/>
      </c>
      <c r="E362" s="531"/>
      <c r="F362" s="531"/>
      <c r="G362" s="198"/>
      <c r="H362" s="243" t="str">
        <f t="shared" si="34"/>
        <v/>
      </c>
      <c r="I362" s="199" t="e">
        <f>IF(#REF!="","",#REF!+G362+#REF!+#REF!+#REF!+H362)</f>
        <v>#REF!</v>
      </c>
      <c r="J362" s="244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2" t="str">
        <f t="shared" si="39"/>
        <v/>
      </c>
      <c r="E363" s="531"/>
      <c r="F363" s="531"/>
      <c r="G363" s="198"/>
      <c r="H363" s="243" t="str">
        <f t="shared" si="34"/>
        <v/>
      </c>
      <c r="I363" s="199" t="e">
        <f>IF(#REF!="","",#REF!+G363+#REF!+#REF!+#REF!+H363)</f>
        <v>#REF!</v>
      </c>
      <c r="J363" s="244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2" t="str">
        <f t="shared" si="39"/>
        <v/>
      </c>
      <c r="E364" s="531"/>
      <c r="F364" s="531"/>
      <c r="G364" s="198"/>
      <c r="H364" s="243" t="str">
        <f t="shared" si="34"/>
        <v/>
      </c>
      <c r="I364" s="199" t="e">
        <f>IF(#REF!="","",#REF!+G364+#REF!+#REF!+#REF!+H364)</f>
        <v>#REF!</v>
      </c>
      <c r="J364" s="244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2" t="str">
        <f t="shared" si="39"/>
        <v/>
      </c>
      <c r="E365" s="531"/>
      <c r="F365" s="531"/>
      <c r="G365" s="198"/>
      <c r="H365" s="243" t="str">
        <f t="shared" si="34"/>
        <v/>
      </c>
      <c r="I365" s="199" t="e">
        <f>IF(#REF!="","",#REF!+G365+#REF!+#REF!+#REF!+H365)</f>
        <v>#REF!</v>
      </c>
      <c r="J365" s="244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2" t="str">
        <f t="shared" si="39"/>
        <v/>
      </c>
      <c r="E366" s="531"/>
      <c r="F366" s="531"/>
      <c r="G366" s="198"/>
      <c r="H366" s="243" t="str">
        <f t="shared" si="34"/>
        <v/>
      </c>
      <c r="I366" s="199" t="e">
        <f>IF(#REF!="","",#REF!+G366+#REF!+#REF!+#REF!+H366)</f>
        <v>#REF!</v>
      </c>
      <c r="J366" s="244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2" t="str">
        <f t="shared" si="39"/>
        <v/>
      </c>
      <c r="E367" s="531"/>
      <c r="F367" s="531"/>
      <c r="G367" s="198"/>
      <c r="H367" s="243" t="str">
        <f t="shared" si="34"/>
        <v/>
      </c>
      <c r="I367" s="199" t="e">
        <f>IF(#REF!="","",#REF!+G367+#REF!+#REF!+#REF!+H367)</f>
        <v>#REF!</v>
      </c>
      <c r="J367" s="244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2" t="str">
        <f t="shared" si="39"/>
        <v/>
      </c>
      <c r="E368" s="531"/>
      <c r="F368" s="531"/>
      <c r="G368" s="198"/>
      <c r="H368" s="243" t="str">
        <f t="shared" si="34"/>
        <v/>
      </c>
      <c r="I368" s="199" t="e">
        <f>IF(#REF!="","",#REF!+G368+#REF!+#REF!+#REF!+H368)</f>
        <v>#REF!</v>
      </c>
      <c r="J368" s="244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2" t="str">
        <f t="shared" si="39"/>
        <v/>
      </c>
      <c r="E369" s="531"/>
      <c r="F369" s="531"/>
      <c r="G369" s="198"/>
      <c r="H369" s="243" t="str">
        <f t="shared" si="34"/>
        <v/>
      </c>
      <c r="I369" s="199" t="e">
        <f>IF(#REF!="","",#REF!+G369+#REF!+#REF!+#REF!+H369)</f>
        <v>#REF!</v>
      </c>
      <c r="J369" s="244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2" t="str">
        <f t="shared" si="39"/>
        <v/>
      </c>
      <c r="E370" s="531"/>
      <c r="F370" s="531"/>
      <c r="G370" s="198"/>
      <c r="H370" s="243" t="str">
        <f t="shared" si="34"/>
        <v/>
      </c>
      <c r="I370" s="199" t="e">
        <f>IF(#REF!="","",#REF!+G370+#REF!+#REF!+#REF!+H370)</f>
        <v>#REF!</v>
      </c>
      <c r="J370" s="244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2" t="str">
        <f t="shared" si="39"/>
        <v/>
      </c>
      <c r="E371" s="531"/>
      <c r="F371" s="531"/>
      <c r="G371" s="198"/>
      <c r="H371" s="243" t="str">
        <f t="shared" si="34"/>
        <v/>
      </c>
      <c r="I371" s="199" t="e">
        <f>IF(#REF!="","",#REF!+G371+#REF!+#REF!+#REF!+H371)</f>
        <v>#REF!</v>
      </c>
      <c r="J371" s="244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2" t="str">
        <f t="shared" si="39"/>
        <v/>
      </c>
      <c r="E372" s="531"/>
      <c r="F372" s="531"/>
      <c r="G372" s="198"/>
      <c r="H372" s="243" t="str">
        <f t="shared" si="34"/>
        <v/>
      </c>
      <c r="I372" s="199" t="e">
        <f>IF(#REF!="","",#REF!+G372+#REF!+#REF!+#REF!+H372)</f>
        <v>#REF!</v>
      </c>
      <c r="J372" s="244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2" t="str">
        <f t="shared" si="39"/>
        <v/>
      </c>
      <c r="E373" s="531"/>
      <c r="F373" s="531"/>
      <c r="G373" s="198"/>
      <c r="H373" s="243" t="str">
        <f t="shared" si="34"/>
        <v/>
      </c>
      <c r="I373" s="199" t="e">
        <f>IF(#REF!="","",#REF!+G373+#REF!+#REF!+#REF!+H373)</f>
        <v>#REF!</v>
      </c>
      <c r="J373" s="244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2" t="str">
        <f t="shared" si="39"/>
        <v/>
      </c>
      <c r="E374" s="531"/>
      <c r="F374" s="531"/>
      <c r="G374" s="198"/>
      <c r="H374" s="243" t="str">
        <f t="shared" si="34"/>
        <v/>
      </c>
      <c r="I374" s="199" t="e">
        <f>IF(#REF!="","",#REF!+G374+#REF!+#REF!+#REF!+H374)</f>
        <v>#REF!</v>
      </c>
      <c r="J374" s="244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2" t="str">
        <f t="shared" si="39"/>
        <v/>
      </c>
      <c r="E375" s="531"/>
      <c r="F375" s="531"/>
      <c r="G375" s="198"/>
      <c r="H375" s="243" t="str">
        <f t="shared" si="34"/>
        <v/>
      </c>
      <c r="I375" s="199" t="e">
        <f>IF(#REF!="","",#REF!+G375+#REF!+#REF!+#REF!+H375)</f>
        <v>#REF!</v>
      </c>
      <c r="J375" s="244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2" t="str">
        <f t="shared" si="39"/>
        <v/>
      </c>
      <c r="E376" s="531"/>
      <c r="F376" s="531"/>
      <c r="G376" s="198"/>
      <c r="H376" s="243" t="str">
        <f t="shared" si="34"/>
        <v/>
      </c>
      <c r="I376" s="199" t="e">
        <f>IF(#REF!="","",#REF!+G376+#REF!+#REF!+#REF!+H376)</f>
        <v>#REF!</v>
      </c>
      <c r="J376" s="244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2" t="str">
        <f t="shared" si="39"/>
        <v/>
      </c>
      <c r="E377" s="531"/>
      <c r="F377" s="531"/>
      <c r="G377" s="198"/>
      <c r="H377" s="243" t="str">
        <f t="shared" si="34"/>
        <v/>
      </c>
      <c r="I377" s="199" t="e">
        <f>IF(#REF!="","",#REF!+G377+#REF!+#REF!+#REF!+H377)</f>
        <v>#REF!</v>
      </c>
      <c r="J377" s="244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2" t="str">
        <f t="shared" si="39"/>
        <v/>
      </c>
      <c r="E378" s="531"/>
      <c r="F378" s="531"/>
      <c r="G378" s="198"/>
      <c r="H378" s="243" t="str">
        <f t="shared" si="34"/>
        <v/>
      </c>
      <c r="I378" s="199" t="e">
        <f>IF(#REF!="","",#REF!+G378+#REF!+#REF!+#REF!+H378)</f>
        <v>#REF!</v>
      </c>
      <c r="J378" s="244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2" t="str">
        <f t="shared" si="39"/>
        <v/>
      </c>
      <c r="E379" s="531"/>
      <c r="F379" s="531"/>
      <c r="G379" s="198"/>
      <c r="H379" s="243" t="str">
        <f t="shared" si="34"/>
        <v/>
      </c>
      <c r="I379" s="199" t="e">
        <f>IF(#REF!="","",#REF!+G379+#REF!+#REF!+#REF!+H379)</f>
        <v>#REF!</v>
      </c>
      <c r="J379" s="244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2" t="str">
        <f t="shared" si="39"/>
        <v/>
      </c>
      <c r="E380" s="531"/>
      <c r="F380" s="531"/>
      <c r="G380" s="198"/>
      <c r="H380" s="243" t="str">
        <f t="shared" si="34"/>
        <v/>
      </c>
      <c r="I380" s="199" t="e">
        <f>IF(#REF!="","",#REF!+G380+#REF!+#REF!+#REF!+H380)</f>
        <v>#REF!</v>
      </c>
      <c r="J380" s="244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2" t="str">
        <f t="shared" si="39"/>
        <v/>
      </c>
      <c r="E381" s="531"/>
      <c r="F381" s="531"/>
      <c r="G381" s="198"/>
      <c r="H381" s="243" t="str">
        <f t="shared" si="34"/>
        <v/>
      </c>
      <c r="I381" s="199" t="e">
        <f>IF(#REF!="","",#REF!+G381+#REF!+#REF!+#REF!+H381)</f>
        <v>#REF!</v>
      </c>
      <c r="J381" s="244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2" t="str">
        <f t="shared" si="39"/>
        <v/>
      </c>
      <c r="E382" s="531"/>
      <c r="F382" s="531"/>
      <c r="G382" s="198"/>
      <c r="H382" s="243" t="str">
        <f t="shared" si="34"/>
        <v/>
      </c>
      <c r="I382" s="199" t="e">
        <f>IF(#REF!="","",#REF!+G382+#REF!+#REF!+#REF!+H382)</f>
        <v>#REF!</v>
      </c>
      <c r="J382" s="244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2" t="str">
        <f t="shared" si="39"/>
        <v/>
      </c>
      <c r="E383" s="531"/>
      <c r="F383" s="531"/>
      <c r="G383" s="198"/>
      <c r="H383" s="243" t="str">
        <f t="shared" si="34"/>
        <v/>
      </c>
      <c r="I383" s="199" t="e">
        <f>IF(#REF!="","",#REF!+G383+#REF!+#REF!+#REF!+H383)</f>
        <v>#REF!</v>
      </c>
      <c r="J383" s="244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2" t="str">
        <f t="shared" si="39"/>
        <v/>
      </c>
      <c r="E384" s="531"/>
      <c r="F384" s="531"/>
      <c r="G384" s="198"/>
      <c r="H384" s="243" t="str">
        <f t="shared" si="34"/>
        <v/>
      </c>
      <c r="I384" s="199" t="e">
        <f>IF(#REF!="","",#REF!+G384+#REF!+#REF!+#REF!+H384)</f>
        <v>#REF!</v>
      </c>
      <c r="J384" s="244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2" t="str">
        <f t="shared" si="39"/>
        <v/>
      </c>
      <c r="E385" s="531"/>
      <c r="F385" s="531"/>
      <c r="G385" s="198"/>
      <c r="H385" s="243" t="str">
        <f t="shared" si="34"/>
        <v/>
      </c>
      <c r="I385" s="199" t="e">
        <f>IF(#REF!="","",#REF!+G385+#REF!+#REF!+#REF!+H385)</f>
        <v>#REF!</v>
      </c>
      <c r="J385" s="244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2" t="str">
        <f t="shared" si="39"/>
        <v/>
      </c>
      <c r="E386" s="531"/>
      <c r="F386" s="531"/>
      <c r="G386" s="198"/>
      <c r="H386" s="243" t="str">
        <f t="shared" si="34"/>
        <v/>
      </c>
      <c r="I386" s="199" t="e">
        <f>IF(#REF!="","",#REF!+G386+#REF!+#REF!+#REF!+H386)</f>
        <v>#REF!</v>
      </c>
      <c r="J386" s="244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2" t="str">
        <f t="shared" si="39"/>
        <v/>
      </c>
      <c r="E387" s="531"/>
      <c r="F387" s="531"/>
      <c r="G387" s="198"/>
      <c r="H387" s="243" t="str">
        <f t="shared" si="34"/>
        <v/>
      </c>
      <c r="I387" s="199" t="e">
        <f>IF(#REF!="","",#REF!+G387+#REF!+#REF!+#REF!+H387)</f>
        <v>#REF!</v>
      </c>
      <c r="J387" s="244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2" t="str">
        <f t="shared" si="39"/>
        <v/>
      </c>
      <c r="E388" s="531"/>
      <c r="F388" s="531"/>
      <c r="G388" s="198"/>
      <c r="H388" s="243" t="str">
        <f t="shared" si="34"/>
        <v/>
      </c>
      <c r="I388" s="199" t="e">
        <f>IF(#REF!="","",#REF!+G388+#REF!+#REF!+#REF!+H388)</f>
        <v>#REF!</v>
      </c>
      <c r="J388" s="244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2" t="str">
        <f t="shared" si="39"/>
        <v/>
      </c>
      <c r="E389" s="531"/>
      <c r="F389" s="531"/>
      <c r="G389" s="198"/>
      <c r="H389" s="243" t="str">
        <f t="shared" si="34"/>
        <v/>
      </c>
      <c r="I389" s="199" t="e">
        <f>IF(#REF!="","",#REF!+G389+#REF!+#REF!+#REF!+H389)</f>
        <v>#REF!</v>
      </c>
      <c r="J389" s="244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2" t="str">
        <f t="shared" si="39"/>
        <v/>
      </c>
      <c r="E390" s="531"/>
      <c r="F390" s="531"/>
      <c r="G390" s="198"/>
      <c r="H390" s="243" t="str">
        <f t="shared" si="34"/>
        <v/>
      </c>
      <c r="I390" s="199" t="e">
        <f>IF(#REF!="","",#REF!+G390+#REF!+#REF!+#REF!+H390)</f>
        <v>#REF!</v>
      </c>
      <c r="J390" s="244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2" t="str">
        <f t="shared" si="39"/>
        <v/>
      </c>
      <c r="E391" s="531"/>
      <c r="F391" s="531"/>
      <c r="G391" s="198"/>
      <c r="H391" s="243" t="str">
        <f t="shared" si="34"/>
        <v/>
      </c>
      <c r="I391" s="199" t="e">
        <f>IF(#REF!="","",#REF!+G391+#REF!+#REF!+#REF!+H391)</f>
        <v>#REF!</v>
      </c>
      <c r="J391" s="244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2" t="str">
        <f t="shared" si="39"/>
        <v/>
      </c>
      <c r="E392" s="531"/>
      <c r="F392" s="531"/>
      <c r="G392" s="198"/>
      <c r="H392" s="243" t="str">
        <f t="shared" ref="H392:H455" si="42">IF(G392=0,"",G392*$H$5)</f>
        <v/>
      </c>
      <c r="I392" s="199" t="e">
        <f>IF(#REF!="","",#REF!+G392+#REF!+#REF!+#REF!+H392)</f>
        <v>#REF!</v>
      </c>
      <c r="J392" s="244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2" t="str">
        <f t="shared" ref="D393:D456" si="44">IF(A393&lt;&gt;"",PROPER(TEXT(A393,"Mmmm")),"")</f>
        <v/>
      </c>
      <c r="E393" s="531"/>
      <c r="F393" s="531"/>
      <c r="G393" s="198"/>
      <c r="H393" s="243" t="str">
        <f t="shared" si="42"/>
        <v/>
      </c>
      <c r="I393" s="199" t="e">
        <f>IF(#REF!="","",#REF!+G393+#REF!+#REF!+#REF!+H393)</f>
        <v>#REF!</v>
      </c>
      <c r="J393" s="244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2" t="str">
        <f t="shared" si="44"/>
        <v/>
      </c>
      <c r="E394" s="531"/>
      <c r="F394" s="531"/>
      <c r="G394" s="198"/>
      <c r="H394" s="243" t="str">
        <f t="shared" si="42"/>
        <v/>
      </c>
      <c r="I394" s="199" t="e">
        <f>IF(#REF!="","",#REF!+G394+#REF!+#REF!+#REF!+H394)</f>
        <v>#REF!</v>
      </c>
      <c r="J394" s="244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2" t="str">
        <f t="shared" si="44"/>
        <v/>
      </c>
      <c r="E395" s="531"/>
      <c r="F395" s="531"/>
      <c r="G395" s="198"/>
      <c r="H395" s="243" t="str">
        <f t="shared" si="42"/>
        <v/>
      </c>
      <c r="I395" s="199" t="e">
        <f>IF(#REF!="","",#REF!+G395+#REF!+#REF!+#REF!+H395)</f>
        <v>#REF!</v>
      </c>
      <c r="J395" s="244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2" t="str">
        <f t="shared" si="44"/>
        <v/>
      </c>
      <c r="E396" s="531"/>
      <c r="F396" s="531"/>
      <c r="G396" s="198"/>
      <c r="H396" s="243" t="str">
        <f t="shared" si="42"/>
        <v/>
      </c>
      <c r="I396" s="199" t="e">
        <f>IF(#REF!="","",#REF!+G396+#REF!+#REF!+#REF!+H396)</f>
        <v>#REF!</v>
      </c>
      <c r="J396" s="244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2" t="str">
        <f t="shared" si="44"/>
        <v/>
      </c>
      <c r="E397" s="531"/>
      <c r="F397" s="531"/>
      <c r="G397" s="198"/>
      <c r="H397" s="243" t="str">
        <f t="shared" si="42"/>
        <v/>
      </c>
      <c r="I397" s="199" t="e">
        <f>IF(#REF!="","",#REF!+G397+#REF!+#REF!+#REF!+H397)</f>
        <v>#REF!</v>
      </c>
      <c r="J397" s="244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2" t="str">
        <f t="shared" si="44"/>
        <v/>
      </c>
      <c r="E398" s="531"/>
      <c r="F398" s="531"/>
      <c r="G398" s="198"/>
      <c r="H398" s="243" t="str">
        <f t="shared" si="42"/>
        <v/>
      </c>
      <c r="I398" s="199" t="e">
        <f>IF(#REF!="","",#REF!+G398+#REF!+#REF!+#REF!+H398)</f>
        <v>#REF!</v>
      </c>
      <c r="J398" s="244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2" t="str">
        <f t="shared" si="44"/>
        <v/>
      </c>
      <c r="E399" s="531"/>
      <c r="F399" s="531"/>
      <c r="G399" s="198"/>
      <c r="H399" s="243" t="str">
        <f t="shared" si="42"/>
        <v/>
      </c>
      <c r="I399" s="199" t="e">
        <f>IF(#REF!="","",#REF!+G399+#REF!+#REF!+#REF!+H399)</f>
        <v>#REF!</v>
      </c>
      <c r="J399" s="244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2" t="str">
        <f t="shared" si="44"/>
        <v/>
      </c>
      <c r="E400" s="531"/>
      <c r="F400" s="531"/>
      <c r="G400" s="198"/>
      <c r="H400" s="243" t="str">
        <f t="shared" si="42"/>
        <v/>
      </c>
      <c r="I400" s="199" t="e">
        <f>IF(#REF!="","",#REF!+G400+#REF!+#REF!+#REF!+H400)</f>
        <v>#REF!</v>
      </c>
      <c r="J400" s="244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2" t="str">
        <f t="shared" si="44"/>
        <v/>
      </c>
      <c r="E401" s="531"/>
      <c r="F401" s="531"/>
      <c r="G401" s="198"/>
      <c r="H401" s="243" t="str">
        <f t="shared" si="42"/>
        <v/>
      </c>
      <c r="I401" s="199" t="e">
        <f>IF(#REF!="","",#REF!+G401+#REF!+#REF!+#REF!+H401)</f>
        <v>#REF!</v>
      </c>
      <c r="J401" s="244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2" t="str">
        <f t="shared" si="44"/>
        <v/>
      </c>
      <c r="E402" s="531"/>
      <c r="F402" s="531"/>
      <c r="G402" s="198"/>
      <c r="H402" s="243" t="str">
        <f t="shared" si="42"/>
        <v/>
      </c>
      <c r="I402" s="199" t="e">
        <f>IF(#REF!="","",#REF!+G402+#REF!+#REF!+#REF!+H402)</f>
        <v>#REF!</v>
      </c>
      <c r="J402" s="244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2" t="str">
        <f t="shared" si="44"/>
        <v/>
      </c>
      <c r="E403" s="531"/>
      <c r="F403" s="531"/>
      <c r="G403" s="198"/>
      <c r="H403" s="243" t="str">
        <f t="shared" si="42"/>
        <v/>
      </c>
      <c r="I403" s="199" t="e">
        <f>IF(#REF!="","",#REF!+G403+#REF!+#REF!+#REF!+H403)</f>
        <v>#REF!</v>
      </c>
      <c r="J403" s="244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2" t="str">
        <f t="shared" si="44"/>
        <v/>
      </c>
      <c r="E404" s="531"/>
      <c r="F404" s="531"/>
      <c r="G404" s="198"/>
      <c r="H404" s="243" t="str">
        <f t="shared" si="42"/>
        <v/>
      </c>
      <c r="I404" s="199" t="e">
        <f>IF(#REF!="","",#REF!+G404+#REF!+#REF!+#REF!+H404)</f>
        <v>#REF!</v>
      </c>
      <c r="J404" s="244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2" t="str">
        <f t="shared" si="44"/>
        <v/>
      </c>
      <c r="E405" s="531"/>
      <c r="F405" s="531"/>
      <c r="G405" s="198"/>
      <c r="H405" s="243" t="str">
        <f t="shared" si="42"/>
        <v/>
      </c>
      <c r="I405" s="199" t="e">
        <f>IF(#REF!="","",#REF!+G405+#REF!+#REF!+#REF!+H405)</f>
        <v>#REF!</v>
      </c>
      <c r="J405" s="244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2" t="str">
        <f t="shared" si="44"/>
        <v/>
      </c>
      <c r="E406" s="531"/>
      <c r="F406" s="531"/>
      <c r="G406" s="198"/>
      <c r="H406" s="243" t="str">
        <f t="shared" si="42"/>
        <v/>
      </c>
      <c r="I406" s="199" t="e">
        <f>IF(#REF!="","",#REF!+G406+#REF!+#REF!+#REF!+H406)</f>
        <v>#REF!</v>
      </c>
      <c r="J406" s="244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2" t="str">
        <f t="shared" si="44"/>
        <v/>
      </c>
      <c r="E407" s="531"/>
      <c r="F407" s="531"/>
      <c r="G407" s="198"/>
      <c r="H407" s="243" t="str">
        <f t="shared" si="42"/>
        <v/>
      </c>
      <c r="I407" s="199" t="e">
        <f>IF(#REF!="","",#REF!+G407+#REF!+#REF!+#REF!+H407)</f>
        <v>#REF!</v>
      </c>
      <c r="J407" s="244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2" t="str">
        <f t="shared" si="44"/>
        <v/>
      </c>
      <c r="E408" s="531"/>
      <c r="F408" s="531"/>
      <c r="G408" s="198"/>
      <c r="H408" s="243" t="str">
        <f t="shared" si="42"/>
        <v/>
      </c>
      <c r="I408" s="199" t="e">
        <f>IF(#REF!="","",#REF!+G408+#REF!+#REF!+#REF!+H408)</f>
        <v>#REF!</v>
      </c>
      <c r="J408" s="244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2" t="str">
        <f t="shared" si="44"/>
        <v/>
      </c>
      <c r="E409" s="531"/>
      <c r="F409" s="531"/>
      <c r="G409" s="198"/>
      <c r="H409" s="243" t="str">
        <f t="shared" si="42"/>
        <v/>
      </c>
      <c r="I409" s="199" t="e">
        <f>IF(#REF!="","",#REF!+G409+#REF!+#REF!+#REF!+H409)</f>
        <v>#REF!</v>
      </c>
      <c r="J409" s="244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2" t="str">
        <f t="shared" si="44"/>
        <v/>
      </c>
      <c r="E410" s="531"/>
      <c r="F410" s="531"/>
      <c r="G410" s="198"/>
      <c r="H410" s="243" t="str">
        <f t="shared" si="42"/>
        <v/>
      </c>
      <c r="I410" s="199" t="e">
        <f>IF(#REF!="","",#REF!+G410+#REF!+#REF!+#REF!+H410)</f>
        <v>#REF!</v>
      </c>
      <c r="J410" s="244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2" t="str">
        <f t="shared" si="44"/>
        <v/>
      </c>
      <c r="E411" s="531"/>
      <c r="F411" s="531"/>
      <c r="G411" s="198"/>
      <c r="H411" s="243" t="str">
        <f t="shared" si="42"/>
        <v/>
      </c>
      <c r="I411" s="199" t="e">
        <f>IF(#REF!="","",#REF!+G411+#REF!+#REF!+#REF!+H411)</f>
        <v>#REF!</v>
      </c>
      <c r="J411" s="244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2" t="str">
        <f t="shared" si="44"/>
        <v/>
      </c>
      <c r="E412" s="531"/>
      <c r="F412" s="531"/>
      <c r="G412" s="198"/>
      <c r="H412" s="243" t="str">
        <f t="shared" si="42"/>
        <v/>
      </c>
      <c r="I412" s="199" t="e">
        <f>IF(#REF!="","",#REF!+G412+#REF!+#REF!+#REF!+H412)</f>
        <v>#REF!</v>
      </c>
      <c r="J412" s="244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2" t="str">
        <f t="shared" si="44"/>
        <v/>
      </c>
      <c r="E413" s="531"/>
      <c r="F413" s="531"/>
      <c r="G413" s="198"/>
      <c r="H413" s="243" t="str">
        <f t="shared" si="42"/>
        <v/>
      </c>
      <c r="I413" s="199" t="e">
        <f>IF(#REF!="","",#REF!+G413+#REF!+#REF!+#REF!+H413)</f>
        <v>#REF!</v>
      </c>
      <c r="J413" s="244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2" t="str">
        <f t="shared" si="44"/>
        <v/>
      </c>
      <c r="E414" s="531"/>
      <c r="F414" s="531"/>
      <c r="G414" s="198"/>
      <c r="H414" s="243" t="str">
        <f t="shared" si="42"/>
        <v/>
      </c>
      <c r="I414" s="199" t="e">
        <f>IF(#REF!="","",#REF!+G414+#REF!+#REF!+#REF!+H414)</f>
        <v>#REF!</v>
      </c>
      <c r="J414" s="244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2" t="str">
        <f t="shared" si="44"/>
        <v/>
      </c>
      <c r="E415" s="531"/>
      <c r="F415" s="531"/>
      <c r="G415" s="198"/>
      <c r="H415" s="243" t="str">
        <f t="shared" si="42"/>
        <v/>
      </c>
      <c r="I415" s="199" t="e">
        <f>IF(#REF!="","",#REF!+G415+#REF!+#REF!+#REF!+H415)</f>
        <v>#REF!</v>
      </c>
      <c r="J415" s="244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2" t="str">
        <f t="shared" si="44"/>
        <v/>
      </c>
      <c r="E416" s="531"/>
      <c r="F416" s="531"/>
      <c r="G416" s="198"/>
      <c r="H416" s="243" t="str">
        <f t="shared" si="42"/>
        <v/>
      </c>
      <c r="I416" s="199" t="e">
        <f>IF(#REF!="","",#REF!+G416+#REF!+#REF!+#REF!+H416)</f>
        <v>#REF!</v>
      </c>
      <c r="J416" s="244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2" t="str">
        <f t="shared" si="44"/>
        <v/>
      </c>
      <c r="E417" s="531"/>
      <c r="F417" s="531"/>
      <c r="G417" s="198"/>
      <c r="H417" s="243" t="str">
        <f t="shared" si="42"/>
        <v/>
      </c>
      <c r="I417" s="199" t="e">
        <f>IF(#REF!="","",#REF!+G417+#REF!+#REF!+#REF!+H417)</f>
        <v>#REF!</v>
      </c>
      <c r="J417" s="244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2" t="str">
        <f t="shared" si="44"/>
        <v/>
      </c>
      <c r="E418" s="531"/>
      <c r="F418" s="531"/>
      <c r="G418" s="198"/>
      <c r="H418" s="243" t="str">
        <f t="shared" si="42"/>
        <v/>
      </c>
      <c r="I418" s="199" t="e">
        <f>IF(#REF!="","",#REF!+G418+#REF!+#REF!+#REF!+H418)</f>
        <v>#REF!</v>
      </c>
      <c r="J418" s="244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2" t="str">
        <f t="shared" si="44"/>
        <v/>
      </c>
      <c r="E419" s="531"/>
      <c r="F419" s="531"/>
      <c r="G419" s="198"/>
      <c r="H419" s="243" t="str">
        <f t="shared" si="42"/>
        <v/>
      </c>
      <c r="I419" s="199" t="e">
        <f>IF(#REF!="","",#REF!+G419+#REF!+#REF!+#REF!+H419)</f>
        <v>#REF!</v>
      </c>
      <c r="J419" s="244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2" t="str">
        <f t="shared" si="44"/>
        <v/>
      </c>
      <c r="E420" s="531"/>
      <c r="F420" s="531"/>
      <c r="G420" s="198"/>
      <c r="H420" s="243" t="str">
        <f t="shared" si="42"/>
        <v/>
      </c>
      <c r="I420" s="199" t="e">
        <f>IF(#REF!="","",#REF!+G420+#REF!+#REF!+#REF!+H420)</f>
        <v>#REF!</v>
      </c>
      <c r="J420" s="244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2" t="str">
        <f t="shared" si="44"/>
        <v/>
      </c>
      <c r="E421" s="531"/>
      <c r="F421" s="531"/>
      <c r="G421" s="198"/>
      <c r="H421" s="243" t="str">
        <f t="shared" si="42"/>
        <v/>
      </c>
      <c r="I421" s="199" t="e">
        <f>IF(#REF!="","",#REF!+G421+#REF!+#REF!+#REF!+H421)</f>
        <v>#REF!</v>
      </c>
      <c r="J421" s="244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2" t="str">
        <f t="shared" si="44"/>
        <v/>
      </c>
      <c r="E422" s="531"/>
      <c r="F422" s="531"/>
      <c r="G422" s="198"/>
      <c r="H422" s="243" t="str">
        <f t="shared" si="42"/>
        <v/>
      </c>
      <c r="I422" s="199" t="e">
        <f>IF(#REF!="","",#REF!+G422+#REF!+#REF!+#REF!+H422)</f>
        <v>#REF!</v>
      </c>
      <c r="J422" s="244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2" t="str">
        <f t="shared" si="44"/>
        <v/>
      </c>
      <c r="E423" s="531"/>
      <c r="F423" s="531"/>
      <c r="G423" s="198"/>
      <c r="H423" s="243" t="str">
        <f t="shared" si="42"/>
        <v/>
      </c>
      <c r="I423" s="199" t="e">
        <f>IF(#REF!="","",#REF!+G423+#REF!+#REF!+#REF!+H423)</f>
        <v>#REF!</v>
      </c>
      <c r="J423" s="244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2" t="str">
        <f t="shared" si="44"/>
        <v/>
      </c>
      <c r="E424" s="531"/>
      <c r="F424" s="531"/>
      <c r="G424" s="198"/>
      <c r="H424" s="243" t="str">
        <f t="shared" si="42"/>
        <v/>
      </c>
      <c r="I424" s="199" t="e">
        <f>IF(#REF!="","",#REF!+G424+#REF!+#REF!+#REF!+H424)</f>
        <v>#REF!</v>
      </c>
      <c r="J424" s="244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2" t="str">
        <f t="shared" si="44"/>
        <v/>
      </c>
      <c r="E425" s="531"/>
      <c r="F425" s="531"/>
      <c r="G425" s="198"/>
      <c r="H425" s="243" t="str">
        <f t="shared" si="42"/>
        <v/>
      </c>
      <c r="I425" s="199" t="e">
        <f>IF(#REF!="","",#REF!+G425+#REF!+#REF!+#REF!+H425)</f>
        <v>#REF!</v>
      </c>
      <c r="J425" s="244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2" t="str">
        <f t="shared" si="44"/>
        <v/>
      </c>
      <c r="E426" s="531"/>
      <c r="F426" s="531"/>
      <c r="G426" s="198"/>
      <c r="H426" s="243" t="str">
        <f t="shared" si="42"/>
        <v/>
      </c>
      <c r="I426" s="199" t="e">
        <f>IF(#REF!="","",#REF!+G426+#REF!+#REF!+#REF!+H426)</f>
        <v>#REF!</v>
      </c>
      <c r="J426" s="244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2" t="str">
        <f t="shared" si="44"/>
        <v/>
      </c>
      <c r="E427" s="531"/>
      <c r="F427" s="531"/>
      <c r="G427" s="198"/>
      <c r="H427" s="243" t="str">
        <f t="shared" si="42"/>
        <v/>
      </c>
      <c r="I427" s="199" t="e">
        <f>IF(#REF!="","",#REF!+G427+#REF!+#REF!+#REF!+H427)</f>
        <v>#REF!</v>
      </c>
      <c r="J427" s="244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2" t="str">
        <f t="shared" si="44"/>
        <v/>
      </c>
      <c r="E428" s="531"/>
      <c r="F428" s="531"/>
      <c r="G428" s="198"/>
      <c r="H428" s="243" t="str">
        <f t="shared" si="42"/>
        <v/>
      </c>
      <c r="I428" s="199" t="e">
        <f>IF(#REF!="","",#REF!+G428+#REF!+#REF!+#REF!+H428)</f>
        <v>#REF!</v>
      </c>
      <c r="J428" s="244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2" t="str">
        <f t="shared" si="44"/>
        <v/>
      </c>
      <c r="E429" s="531"/>
      <c r="F429" s="531"/>
      <c r="G429" s="198"/>
      <c r="H429" s="243" t="str">
        <f t="shared" si="42"/>
        <v/>
      </c>
      <c r="I429" s="199" t="e">
        <f>IF(#REF!="","",#REF!+G429+#REF!+#REF!+#REF!+H429)</f>
        <v>#REF!</v>
      </c>
      <c r="J429" s="244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2" t="str">
        <f t="shared" si="44"/>
        <v/>
      </c>
      <c r="E430" s="531"/>
      <c r="F430" s="531"/>
      <c r="G430" s="198"/>
      <c r="H430" s="243" t="str">
        <f t="shared" si="42"/>
        <v/>
      </c>
      <c r="I430" s="199" t="e">
        <f>IF(#REF!="","",#REF!+G430+#REF!+#REF!+#REF!+H430)</f>
        <v>#REF!</v>
      </c>
      <c r="J430" s="244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2" t="str">
        <f t="shared" si="44"/>
        <v/>
      </c>
      <c r="E431" s="531"/>
      <c r="F431" s="531"/>
      <c r="G431" s="198"/>
      <c r="H431" s="243" t="str">
        <f t="shared" si="42"/>
        <v/>
      </c>
      <c r="I431" s="199" t="e">
        <f>IF(#REF!="","",#REF!+G431+#REF!+#REF!+#REF!+H431)</f>
        <v>#REF!</v>
      </c>
      <c r="J431" s="244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2" t="str">
        <f t="shared" si="44"/>
        <v/>
      </c>
      <c r="E432" s="531"/>
      <c r="F432" s="531"/>
      <c r="G432" s="198"/>
      <c r="H432" s="243" t="str">
        <f t="shared" si="42"/>
        <v/>
      </c>
      <c r="I432" s="199" t="e">
        <f>IF(#REF!="","",#REF!+G432+#REF!+#REF!+#REF!+H432)</f>
        <v>#REF!</v>
      </c>
      <c r="J432" s="244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2" t="str">
        <f t="shared" si="44"/>
        <v/>
      </c>
      <c r="E433" s="531"/>
      <c r="F433" s="531"/>
      <c r="G433" s="198"/>
      <c r="H433" s="243" t="str">
        <f t="shared" si="42"/>
        <v/>
      </c>
      <c r="I433" s="199" t="e">
        <f>IF(#REF!="","",#REF!+G433+#REF!+#REF!+#REF!+H433)</f>
        <v>#REF!</v>
      </c>
      <c r="J433" s="244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2" t="str">
        <f t="shared" si="44"/>
        <v/>
      </c>
      <c r="E434" s="531"/>
      <c r="F434" s="531"/>
      <c r="G434" s="198"/>
      <c r="H434" s="243" t="str">
        <f t="shared" si="42"/>
        <v/>
      </c>
      <c r="I434" s="199" t="e">
        <f>IF(#REF!="","",#REF!+G434+#REF!+#REF!+#REF!+H434)</f>
        <v>#REF!</v>
      </c>
      <c r="J434" s="244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2" t="str">
        <f t="shared" si="44"/>
        <v/>
      </c>
      <c r="E435" s="531"/>
      <c r="F435" s="531"/>
      <c r="G435" s="198"/>
      <c r="H435" s="243" t="str">
        <f t="shared" si="42"/>
        <v/>
      </c>
      <c r="I435" s="199" t="e">
        <f>IF(#REF!="","",#REF!+G435+#REF!+#REF!+#REF!+H435)</f>
        <v>#REF!</v>
      </c>
      <c r="J435" s="244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2" t="str">
        <f t="shared" si="44"/>
        <v/>
      </c>
      <c r="E436" s="531"/>
      <c r="F436" s="531"/>
      <c r="G436" s="198"/>
      <c r="H436" s="243" t="str">
        <f t="shared" si="42"/>
        <v/>
      </c>
      <c r="I436" s="199" t="e">
        <f>IF(#REF!="","",#REF!+G436+#REF!+#REF!+#REF!+H436)</f>
        <v>#REF!</v>
      </c>
      <c r="J436" s="244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2" t="str">
        <f t="shared" si="44"/>
        <v/>
      </c>
      <c r="E437" s="531"/>
      <c r="F437" s="531"/>
      <c r="G437" s="198"/>
      <c r="H437" s="243" t="str">
        <f t="shared" si="42"/>
        <v/>
      </c>
      <c r="I437" s="199" t="e">
        <f>IF(#REF!="","",#REF!+G437+#REF!+#REF!+#REF!+H437)</f>
        <v>#REF!</v>
      </c>
      <c r="J437" s="244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2" t="str">
        <f t="shared" si="44"/>
        <v/>
      </c>
      <c r="E438" s="531"/>
      <c r="F438" s="531"/>
      <c r="G438" s="198"/>
      <c r="H438" s="243" t="str">
        <f t="shared" si="42"/>
        <v/>
      </c>
      <c r="I438" s="199" t="e">
        <f>IF(#REF!="","",#REF!+G438+#REF!+#REF!+#REF!+H438)</f>
        <v>#REF!</v>
      </c>
      <c r="J438" s="244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2" t="str">
        <f t="shared" si="44"/>
        <v/>
      </c>
      <c r="E439" s="531"/>
      <c r="F439" s="531"/>
      <c r="G439" s="198"/>
      <c r="H439" s="243" t="str">
        <f t="shared" si="42"/>
        <v/>
      </c>
      <c r="I439" s="199" t="e">
        <f>IF(#REF!="","",#REF!+G439+#REF!+#REF!+#REF!+H439)</f>
        <v>#REF!</v>
      </c>
      <c r="J439" s="244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2" t="str">
        <f t="shared" si="44"/>
        <v/>
      </c>
      <c r="E440" s="531"/>
      <c r="F440" s="531"/>
      <c r="G440" s="198"/>
      <c r="H440" s="243" t="str">
        <f t="shared" si="42"/>
        <v/>
      </c>
      <c r="I440" s="199" t="e">
        <f>IF(#REF!="","",#REF!+G440+#REF!+#REF!+#REF!+H440)</f>
        <v>#REF!</v>
      </c>
      <c r="J440" s="244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2" t="str">
        <f t="shared" si="44"/>
        <v/>
      </c>
      <c r="E441" s="531"/>
      <c r="F441" s="531"/>
      <c r="G441" s="198"/>
      <c r="H441" s="243" t="str">
        <f t="shared" si="42"/>
        <v/>
      </c>
      <c r="I441" s="199" t="e">
        <f>IF(#REF!="","",#REF!+G441+#REF!+#REF!+#REF!+H441)</f>
        <v>#REF!</v>
      </c>
      <c r="J441" s="244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2" t="str">
        <f t="shared" si="44"/>
        <v/>
      </c>
      <c r="E442" s="531"/>
      <c r="F442" s="531"/>
      <c r="G442" s="198"/>
      <c r="H442" s="243" t="str">
        <f t="shared" si="42"/>
        <v/>
      </c>
      <c r="I442" s="199" t="e">
        <f>IF(#REF!="","",#REF!+G442+#REF!+#REF!+#REF!+H442)</f>
        <v>#REF!</v>
      </c>
      <c r="J442" s="244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2" t="str">
        <f t="shared" si="44"/>
        <v/>
      </c>
      <c r="E443" s="531"/>
      <c r="F443" s="531"/>
      <c r="G443" s="198"/>
      <c r="H443" s="243" t="str">
        <f t="shared" si="42"/>
        <v/>
      </c>
      <c r="I443" s="199" t="e">
        <f>IF(#REF!="","",#REF!+G443+#REF!+#REF!+#REF!+H443)</f>
        <v>#REF!</v>
      </c>
      <c r="J443" s="244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2" t="str">
        <f t="shared" si="44"/>
        <v/>
      </c>
      <c r="E444" s="531"/>
      <c r="F444" s="531"/>
      <c r="G444" s="198"/>
      <c r="H444" s="243" t="str">
        <f t="shared" si="42"/>
        <v/>
      </c>
      <c r="I444" s="199" t="e">
        <f>IF(#REF!="","",#REF!+G444+#REF!+#REF!+#REF!+H444)</f>
        <v>#REF!</v>
      </c>
      <c r="J444" s="244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2" t="str">
        <f t="shared" si="44"/>
        <v/>
      </c>
      <c r="E445" s="531"/>
      <c r="F445" s="531"/>
      <c r="G445" s="198"/>
      <c r="H445" s="243" t="str">
        <f t="shared" si="42"/>
        <v/>
      </c>
      <c r="I445" s="199" t="e">
        <f>IF(#REF!="","",#REF!+G445+#REF!+#REF!+#REF!+H445)</f>
        <v>#REF!</v>
      </c>
      <c r="J445" s="244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2" t="str">
        <f t="shared" si="44"/>
        <v/>
      </c>
      <c r="E446" s="531"/>
      <c r="F446" s="531"/>
      <c r="G446" s="198"/>
      <c r="H446" s="243" t="str">
        <f t="shared" si="42"/>
        <v/>
      </c>
      <c r="I446" s="199" t="e">
        <f>IF(#REF!="","",#REF!+G446+#REF!+#REF!+#REF!+H446)</f>
        <v>#REF!</v>
      </c>
      <c r="J446" s="244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2" t="str">
        <f t="shared" si="44"/>
        <v/>
      </c>
      <c r="E447" s="531"/>
      <c r="F447" s="531"/>
      <c r="G447" s="198"/>
      <c r="H447" s="243" t="str">
        <f t="shared" si="42"/>
        <v/>
      </c>
      <c r="I447" s="199" t="e">
        <f>IF(#REF!="","",#REF!+G447+#REF!+#REF!+#REF!+H447)</f>
        <v>#REF!</v>
      </c>
      <c r="J447" s="244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2" t="str">
        <f t="shared" si="44"/>
        <v/>
      </c>
      <c r="E448" s="531"/>
      <c r="F448" s="531"/>
      <c r="G448" s="198"/>
      <c r="H448" s="243" t="str">
        <f t="shared" si="42"/>
        <v/>
      </c>
      <c r="I448" s="199" t="e">
        <f>IF(#REF!="","",#REF!+G448+#REF!+#REF!+#REF!+H448)</f>
        <v>#REF!</v>
      </c>
      <c r="J448" s="244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2" t="str">
        <f t="shared" si="44"/>
        <v/>
      </c>
      <c r="E449" s="531"/>
      <c r="F449" s="531"/>
      <c r="G449" s="198"/>
      <c r="H449" s="243" t="str">
        <f t="shared" si="42"/>
        <v/>
      </c>
      <c r="I449" s="199" t="e">
        <f>IF(#REF!="","",#REF!+G449+#REF!+#REF!+#REF!+H449)</f>
        <v>#REF!</v>
      </c>
      <c r="J449" s="244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2" t="str">
        <f t="shared" si="44"/>
        <v/>
      </c>
      <c r="E450" s="531"/>
      <c r="F450" s="531"/>
      <c r="G450" s="198"/>
      <c r="H450" s="243" t="str">
        <f t="shared" si="42"/>
        <v/>
      </c>
      <c r="I450" s="199" t="e">
        <f>IF(#REF!="","",#REF!+G450+#REF!+#REF!+#REF!+H450)</f>
        <v>#REF!</v>
      </c>
      <c r="J450" s="244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2" t="str">
        <f t="shared" si="44"/>
        <v/>
      </c>
      <c r="E451" s="531"/>
      <c r="F451" s="531"/>
      <c r="G451" s="198"/>
      <c r="H451" s="243" t="str">
        <f t="shared" si="42"/>
        <v/>
      </c>
      <c r="I451" s="199" t="e">
        <f>IF(#REF!="","",#REF!+G451+#REF!+#REF!+#REF!+H451)</f>
        <v>#REF!</v>
      </c>
      <c r="J451" s="244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2" t="str">
        <f t="shared" si="44"/>
        <v/>
      </c>
      <c r="E452" s="531"/>
      <c r="F452" s="531"/>
      <c r="G452" s="198"/>
      <c r="H452" s="243" t="str">
        <f t="shared" si="42"/>
        <v/>
      </c>
      <c r="I452" s="199" t="e">
        <f>IF(#REF!="","",#REF!+G452+#REF!+#REF!+#REF!+H452)</f>
        <v>#REF!</v>
      </c>
      <c r="J452" s="244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2" t="str">
        <f t="shared" si="44"/>
        <v/>
      </c>
      <c r="E453" s="531"/>
      <c r="F453" s="531"/>
      <c r="G453" s="198"/>
      <c r="H453" s="243" t="str">
        <f t="shared" si="42"/>
        <v/>
      </c>
      <c r="I453" s="199" t="e">
        <f>IF(#REF!="","",#REF!+G453+#REF!+#REF!+#REF!+H453)</f>
        <v>#REF!</v>
      </c>
      <c r="J453" s="244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2" t="str">
        <f t="shared" si="44"/>
        <v/>
      </c>
      <c r="E454" s="531"/>
      <c r="F454" s="531"/>
      <c r="G454" s="198"/>
      <c r="H454" s="243" t="str">
        <f t="shared" si="42"/>
        <v/>
      </c>
      <c r="I454" s="199" t="e">
        <f>IF(#REF!="","",#REF!+G454+#REF!+#REF!+#REF!+H454)</f>
        <v>#REF!</v>
      </c>
      <c r="J454" s="244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2" t="str">
        <f t="shared" si="44"/>
        <v/>
      </c>
      <c r="E455" s="531"/>
      <c r="F455" s="531"/>
      <c r="G455" s="198"/>
      <c r="H455" s="243" t="str">
        <f t="shared" si="42"/>
        <v/>
      </c>
      <c r="I455" s="199" t="e">
        <f>IF(#REF!="","",#REF!+G455+#REF!+#REF!+#REF!+H455)</f>
        <v>#REF!</v>
      </c>
      <c r="J455" s="244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2" t="str">
        <f t="shared" si="44"/>
        <v/>
      </c>
      <c r="E456" s="531"/>
      <c r="F456" s="531"/>
      <c r="G456" s="198"/>
      <c r="H456" s="243" t="str">
        <f t="shared" ref="H456:H519" si="47">IF(G456=0,"",G456*$H$5)</f>
        <v/>
      </c>
      <c r="I456" s="199" t="e">
        <f>IF(#REF!="","",#REF!+G456+#REF!+#REF!+#REF!+H456)</f>
        <v>#REF!</v>
      </c>
      <c r="J456" s="244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2" t="str">
        <f t="shared" ref="D457:D520" si="49">IF(A457&lt;&gt;"",PROPER(TEXT(A457,"Mmmm")),"")</f>
        <v/>
      </c>
      <c r="E457" s="531"/>
      <c r="F457" s="531"/>
      <c r="G457" s="198"/>
      <c r="H457" s="243" t="str">
        <f t="shared" si="47"/>
        <v/>
      </c>
      <c r="I457" s="199" t="e">
        <f>IF(#REF!="","",#REF!+G457+#REF!+#REF!+#REF!+H457)</f>
        <v>#REF!</v>
      </c>
      <c r="J457" s="244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2" t="str">
        <f t="shared" si="49"/>
        <v/>
      </c>
      <c r="E458" s="531"/>
      <c r="F458" s="531"/>
      <c r="G458" s="198"/>
      <c r="H458" s="243" t="str">
        <f t="shared" si="47"/>
        <v/>
      </c>
      <c r="I458" s="199" t="e">
        <f>IF(#REF!="","",#REF!+G458+#REF!+#REF!+#REF!+H458)</f>
        <v>#REF!</v>
      </c>
      <c r="J458" s="244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2" t="str">
        <f t="shared" si="49"/>
        <v/>
      </c>
      <c r="E459" s="531"/>
      <c r="F459" s="531"/>
      <c r="G459" s="198"/>
      <c r="H459" s="243" t="str">
        <f t="shared" si="47"/>
        <v/>
      </c>
      <c r="I459" s="199" t="e">
        <f>IF(#REF!="","",#REF!+G459+#REF!+#REF!+#REF!+H459)</f>
        <v>#REF!</v>
      </c>
      <c r="J459" s="244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2" t="str">
        <f t="shared" si="49"/>
        <v/>
      </c>
      <c r="E460" s="531"/>
      <c r="F460" s="531"/>
      <c r="G460" s="198"/>
      <c r="H460" s="243" t="str">
        <f t="shared" si="47"/>
        <v/>
      </c>
      <c r="I460" s="199" t="e">
        <f>IF(#REF!="","",#REF!+G460+#REF!+#REF!+#REF!+H460)</f>
        <v>#REF!</v>
      </c>
      <c r="J460" s="244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2" t="str">
        <f t="shared" si="49"/>
        <v/>
      </c>
      <c r="E461" s="531"/>
      <c r="F461" s="531"/>
      <c r="G461" s="198"/>
      <c r="H461" s="243" t="str">
        <f t="shared" si="47"/>
        <v/>
      </c>
      <c r="I461" s="199" t="e">
        <f>IF(#REF!="","",#REF!+G461+#REF!+#REF!+#REF!+H461)</f>
        <v>#REF!</v>
      </c>
      <c r="J461" s="244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2" t="str">
        <f t="shared" si="49"/>
        <v/>
      </c>
      <c r="E462" s="531"/>
      <c r="F462" s="531"/>
      <c r="G462" s="198"/>
      <c r="H462" s="243" t="str">
        <f t="shared" si="47"/>
        <v/>
      </c>
      <c r="I462" s="199" t="e">
        <f>IF(#REF!="","",#REF!+G462+#REF!+#REF!+#REF!+H462)</f>
        <v>#REF!</v>
      </c>
      <c r="J462" s="244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2" t="str">
        <f t="shared" si="49"/>
        <v/>
      </c>
      <c r="E463" s="531"/>
      <c r="F463" s="531"/>
      <c r="G463" s="198"/>
      <c r="H463" s="243" t="str">
        <f t="shared" si="47"/>
        <v/>
      </c>
      <c r="I463" s="199" t="e">
        <f>IF(#REF!="","",#REF!+G463+#REF!+#REF!+#REF!+H463)</f>
        <v>#REF!</v>
      </c>
      <c r="J463" s="244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2" t="str">
        <f t="shared" si="49"/>
        <v/>
      </c>
      <c r="E464" s="531"/>
      <c r="F464" s="531"/>
      <c r="G464" s="198"/>
      <c r="H464" s="243" t="str">
        <f t="shared" si="47"/>
        <v/>
      </c>
      <c r="I464" s="199" t="e">
        <f>IF(#REF!="","",#REF!+G464+#REF!+#REF!+#REF!+H464)</f>
        <v>#REF!</v>
      </c>
      <c r="J464" s="244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2" t="str">
        <f t="shared" si="49"/>
        <v/>
      </c>
      <c r="E465" s="531"/>
      <c r="F465" s="531"/>
      <c r="G465" s="198"/>
      <c r="H465" s="243" t="str">
        <f t="shared" si="47"/>
        <v/>
      </c>
      <c r="I465" s="199" t="e">
        <f>IF(#REF!="","",#REF!+G465+#REF!+#REF!+#REF!+H465)</f>
        <v>#REF!</v>
      </c>
      <c r="J465" s="244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2" t="str">
        <f t="shared" si="49"/>
        <v/>
      </c>
      <c r="E466" s="531"/>
      <c r="F466" s="531"/>
      <c r="G466" s="198"/>
      <c r="H466" s="243" t="str">
        <f t="shared" si="47"/>
        <v/>
      </c>
      <c r="I466" s="199" t="e">
        <f>IF(#REF!="","",#REF!+G466+#REF!+#REF!+#REF!+H466)</f>
        <v>#REF!</v>
      </c>
      <c r="J466" s="244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2" t="str">
        <f t="shared" si="49"/>
        <v/>
      </c>
      <c r="E467" s="531"/>
      <c r="F467" s="531"/>
      <c r="G467" s="198"/>
      <c r="H467" s="243" t="str">
        <f t="shared" si="47"/>
        <v/>
      </c>
      <c r="I467" s="199" t="e">
        <f>IF(#REF!="","",#REF!+G467+#REF!+#REF!+#REF!+H467)</f>
        <v>#REF!</v>
      </c>
      <c r="J467" s="244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2" t="str">
        <f t="shared" si="49"/>
        <v/>
      </c>
      <c r="E468" s="531"/>
      <c r="F468" s="531"/>
      <c r="G468" s="198"/>
      <c r="H468" s="243" t="str">
        <f t="shared" si="47"/>
        <v/>
      </c>
      <c r="I468" s="199" t="e">
        <f>IF(#REF!="","",#REF!+G468+#REF!+#REF!+#REF!+H468)</f>
        <v>#REF!</v>
      </c>
      <c r="J468" s="244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2" t="str">
        <f t="shared" si="49"/>
        <v/>
      </c>
      <c r="E469" s="531"/>
      <c r="F469" s="531"/>
      <c r="G469" s="198"/>
      <c r="H469" s="243" t="str">
        <f t="shared" si="47"/>
        <v/>
      </c>
      <c r="I469" s="199" t="e">
        <f>IF(#REF!="","",#REF!+G469+#REF!+#REF!+#REF!+H469)</f>
        <v>#REF!</v>
      </c>
      <c r="J469" s="244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2" t="str">
        <f t="shared" si="49"/>
        <v/>
      </c>
      <c r="E470" s="531"/>
      <c r="F470" s="531"/>
      <c r="G470" s="198"/>
      <c r="H470" s="243" t="str">
        <f t="shared" si="47"/>
        <v/>
      </c>
      <c r="I470" s="199" t="e">
        <f>IF(#REF!="","",#REF!+G470+#REF!+#REF!+#REF!+H470)</f>
        <v>#REF!</v>
      </c>
      <c r="J470" s="244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2" t="str">
        <f t="shared" si="49"/>
        <v/>
      </c>
      <c r="E471" s="531"/>
      <c r="F471" s="531"/>
      <c r="G471" s="198"/>
      <c r="H471" s="243" t="str">
        <f t="shared" si="47"/>
        <v/>
      </c>
      <c r="I471" s="199" t="e">
        <f>IF(#REF!="","",#REF!+G471+#REF!+#REF!+#REF!+H471)</f>
        <v>#REF!</v>
      </c>
      <c r="J471" s="244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2" t="str">
        <f t="shared" si="49"/>
        <v/>
      </c>
      <c r="E472" s="531"/>
      <c r="F472" s="531"/>
      <c r="G472" s="198"/>
      <c r="H472" s="243" t="str">
        <f t="shared" si="47"/>
        <v/>
      </c>
      <c r="I472" s="199" t="e">
        <f>IF(#REF!="","",#REF!+G472+#REF!+#REF!+#REF!+H472)</f>
        <v>#REF!</v>
      </c>
      <c r="J472" s="244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2" t="str">
        <f t="shared" si="49"/>
        <v/>
      </c>
      <c r="E473" s="531"/>
      <c r="F473" s="531"/>
      <c r="G473" s="198"/>
      <c r="H473" s="243" t="str">
        <f t="shared" si="47"/>
        <v/>
      </c>
      <c r="I473" s="199" t="e">
        <f>IF(#REF!="","",#REF!+G473+#REF!+#REF!+#REF!+H473)</f>
        <v>#REF!</v>
      </c>
      <c r="J473" s="244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2" t="str">
        <f t="shared" si="49"/>
        <v/>
      </c>
      <c r="E474" s="531"/>
      <c r="F474" s="531"/>
      <c r="G474" s="198"/>
      <c r="H474" s="243" t="str">
        <f t="shared" si="47"/>
        <v/>
      </c>
      <c r="I474" s="199" t="e">
        <f>IF(#REF!="","",#REF!+G474+#REF!+#REF!+#REF!+H474)</f>
        <v>#REF!</v>
      </c>
      <c r="J474" s="244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2" t="str">
        <f t="shared" si="49"/>
        <v/>
      </c>
      <c r="E475" s="531"/>
      <c r="F475" s="531"/>
      <c r="G475" s="198"/>
      <c r="H475" s="243" t="str">
        <f t="shared" si="47"/>
        <v/>
      </c>
      <c r="I475" s="199" t="e">
        <f>IF(#REF!="","",#REF!+G475+#REF!+#REF!+#REF!+H475)</f>
        <v>#REF!</v>
      </c>
      <c r="J475" s="244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2" t="str">
        <f t="shared" si="49"/>
        <v/>
      </c>
      <c r="E476" s="531"/>
      <c r="F476" s="531"/>
      <c r="G476" s="198"/>
      <c r="H476" s="243" t="str">
        <f t="shared" si="47"/>
        <v/>
      </c>
      <c r="I476" s="199" t="e">
        <f>IF(#REF!="","",#REF!+G476+#REF!+#REF!+#REF!+H476)</f>
        <v>#REF!</v>
      </c>
      <c r="J476" s="244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2" t="str">
        <f t="shared" si="49"/>
        <v/>
      </c>
      <c r="E477" s="531"/>
      <c r="F477" s="531"/>
      <c r="G477" s="198"/>
      <c r="H477" s="243" t="str">
        <f t="shared" si="47"/>
        <v/>
      </c>
      <c r="I477" s="199" t="e">
        <f>IF(#REF!="","",#REF!+G477+#REF!+#REF!+#REF!+H477)</f>
        <v>#REF!</v>
      </c>
      <c r="J477" s="244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2" t="str">
        <f t="shared" si="49"/>
        <v/>
      </c>
      <c r="E478" s="531"/>
      <c r="F478" s="531"/>
      <c r="G478" s="198"/>
      <c r="H478" s="243" t="str">
        <f t="shared" si="47"/>
        <v/>
      </c>
      <c r="I478" s="199" t="e">
        <f>IF(#REF!="","",#REF!+G478+#REF!+#REF!+#REF!+H478)</f>
        <v>#REF!</v>
      </c>
      <c r="J478" s="244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2" t="str">
        <f t="shared" si="49"/>
        <v/>
      </c>
      <c r="E479" s="531"/>
      <c r="F479" s="531"/>
      <c r="G479" s="198"/>
      <c r="H479" s="243" t="str">
        <f t="shared" si="47"/>
        <v/>
      </c>
      <c r="I479" s="199" t="e">
        <f>IF(#REF!="","",#REF!+G479+#REF!+#REF!+#REF!+H479)</f>
        <v>#REF!</v>
      </c>
      <c r="J479" s="244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2" t="str">
        <f t="shared" si="49"/>
        <v/>
      </c>
      <c r="E480" s="531"/>
      <c r="F480" s="531"/>
      <c r="G480" s="198"/>
      <c r="H480" s="243" t="str">
        <f t="shared" si="47"/>
        <v/>
      </c>
      <c r="I480" s="199" t="e">
        <f>IF(#REF!="","",#REF!+G480+#REF!+#REF!+#REF!+H480)</f>
        <v>#REF!</v>
      </c>
      <c r="J480" s="244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2" t="str">
        <f t="shared" si="49"/>
        <v/>
      </c>
      <c r="E481" s="531"/>
      <c r="F481" s="531"/>
      <c r="G481" s="198"/>
      <c r="H481" s="243" t="str">
        <f t="shared" si="47"/>
        <v/>
      </c>
      <c r="I481" s="199" t="e">
        <f>IF(#REF!="","",#REF!+G481+#REF!+#REF!+#REF!+H481)</f>
        <v>#REF!</v>
      </c>
      <c r="J481" s="244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2" t="str">
        <f t="shared" si="49"/>
        <v/>
      </c>
      <c r="E482" s="531"/>
      <c r="F482" s="531"/>
      <c r="G482" s="198"/>
      <c r="H482" s="243" t="str">
        <f t="shared" si="47"/>
        <v/>
      </c>
      <c r="I482" s="199" t="e">
        <f>IF(#REF!="","",#REF!+G482+#REF!+#REF!+#REF!+H482)</f>
        <v>#REF!</v>
      </c>
      <c r="J482" s="244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2" t="str">
        <f t="shared" si="49"/>
        <v/>
      </c>
      <c r="E483" s="531"/>
      <c r="F483" s="531"/>
      <c r="G483" s="198"/>
      <c r="H483" s="243" t="str">
        <f t="shared" si="47"/>
        <v/>
      </c>
      <c r="I483" s="199" t="e">
        <f>IF(#REF!="","",#REF!+G483+#REF!+#REF!+#REF!+H483)</f>
        <v>#REF!</v>
      </c>
      <c r="J483" s="244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2" t="str">
        <f t="shared" si="49"/>
        <v/>
      </c>
      <c r="E484" s="531"/>
      <c r="F484" s="531"/>
      <c r="G484" s="198"/>
      <c r="H484" s="243" t="str">
        <f t="shared" si="47"/>
        <v/>
      </c>
      <c r="I484" s="199" t="e">
        <f>IF(#REF!="","",#REF!+G484+#REF!+#REF!+#REF!+H484)</f>
        <v>#REF!</v>
      </c>
      <c r="J484" s="244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2" t="str">
        <f t="shared" si="49"/>
        <v/>
      </c>
      <c r="E485" s="531"/>
      <c r="F485" s="531"/>
      <c r="G485" s="198"/>
      <c r="H485" s="243" t="str">
        <f t="shared" si="47"/>
        <v/>
      </c>
      <c r="I485" s="199" t="e">
        <f>IF(#REF!="","",#REF!+G485+#REF!+#REF!+#REF!+H485)</f>
        <v>#REF!</v>
      </c>
      <c r="J485" s="244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2" t="str">
        <f t="shared" si="49"/>
        <v/>
      </c>
      <c r="E486" s="531"/>
      <c r="F486" s="531"/>
      <c r="G486" s="198"/>
      <c r="H486" s="243" t="str">
        <f t="shared" si="47"/>
        <v/>
      </c>
      <c r="I486" s="199" t="e">
        <f>IF(#REF!="","",#REF!+G486+#REF!+#REF!+#REF!+H486)</f>
        <v>#REF!</v>
      </c>
      <c r="J486" s="244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2" t="str">
        <f t="shared" si="49"/>
        <v/>
      </c>
      <c r="E487" s="531"/>
      <c r="F487" s="531"/>
      <c r="G487" s="198"/>
      <c r="H487" s="243" t="str">
        <f t="shared" si="47"/>
        <v/>
      </c>
      <c r="I487" s="199" t="e">
        <f>IF(#REF!="","",#REF!+G487+#REF!+#REF!+#REF!+H487)</f>
        <v>#REF!</v>
      </c>
      <c r="J487" s="244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2" t="str">
        <f t="shared" si="49"/>
        <v/>
      </c>
      <c r="E488" s="531"/>
      <c r="F488" s="531"/>
      <c r="G488" s="198"/>
      <c r="H488" s="243" t="str">
        <f t="shared" si="47"/>
        <v/>
      </c>
      <c r="I488" s="199" t="e">
        <f>IF(#REF!="","",#REF!+G488+#REF!+#REF!+#REF!+H488)</f>
        <v>#REF!</v>
      </c>
      <c r="J488" s="244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2" t="str">
        <f t="shared" si="49"/>
        <v/>
      </c>
      <c r="E489" s="531"/>
      <c r="F489" s="531"/>
      <c r="G489" s="198"/>
      <c r="H489" s="243" t="str">
        <f t="shared" si="47"/>
        <v/>
      </c>
      <c r="I489" s="199" t="e">
        <f>IF(#REF!="","",#REF!+G489+#REF!+#REF!+#REF!+H489)</f>
        <v>#REF!</v>
      </c>
      <c r="J489" s="244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2" t="str">
        <f t="shared" si="49"/>
        <v/>
      </c>
      <c r="E490" s="531"/>
      <c r="F490" s="531"/>
      <c r="G490" s="198"/>
      <c r="H490" s="243" t="str">
        <f t="shared" si="47"/>
        <v/>
      </c>
      <c r="I490" s="199" t="e">
        <f>IF(#REF!="","",#REF!+G490+#REF!+#REF!+#REF!+H490)</f>
        <v>#REF!</v>
      </c>
      <c r="J490" s="244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2" t="str">
        <f t="shared" si="49"/>
        <v/>
      </c>
      <c r="E491" s="531"/>
      <c r="F491" s="531"/>
      <c r="G491" s="198"/>
      <c r="H491" s="243" t="str">
        <f t="shared" si="47"/>
        <v/>
      </c>
      <c r="I491" s="199" t="e">
        <f>IF(#REF!="","",#REF!+G491+#REF!+#REF!+#REF!+H491)</f>
        <v>#REF!</v>
      </c>
      <c r="J491" s="244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2" t="str">
        <f t="shared" si="49"/>
        <v/>
      </c>
      <c r="E492" s="531"/>
      <c r="F492" s="531"/>
      <c r="G492" s="198"/>
      <c r="H492" s="243" t="str">
        <f t="shared" si="47"/>
        <v/>
      </c>
      <c r="I492" s="199" t="e">
        <f>IF(#REF!="","",#REF!+G492+#REF!+#REF!+#REF!+H492)</f>
        <v>#REF!</v>
      </c>
      <c r="J492" s="244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2" t="str">
        <f t="shared" si="49"/>
        <v/>
      </c>
      <c r="E493" s="531"/>
      <c r="F493" s="531"/>
      <c r="G493" s="198"/>
      <c r="H493" s="243" t="str">
        <f t="shared" si="47"/>
        <v/>
      </c>
      <c r="I493" s="199" t="e">
        <f>IF(#REF!="","",#REF!+G493+#REF!+#REF!+#REF!+H493)</f>
        <v>#REF!</v>
      </c>
      <c r="J493" s="244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2" t="str">
        <f t="shared" si="49"/>
        <v/>
      </c>
      <c r="E494" s="531"/>
      <c r="F494" s="531"/>
      <c r="G494" s="198"/>
      <c r="H494" s="243" t="str">
        <f t="shared" si="47"/>
        <v/>
      </c>
      <c r="I494" s="199" t="e">
        <f>IF(#REF!="","",#REF!+G494+#REF!+#REF!+#REF!+H494)</f>
        <v>#REF!</v>
      </c>
      <c r="J494" s="244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2" t="str">
        <f t="shared" si="49"/>
        <v/>
      </c>
      <c r="E495" s="531"/>
      <c r="F495" s="531"/>
      <c r="G495" s="198"/>
      <c r="H495" s="243" t="str">
        <f t="shared" si="47"/>
        <v/>
      </c>
      <c r="I495" s="199" t="e">
        <f>IF(#REF!="","",#REF!+G495+#REF!+#REF!+#REF!+H495)</f>
        <v>#REF!</v>
      </c>
      <c r="J495" s="244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2" t="str">
        <f t="shared" si="49"/>
        <v/>
      </c>
      <c r="E496" s="531"/>
      <c r="F496" s="531"/>
      <c r="G496" s="198"/>
      <c r="H496" s="243" t="str">
        <f t="shared" si="47"/>
        <v/>
      </c>
      <c r="I496" s="199" t="e">
        <f>IF(#REF!="","",#REF!+G496+#REF!+#REF!+#REF!+H496)</f>
        <v>#REF!</v>
      </c>
      <c r="J496" s="244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2" t="str">
        <f t="shared" si="49"/>
        <v/>
      </c>
      <c r="E497" s="531"/>
      <c r="F497" s="531"/>
      <c r="G497" s="198"/>
      <c r="H497" s="243" t="str">
        <f t="shared" si="47"/>
        <v/>
      </c>
      <c r="I497" s="199" t="e">
        <f>IF(#REF!="","",#REF!+G497+#REF!+#REF!+#REF!+H497)</f>
        <v>#REF!</v>
      </c>
      <c r="J497" s="244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2" t="str">
        <f t="shared" si="49"/>
        <v/>
      </c>
      <c r="E498" s="531"/>
      <c r="F498" s="531"/>
      <c r="G498" s="198"/>
      <c r="H498" s="243" t="str">
        <f t="shared" si="47"/>
        <v/>
      </c>
      <c r="I498" s="199" t="e">
        <f>IF(#REF!="","",#REF!+G498+#REF!+#REF!+#REF!+H498)</f>
        <v>#REF!</v>
      </c>
      <c r="J498" s="244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2" t="str">
        <f t="shared" si="49"/>
        <v/>
      </c>
      <c r="E499" s="531"/>
      <c r="F499" s="531"/>
      <c r="G499" s="198"/>
      <c r="H499" s="243" t="str">
        <f t="shared" si="47"/>
        <v/>
      </c>
      <c r="I499" s="199" t="e">
        <f>IF(#REF!="","",#REF!+G499+#REF!+#REF!+#REF!+H499)</f>
        <v>#REF!</v>
      </c>
      <c r="J499" s="244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2" t="str">
        <f t="shared" si="49"/>
        <v/>
      </c>
      <c r="E500" s="531"/>
      <c r="F500" s="531"/>
      <c r="G500" s="198"/>
      <c r="H500" s="243" t="str">
        <f t="shared" si="47"/>
        <v/>
      </c>
      <c r="I500" s="199" t="e">
        <f>IF(#REF!="","",#REF!+G500+#REF!+#REF!+#REF!+H500)</f>
        <v>#REF!</v>
      </c>
      <c r="J500" s="244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2" t="str">
        <f t="shared" si="49"/>
        <v/>
      </c>
      <c r="E501" s="531"/>
      <c r="F501" s="531"/>
      <c r="G501" s="198"/>
      <c r="H501" s="243" t="str">
        <f t="shared" si="47"/>
        <v/>
      </c>
      <c r="I501" s="199" t="e">
        <f>IF(#REF!="","",#REF!+G501+#REF!+#REF!+#REF!+H501)</f>
        <v>#REF!</v>
      </c>
      <c r="J501" s="244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2" t="str">
        <f t="shared" si="49"/>
        <v/>
      </c>
      <c r="E502" s="531"/>
      <c r="F502" s="531"/>
      <c r="G502" s="198"/>
      <c r="H502" s="243" t="str">
        <f t="shared" si="47"/>
        <v/>
      </c>
      <c r="I502" s="199" t="e">
        <f>IF(#REF!="","",#REF!+G502+#REF!+#REF!+#REF!+H502)</f>
        <v>#REF!</v>
      </c>
      <c r="J502" s="244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2" t="str">
        <f t="shared" si="49"/>
        <v/>
      </c>
      <c r="E503" s="531"/>
      <c r="F503" s="531"/>
      <c r="G503" s="198"/>
      <c r="H503" s="243" t="str">
        <f t="shared" si="47"/>
        <v/>
      </c>
      <c r="I503" s="199" t="e">
        <f>IF(#REF!="","",#REF!+G503+#REF!+#REF!+#REF!+H503)</f>
        <v>#REF!</v>
      </c>
      <c r="J503" s="244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2" t="str">
        <f t="shared" si="49"/>
        <v/>
      </c>
      <c r="E504" s="531"/>
      <c r="F504" s="531"/>
      <c r="G504" s="198"/>
      <c r="H504" s="243" t="str">
        <f t="shared" si="47"/>
        <v/>
      </c>
      <c r="I504" s="199" t="e">
        <f>IF(#REF!="","",#REF!+G504+#REF!+#REF!+#REF!+H504)</f>
        <v>#REF!</v>
      </c>
      <c r="J504" s="244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2" t="str">
        <f t="shared" si="49"/>
        <v/>
      </c>
      <c r="E505" s="531"/>
      <c r="F505" s="531"/>
      <c r="G505" s="198"/>
      <c r="H505" s="243" t="str">
        <f t="shared" si="47"/>
        <v/>
      </c>
      <c r="I505" s="199" t="e">
        <f>IF(#REF!="","",#REF!+G505+#REF!+#REF!+#REF!+H505)</f>
        <v>#REF!</v>
      </c>
      <c r="J505" s="244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2" t="str">
        <f t="shared" si="49"/>
        <v/>
      </c>
      <c r="E506" s="531"/>
      <c r="F506" s="531"/>
      <c r="G506" s="198"/>
      <c r="H506" s="243" t="str">
        <f t="shared" si="47"/>
        <v/>
      </c>
      <c r="I506" s="199" t="e">
        <f>IF(#REF!="","",#REF!+G506+#REF!+#REF!+#REF!+H506)</f>
        <v>#REF!</v>
      </c>
      <c r="J506" s="244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2" t="str">
        <f t="shared" si="49"/>
        <v/>
      </c>
      <c r="E507" s="531"/>
      <c r="F507" s="531"/>
      <c r="G507" s="198"/>
      <c r="H507" s="243" t="str">
        <f t="shared" si="47"/>
        <v/>
      </c>
      <c r="I507" s="199" t="e">
        <f>IF(#REF!="","",#REF!+G507+#REF!+#REF!+#REF!+H507)</f>
        <v>#REF!</v>
      </c>
      <c r="J507" s="244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2" t="str">
        <f t="shared" si="49"/>
        <v/>
      </c>
      <c r="E508" s="531"/>
      <c r="F508" s="531"/>
      <c r="G508" s="198"/>
      <c r="H508" s="243" t="str">
        <f t="shared" si="47"/>
        <v/>
      </c>
      <c r="I508" s="199" t="e">
        <f>IF(#REF!="","",#REF!+G508+#REF!+#REF!+#REF!+H508)</f>
        <v>#REF!</v>
      </c>
      <c r="J508" s="244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2" t="str">
        <f t="shared" si="49"/>
        <v/>
      </c>
      <c r="E509" s="531"/>
      <c r="F509" s="531"/>
      <c r="G509" s="198"/>
      <c r="H509" s="243" t="str">
        <f t="shared" si="47"/>
        <v/>
      </c>
      <c r="I509" s="199" t="e">
        <f>IF(#REF!="","",#REF!+G509+#REF!+#REF!+#REF!+H509)</f>
        <v>#REF!</v>
      </c>
      <c r="J509" s="244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2" t="str">
        <f t="shared" si="49"/>
        <v/>
      </c>
      <c r="E510" s="531"/>
      <c r="F510" s="531"/>
      <c r="G510" s="198"/>
      <c r="H510" s="243" t="str">
        <f t="shared" si="47"/>
        <v/>
      </c>
      <c r="I510" s="199" t="e">
        <f>IF(#REF!="","",#REF!+G510+#REF!+#REF!+#REF!+H510)</f>
        <v>#REF!</v>
      </c>
      <c r="J510" s="244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2" t="str">
        <f t="shared" si="49"/>
        <v/>
      </c>
      <c r="E511" s="531"/>
      <c r="F511" s="531"/>
      <c r="G511" s="198"/>
      <c r="H511" s="243" t="str">
        <f t="shared" si="47"/>
        <v/>
      </c>
      <c r="I511" s="199" t="e">
        <f>IF(#REF!="","",#REF!+G511+#REF!+#REF!+#REF!+H511)</f>
        <v>#REF!</v>
      </c>
      <c r="J511" s="244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2" t="str">
        <f t="shared" si="49"/>
        <v/>
      </c>
      <c r="E512" s="531"/>
      <c r="F512" s="531"/>
      <c r="G512" s="198"/>
      <c r="H512" s="243" t="str">
        <f t="shared" si="47"/>
        <v/>
      </c>
      <c r="I512" s="199" t="e">
        <f>IF(#REF!="","",#REF!+G512+#REF!+#REF!+#REF!+H512)</f>
        <v>#REF!</v>
      </c>
      <c r="J512" s="244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2" t="str">
        <f t="shared" si="49"/>
        <v/>
      </c>
      <c r="E513" s="531"/>
      <c r="F513" s="531"/>
      <c r="G513" s="198"/>
      <c r="H513" s="243" t="str">
        <f t="shared" si="47"/>
        <v/>
      </c>
      <c r="I513" s="199" t="e">
        <f>IF(#REF!="","",#REF!+G513+#REF!+#REF!+#REF!+H513)</f>
        <v>#REF!</v>
      </c>
      <c r="J513" s="244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2" t="str">
        <f t="shared" si="49"/>
        <v/>
      </c>
      <c r="E514" s="531"/>
      <c r="F514" s="531"/>
      <c r="G514" s="198"/>
      <c r="H514" s="243" t="str">
        <f t="shared" si="47"/>
        <v/>
      </c>
      <c r="I514" s="199" t="e">
        <f>IF(#REF!="","",#REF!+G514+#REF!+#REF!+#REF!+H514)</f>
        <v>#REF!</v>
      </c>
      <c r="J514" s="244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2" t="str">
        <f t="shared" si="49"/>
        <v/>
      </c>
      <c r="E515" s="531"/>
      <c r="F515" s="531"/>
      <c r="G515" s="198"/>
      <c r="H515" s="243" t="str">
        <f t="shared" si="47"/>
        <v/>
      </c>
      <c r="I515" s="199" t="e">
        <f>IF(#REF!="","",#REF!+G515+#REF!+#REF!+#REF!+H515)</f>
        <v>#REF!</v>
      </c>
      <c r="J515" s="244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2" t="str">
        <f t="shared" si="49"/>
        <v/>
      </c>
      <c r="E516" s="531"/>
      <c r="F516" s="531"/>
      <c r="G516" s="198"/>
      <c r="H516" s="243" t="str">
        <f t="shared" si="47"/>
        <v/>
      </c>
      <c r="I516" s="199" t="e">
        <f>IF(#REF!="","",#REF!+G516+#REF!+#REF!+#REF!+H516)</f>
        <v>#REF!</v>
      </c>
      <c r="J516" s="244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2" t="str">
        <f t="shared" si="49"/>
        <v/>
      </c>
      <c r="E517" s="531"/>
      <c r="F517" s="531"/>
      <c r="G517" s="198"/>
      <c r="H517" s="243" t="str">
        <f t="shared" si="47"/>
        <v/>
      </c>
      <c r="I517" s="199" t="e">
        <f>IF(#REF!="","",#REF!+G517+#REF!+#REF!+#REF!+H517)</f>
        <v>#REF!</v>
      </c>
      <c r="J517" s="244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2" t="str">
        <f t="shared" si="49"/>
        <v/>
      </c>
      <c r="E518" s="531"/>
      <c r="F518" s="531"/>
      <c r="G518" s="198"/>
      <c r="H518" s="243" t="str">
        <f t="shared" si="47"/>
        <v/>
      </c>
      <c r="I518" s="199" t="e">
        <f>IF(#REF!="","",#REF!+G518+#REF!+#REF!+#REF!+H518)</f>
        <v>#REF!</v>
      </c>
      <c r="J518" s="244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2" t="str">
        <f t="shared" si="49"/>
        <v/>
      </c>
      <c r="E519" s="531"/>
      <c r="F519" s="531"/>
      <c r="G519" s="198"/>
      <c r="H519" s="243" t="str">
        <f t="shared" si="47"/>
        <v/>
      </c>
      <c r="I519" s="199" t="e">
        <f>IF(#REF!="","",#REF!+G519+#REF!+#REF!+#REF!+H519)</f>
        <v>#REF!</v>
      </c>
      <c r="J519" s="244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2" t="str">
        <f t="shared" si="49"/>
        <v/>
      </c>
      <c r="E520" s="531"/>
      <c r="F520" s="531"/>
      <c r="G520" s="198"/>
      <c r="H520" s="243" t="str">
        <f t="shared" ref="H520:H583" si="52">IF(G520=0,"",G520*$H$5)</f>
        <v/>
      </c>
      <c r="I520" s="199" t="e">
        <f>IF(#REF!="","",#REF!+G520+#REF!+#REF!+#REF!+H520)</f>
        <v>#REF!</v>
      </c>
      <c r="J520" s="244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2" t="str">
        <f t="shared" ref="D521:D584" si="54">IF(A521&lt;&gt;"",PROPER(TEXT(A521,"Mmmm")),"")</f>
        <v/>
      </c>
      <c r="E521" s="531"/>
      <c r="F521" s="531"/>
      <c r="G521" s="198"/>
      <c r="H521" s="243" t="str">
        <f t="shared" si="52"/>
        <v/>
      </c>
      <c r="I521" s="199" t="e">
        <f>IF(#REF!="","",#REF!+G521+#REF!+#REF!+#REF!+H521)</f>
        <v>#REF!</v>
      </c>
      <c r="J521" s="244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2" t="str">
        <f t="shared" si="54"/>
        <v/>
      </c>
      <c r="E522" s="531"/>
      <c r="F522" s="531"/>
      <c r="G522" s="198"/>
      <c r="H522" s="243" t="str">
        <f t="shared" si="52"/>
        <v/>
      </c>
      <c r="I522" s="199" t="e">
        <f>IF(#REF!="","",#REF!+G522+#REF!+#REF!+#REF!+H522)</f>
        <v>#REF!</v>
      </c>
      <c r="J522" s="244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2" t="str">
        <f t="shared" si="54"/>
        <v/>
      </c>
      <c r="E523" s="531"/>
      <c r="F523" s="531"/>
      <c r="G523" s="198"/>
      <c r="H523" s="243" t="str">
        <f t="shared" si="52"/>
        <v/>
      </c>
      <c r="I523" s="199" t="e">
        <f>IF(#REF!="","",#REF!+G523+#REF!+#REF!+#REF!+H523)</f>
        <v>#REF!</v>
      </c>
      <c r="J523" s="244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2" t="str">
        <f t="shared" si="54"/>
        <v/>
      </c>
      <c r="E524" s="531"/>
      <c r="F524" s="531"/>
      <c r="G524" s="198"/>
      <c r="H524" s="243" t="str">
        <f t="shared" si="52"/>
        <v/>
      </c>
      <c r="I524" s="199" t="e">
        <f>IF(#REF!="","",#REF!+G524+#REF!+#REF!+#REF!+H524)</f>
        <v>#REF!</v>
      </c>
      <c r="J524" s="244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2" t="str">
        <f t="shared" si="54"/>
        <v/>
      </c>
      <c r="E525" s="531"/>
      <c r="F525" s="531"/>
      <c r="G525" s="198"/>
      <c r="H525" s="243" t="str">
        <f t="shared" si="52"/>
        <v/>
      </c>
      <c r="I525" s="199" t="e">
        <f>IF(#REF!="","",#REF!+G525+#REF!+#REF!+#REF!+H525)</f>
        <v>#REF!</v>
      </c>
      <c r="J525" s="244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2" t="str">
        <f t="shared" si="54"/>
        <v/>
      </c>
      <c r="E526" s="531"/>
      <c r="F526" s="531"/>
      <c r="G526" s="198"/>
      <c r="H526" s="243" t="str">
        <f t="shared" si="52"/>
        <v/>
      </c>
      <c r="I526" s="199" t="e">
        <f>IF(#REF!="","",#REF!+G526+#REF!+#REF!+#REF!+H526)</f>
        <v>#REF!</v>
      </c>
      <c r="J526" s="244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2" t="str">
        <f t="shared" si="54"/>
        <v/>
      </c>
      <c r="E527" s="531"/>
      <c r="F527" s="531"/>
      <c r="G527" s="198"/>
      <c r="H527" s="243" t="str">
        <f t="shared" si="52"/>
        <v/>
      </c>
      <c r="I527" s="199" t="e">
        <f>IF(#REF!="","",#REF!+G527+#REF!+#REF!+#REF!+H527)</f>
        <v>#REF!</v>
      </c>
      <c r="J527" s="244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2" t="str">
        <f t="shared" si="54"/>
        <v/>
      </c>
      <c r="E528" s="531"/>
      <c r="F528" s="531"/>
      <c r="G528" s="198"/>
      <c r="H528" s="243" t="str">
        <f t="shared" si="52"/>
        <v/>
      </c>
      <c r="I528" s="199" t="e">
        <f>IF(#REF!="","",#REF!+G528+#REF!+#REF!+#REF!+H528)</f>
        <v>#REF!</v>
      </c>
      <c r="J528" s="244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2" t="str">
        <f t="shared" si="54"/>
        <v/>
      </c>
      <c r="E529" s="531"/>
      <c r="F529" s="531"/>
      <c r="G529" s="198"/>
      <c r="H529" s="243" t="str">
        <f t="shared" si="52"/>
        <v/>
      </c>
      <c r="I529" s="199" t="e">
        <f>IF(#REF!="","",#REF!+G529+#REF!+#REF!+#REF!+H529)</f>
        <v>#REF!</v>
      </c>
      <c r="J529" s="244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2" t="str">
        <f t="shared" si="54"/>
        <v/>
      </c>
      <c r="E530" s="531"/>
      <c r="F530" s="531"/>
      <c r="G530" s="198"/>
      <c r="H530" s="243" t="str">
        <f t="shared" si="52"/>
        <v/>
      </c>
      <c r="I530" s="199" t="e">
        <f>IF(#REF!="","",#REF!+G530+#REF!+#REF!+#REF!+H530)</f>
        <v>#REF!</v>
      </c>
      <c r="J530" s="244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2" t="str">
        <f t="shared" si="54"/>
        <v/>
      </c>
      <c r="E531" s="531"/>
      <c r="F531" s="531"/>
      <c r="G531" s="198"/>
      <c r="H531" s="243" t="str">
        <f t="shared" si="52"/>
        <v/>
      </c>
      <c r="I531" s="199" t="e">
        <f>IF(#REF!="","",#REF!+G531+#REF!+#REF!+#REF!+H531)</f>
        <v>#REF!</v>
      </c>
      <c r="J531" s="244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2" t="str">
        <f t="shared" si="54"/>
        <v/>
      </c>
      <c r="E532" s="531"/>
      <c r="F532" s="531"/>
      <c r="G532" s="198"/>
      <c r="H532" s="243" t="str">
        <f t="shared" si="52"/>
        <v/>
      </c>
      <c r="I532" s="199" t="e">
        <f>IF(#REF!="","",#REF!+G532+#REF!+#REF!+#REF!+H532)</f>
        <v>#REF!</v>
      </c>
      <c r="J532" s="244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2" t="str">
        <f t="shared" si="54"/>
        <v/>
      </c>
      <c r="E533" s="531"/>
      <c r="F533" s="531"/>
      <c r="G533" s="198"/>
      <c r="H533" s="243" t="str">
        <f t="shared" si="52"/>
        <v/>
      </c>
      <c r="I533" s="199" t="e">
        <f>IF(#REF!="","",#REF!+G533+#REF!+#REF!+#REF!+H533)</f>
        <v>#REF!</v>
      </c>
      <c r="J533" s="244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2" t="str">
        <f t="shared" si="54"/>
        <v/>
      </c>
      <c r="E534" s="531"/>
      <c r="F534" s="531"/>
      <c r="G534" s="198"/>
      <c r="H534" s="243" t="str">
        <f t="shared" si="52"/>
        <v/>
      </c>
      <c r="I534" s="199" t="e">
        <f>IF(#REF!="","",#REF!+G534+#REF!+#REF!+#REF!+H534)</f>
        <v>#REF!</v>
      </c>
      <c r="J534" s="244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2" t="str">
        <f t="shared" si="54"/>
        <v/>
      </c>
      <c r="E535" s="531"/>
      <c r="F535" s="531"/>
      <c r="G535" s="198"/>
      <c r="H535" s="243" t="str">
        <f t="shared" si="52"/>
        <v/>
      </c>
      <c r="I535" s="199" t="e">
        <f>IF(#REF!="","",#REF!+G535+#REF!+#REF!+#REF!+H535)</f>
        <v>#REF!</v>
      </c>
      <c r="J535" s="244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2" t="str">
        <f t="shared" si="54"/>
        <v/>
      </c>
      <c r="E536" s="531"/>
      <c r="F536" s="531"/>
      <c r="G536" s="198"/>
      <c r="H536" s="243" t="str">
        <f t="shared" si="52"/>
        <v/>
      </c>
      <c r="I536" s="199" t="e">
        <f>IF(#REF!="","",#REF!+G536+#REF!+#REF!+#REF!+H536)</f>
        <v>#REF!</v>
      </c>
      <c r="J536" s="244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2" t="str">
        <f t="shared" si="54"/>
        <v/>
      </c>
      <c r="E537" s="531"/>
      <c r="F537" s="531"/>
      <c r="G537" s="198"/>
      <c r="H537" s="243" t="str">
        <f t="shared" si="52"/>
        <v/>
      </c>
      <c r="I537" s="199" t="e">
        <f>IF(#REF!="","",#REF!+G537+#REF!+#REF!+#REF!+H537)</f>
        <v>#REF!</v>
      </c>
      <c r="J537" s="244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2" t="str">
        <f t="shared" si="54"/>
        <v/>
      </c>
      <c r="E538" s="531"/>
      <c r="F538" s="531"/>
      <c r="G538" s="198"/>
      <c r="H538" s="243" t="str">
        <f t="shared" si="52"/>
        <v/>
      </c>
      <c r="I538" s="199" t="e">
        <f>IF(#REF!="","",#REF!+G538+#REF!+#REF!+#REF!+H538)</f>
        <v>#REF!</v>
      </c>
      <c r="J538" s="244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2" t="str">
        <f t="shared" si="54"/>
        <v/>
      </c>
      <c r="E539" s="531"/>
      <c r="F539" s="531"/>
      <c r="G539" s="198"/>
      <c r="H539" s="243" t="str">
        <f t="shared" si="52"/>
        <v/>
      </c>
      <c r="I539" s="199" t="e">
        <f>IF(#REF!="","",#REF!+G539+#REF!+#REF!+#REF!+H539)</f>
        <v>#REF!</v>
      </c>
      <c r="J539" s="244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2" t="str">
        <f t="shared" si="54"/>
        <v/>
      </c>
      <c r="E540" s="531"/>
      <c r="F540" s="531"/>
      <c r="G540" s="198"/>
      <c r="H540" s="243" t="str">
        <f t="shared" si="52"/>
        <v/>
      </c>
      <c r="I540" s="199" t="e">
        <f>IF(#REF!="","",#REF!+G540+#REF!+#REF!+#REF!+H540)</f>
        <v>#REF!</v>
      </c>
      <c r="J540" s="244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2" t="str">
        <f t="shared" si="54"/>
        <v/>
      </c>
      <c r="E541" s="531"/>
      <c r="F541" s="531"/>
      <c r="G541" s="198"/>
      <c r="H541" s="243" t="str">
        <f t="shared" si="52"/>
        <v/>
      </c>
      <c r="I541" s="199" t="e">
        <f>IF(#REF!="","",#REF!+G541+#REF!+#REF!+#REF!+H541)</f>
        <v>#REF!</v>
      </c>
      <c r="J541" s="244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2" t="str">
        <f t="shared" si="54"/>
        <v/>
      </c>
      <c r="E542" s="531"/>
      <c r="F542" s="531"/>
      <c r="G542" s="198"/>
      <c r="H542" s="243" t="str">
        <f t="shared" si="52"/>
        <v/>
      </c>
      <c r="I542" s="199" t="e">
        <f>IF(#REF!="","",#REF!+G542+#REF!+#REF!+#REF!+H542)</f>
        <v>#REF!</v>
      </c>
      <c r="J542" s="244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2" t="str">
        <f t="shared" si="54"/>
        <v/>
      </c>
      <c r="E543" s="531"/>
      <c r="F543" s="531"/>
      <c r="G543" s="198"/>
      <c r="H543" s="243" t="str">
        <f t="shared" si="52"/>
        <v/>
      </c>
      <c r="I543" s="199" t="e">
        <f>IF(#REF!="","",#REF!+G543+#REF!+#REF!+#REF!+H543)</f>
        <v>#REF!</v>
      </c>
      <c r="J543" s="244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2" t="str">
        <f t="shared" si="54"/>
        <v/>
      </c>
      <c r="E544" s="531"/>
      <c r="F544" s="531"/>
      <c r="G544" s="198"/>
      <c r="H544" s="243" t="str">
        <f t="shared" si="52"/>
        <v/>
      </c>
      <c r="I544" s="199" t="e">
        <f>IF(#REF!="","",#REF!+G544+#REF!+#REF!+#REF!+H544)</f>
        <v>#REF!</v>
      </c>
      <c r="J544" s="244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2" t="str">
        <f t="shared" si="54"/>
        <v/>
      </c>
      <c r="E545" s="531"/>
      <c r="F545" s="531"/>
      <c r="G545" s="198"/>
      <c r="H545" s="243" t="str">
        <f t="shared" si="52"/>
        <v/>
      </c>
      <c r="I545" s="199" t="e">
        <f>IF(#REF!="","",#REF!+G545+#REF!+#REF!+#REF!+H545)</f>
        <v>#REF!</v>
      </c>
      <c r="J545" s="244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2" t="str">
        <f t="shared" si="54"/>
        <v/>
      </c>
      <c r="E546" s="531"/>
      <c r="F546" s="531"/>
      <c r="G546" s="198"/>
      <c r="H546" s="243" t="str">
        <f t="shared" si="52"/>
        <v/>
      </c>
      <c r="I546" s="199" t="e">
        <f>IF(#REF!="","",#REF!+G546+#REF!+#REF!+#REF!+H546)</f>
        <v>#REF!</v>
      </c>
      <c r="J546" s="244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2" t="str">
        <f t="shared" si="54"/>
        <v/>
      </c>
      <c r="E547" s="531"/>
      <c r="F547" s="531"/>
      <c r="G547" s="198"/>
      <c r="H547" s="243" t="str">
        <f t="shared" si="52"/>
        <v/>
      </c>
      <c r="I547" s="199" t="e">
        <f>IF(#REF!="","",#REF!+G547+#REF!+#REF!+#REF!+H547)</f>
        <v>#REF!</v>
      </c>
      <c r="J547" s="244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2" t="str">
        <f t="shared" si="54"/>
        <v/>
      </c>
      <c r="E548" s="531"/>
      <c r="F548" s="531"/>
      <c r="G548" s="198"/>
      <c r="H548" s="243" t="str">
        <f t="shared" si="52"/>
        <v/>
      </c>
      <c r="I548" s="199" t="e">
        <f>IF(#REF!="","",#REF!+G548+#REF!+#REF!+#REF!+H548)</f>
        <v>#REF!</v>
      </c>
      <c r="J548" s="244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2" t="str">
        <f t="shared" si="54"/>
        <v/>
      </c>
      <c r="E549" s="531"/>
      <c r="F549" s="531"/>
      <c r="G549" s="198"/>
      <c r="H549" s="243" t="str">
        <f t="shared" si="52"/>
        <v/>
      </c>
      <c r="I549" s="199" t="e">
        <f>IF(#REF!="","",#REF!+G549+#REF!+#REF!+#REF!+H549)</f>
        <v>#REF!</v>
      </c>
      <c r="J549" s="244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2" t="str">
        <f t="shared" si="54"/>
        <v/>
      </c>
      <c r="E550" s="531"/>
      <c r="F550" s="531"/>
      <c r="G550" s="198"/>
      <c r="H550" s="243" t="str">
        <f t="shared" si="52"/>
        <v/>
      </c>
      <c r="I550" s="199" t="e">
        <f>IF(#REF!="","",#REF!+G550+#REF!+#REF!+#REF!+H550)</f>
        <v>#REF!</v>
      </c>
      <c r="J550" s="244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2" t="str">
        <f t="shared" si="54"/>
        <v/>
      </c>
      <c r="E551" s="531"/>
      <c r="F551" s="531"/>
      <c r="G551" s="198"/>
      <c r="H551" s="243" t="str">
        <f t="shared" si="52"/>
        <v/>
      </c>
      <c r="I551" s="199" t="e">
        <f>IF(#REF!="","",#REF!+G551+#REF!+#REF!+#REF!+H551)</f>
        <v>#REF!</v>
      </c>
      <c r="J551" s="244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2" t="str">
        <f t="shared" si="54"/>
        <v/>
      </c>
      <c r="E552" s="531"/>
      <c r="F552" s="531"/>
      <c r="G552" s="198"/>
      <c r="H552" s="243" t="str">
        <f t="shared" si="52"/>
        <v/>
      </c>
      <c r="I552" s="199" t="e">
        <f>IF(#REF!="","",#REF!+G552+#REF!+#REF!+#REF!+H552)</f>
        <v>#REF!</v>
      </c>
      <c r="J552" s="244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2" t="str">
        <f t="shared" si="54"/>
        <v/>
      </c>
      <c r="E553" s="531"/>
      <c r="F553" s="531"/>
      <c r="G553" s="198"/>
      <c r="H553" s="243" t="str">
        <f t="shared" si="52"/>
        <v/>
      </c>
      <c r="I553" s="199" t="e">
        <f>IF(#REF!="","",#REF!+G553+#REF!+#REF!+#REF!+H553)</f>
        <v>#REF!</v>
      </c>
      <c r="J553" s="244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2" t="str">
        <f t="shared" si="54"/>
        <v/>
      </c>
      <c r="E554" s="531"/>
      <c r="F554" s="531"/>
      <c r="G554" s="198"/>
      <c r="H554" s="243" t="str">
        <f t="shared" si="52"/>
        <v/>
      </c>
      <c r="I554" s="199" t="e">
        <f>IF(#REF!="","",#REF!+G554+#REF!+#REF!+#REF!+H554)</f>
        <v>#REF!</v>
      </c>
      <c r="J554" s="244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2" t="str">
        <f t="shared" si="54"/>
        <v/>
      </c>
      <c r="E555" s="531"/>
      <c r="F555" s="531"/>
      <c r="G555" s="198"/>
      <c r="H555" s="243" t="str">
        <f t="shared" si="52"/>
        <v/>
      </c>
      <c r="I555" s="199" t="e">
        <f>IF(#REF!="","",#REF!+G555+#REF!+#REF!+#REF!+H555)</f>
        <v>#REF!</v>
      </c>
      <c r="J555" s="244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2" t="str">
        <f t="shared" si="54"/>
        <v/>
      </c>
      <c r="E556" s="531"/>
      <c r="F556" s="531"/>
      <c r="G556" s="198"/>
      <c r="H556" s="243" t="str">
        <f t="shared" si="52"/>
        <v/>
      </c>
      <c r="I556" s="199" t="e">
        <f>IF(#REF!="","",#REF!+G556+#REF!+#REF!+#REF!+H556)</f>
        <v>#REF!</v>
      </c>
      <c r="J556" s="244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2" t="str">
        <f t="shared" si="54"/>
        <v/>
      </c>
      <c r="E557" s="531"/>
      <c r="F557" s="531"/>
      <c r="G557" s="198"/>
      <c r="H557" s="243" t="str">
        <f t="shared" si="52"/>
        <v/>
      </c>
      <c r="I557" s="199" t="e">
        <f>IF(#REF!="","",#REF!+G557+#REF!+#REF!+#REF!+H557)</f>
        <v>#REF!</v>
      </c>
      <c r="J557" s="244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2" t="str">
        <f t="shared" si="54"/>
        <v/>
      </c>
      <c r="E558" s="531"/>
      <c r="F558" s="531"/>
      <c r="G558" s="198"/>
      <c r="H558" s="243" t="str">
        <f t="shared" si="52"/>
        <v/>
      </c>
      <c r="I558" s="199" t="e">
        <f>IF(#REF!="","",#REF!+G558+#REF!+#REF!+#REF!+H558)</f>
        <v>#REF!</v>
      </c>
      <c r="J558" s="244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2" t="str">
        <f t="shared" si="54"/>
        <v/>
      </c>
      <c r="E559" s="531"/>
      <c r="F559" s="531"/>
      <c r="G559" s="198"/>
      <c r="H559" s="243" t="str">
        <f t="shared" si="52"/>
        <v/>
      </c>
      <c r="I559" s="199" t="e">
        <f>IF(#REF!="","",#REF!+G559+#REF!+#REF!+#REF!+H559)</f>
        <v>#REF!</v>
      </c>
      <c r="J559" s="244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2" t="str">
        <f t="shared" si="54"/>
        <v/>
      </c>
      <c r="E560" s="531"/>
      <c r="F560" s="531"/>
      <c r="G560" s="198"/>
      <c r="H560" s="243" t="str">
        <f t="shared" si="52"/>
        <v/>
      </c>
      <c r="I560" s="199" t="e">
        <f>IF(#REF!="","",#REF!+G560+#REF!+#REF!+#REF!+H560)</f>
        <v>#REF!</v>
      </c>
      <c r="J560" s="244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2" t="str">
        <f t="shared" si="54"/>
        <v/>
      </c>
      <c r="E561" s="531"/>
      <c r="F561" s="531"/>
      <c r="G561" s="198"/>
      <c r="H561" s="243" t="str">
        <f t="shared" si="52"/>
        <v/>
      </c>
      <c r="I561" s="199" t="e">
        <f>IF(#REF!="","",#REF!+G561+#REF!+#REF!+#REF!+H561)</f>
        <v>#REF!</v>
      </c>
      <c r="J561" s="244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2" t="str">
        <f t="shared" si="54"/>
        <v/>
      </c>
      <c r="E562" s="531"/>
      <c r="F562" s="531"/>
      <c r="G562" s="198"/>
      <c r="H562" s="243" t="str">
        <f t="shared" si="52"/>
        <v/>
      </c>
      <c r="I562" s="199" t="e">
        <f>IF(#REF!="","",#REF!+G562+#REF!+#REF!+#REF!+H562)</f>
        <v>#REF!</v>
      </c>
      <c r="J562" s="244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2" t="str">
        <f t="shared" si="54"/>
        <v/>
      </c>
      <c r="E563" s="531"/>
      <c r="F563" s="531"/>
      <c r="G563" s="198"/>
      <c r="H563" s="243" t="str">
        <f t="shared" si="52"/>
        <v/>
      </c>
      <c r="I563" s="199" t="e">
        <f>IF(#REF!="","",#REF!+G563+#REF!+#REF!+#REF!+H563)</f>
        <v>#REF!</v>
      </c>
      <c r="J563" s="244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2" t="str">
        <f t="shared" si="54"/>
        <v/>
      </c>
      <c r="E564" s="531"/>
      <c r="F564" s="531"/>
      <c r="G564" s="198"/>
      <c r="H564" s="243" t="str">
        <f t="shared" si="52"/>
        <v/>
      </c>
      <c r="I564" s="199" t="e">
        <f>IF(#REF!="","",#REF!+G564+#REF!+#REF!+#REF!+H564)</f>
        <v>#REF!</v>
      </c>
      <c r="J564" s="244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2" t="str">
        <f t="shared" si="54"/>
        <v/>
      </c>
      <c r="E565" s="531"/>
      <c r="F565" s="531"/>
      <c r="G565" s="198"/>
      <c r="H565" s="243" t="str">
        <f t="shared" si="52"/>
        <v/>
      </c>
      <c r="I565" s="199" t="e">
        <f>IF(#REF!="","",#REF!+G565+#REF!+#REF!+#REF!+H565)</f>
        <v>#REF!</v>
      </c>
      <c r="J565" s="244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2" t="str">
        <f t="shared" si="54"/>
        <v/>
      </c>
      <c r="E566" s="531"/>
      <c r="F566" s="531"/>
      <c r="G566" s="198"/>
      <c r="H566" s="243" t="str">
        <f t="shared" si="52"/>
        <v/>
      </c>
      <c r="I566" s="199" t="e">
        <f>IF(#REF!="","",#REF!+G566+#REF!+#REF!+#REF!+H566)</f>
        <v>#REF!</v>
      </c>
      <c r="J566" s="244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2" t="str">
        <f t="shared" si="54"/>
        <v/>
      </c>
      <c r="E567" s="531"/>
      <c r="F567" s="531"/>
      <c r="G567" s="198"/>
      <c r="H567" s="243" t="str">
        <f t="shared" si="52"/>
        <v/>
      </c>
      <c r="I567" s="199" t="e">
        <f>IF(#REF!="","",#REF!+G567+#REF!+#REF!+#REF!+H567)</f>
        <v>#REF!</v>
      </c>
      <c r="J567" s="244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2" t="str">
        <f t="shared" si="54"/>
        <v/>
      </c>
      <c r="E568" s="531"/>
      <c r="F568" s="531"/>
      <c r="G568" s="198"/>
      <c r="H568" s="243" t="str">
        <f t="shared" si="52"/>
        <v/>
      </c>
      <c r="I568" s="199" t="e">
        <f>IF(#REF!="","",#REF!+G568+#REF!+#REF!+#REF!+H568)</f>
        <v>#REF!</v>
      </c>
      <c r="J568" s="244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2" t="str">
        <f t="shared" si="54"/>
        <v/>
      </c>
      <c r="E569" s="531"/>
      <c r="F569" s="531"/>
      <c r="G569" s="198"/>
      <c r="H569" s="243" t="str">
        <f t="shared" si="52"/>
        <v/>
      </c>
      <c r="I569" s="199" t="e">
        <f>IF(#REF!="","",#REF!+G569+#REF!+#REF!+#REF!+H569)</f>
        <v>#REF!</v>
      </c>
      <c r="J569" s="244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2" t="str">
        <f t="shared" si="54"/>
        <v/>
      </c>
      <c r="E570" s="531"/>
      <c r="F570" s="531"/>
      <c r="G570" s="198"/>
      <c r="H570" s="243" t="str">
        <f t="shared" si="52"/>
        <v/>
      </c>
      <c r="I570" s="199" t="e">
        <f>IF(#REF!="","",#REF!+G570+#REF!+#REF!+#REF!+H570)</f>
        <v>#REF!</v>
      </c>
      <c r="J570" s="244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2" t="str">
        <f t="shared" si="54"/>
        <v/>
      </c>
      <c r="E571" s="531"/>
      <c r="F571" s="531"/>
      <c r="G571" s="198"/>
      <c r="H571" s="243" t="str">
        <f t="shared" si="52"/>
        <v/>
      </c>
      <c r="I571" s="199" t="e">
        <f>IF(#REF!="","",#REF!+G571+#REF!+#REF!+#REF!+H571)</f>
        <v>#REF!</v>
      </c>
      <c r="J571" s="244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2" t="str">
        <f t="shared" si="54"/>
        <v/>
      </c>
      <c r="E572" s="531"/>
      <c r="F572" s="531"/>
      <c r="G572" s="198"/>
      <c r="H572" s="243" t="str">
        <f t="shared" si="52"/>
        <v/>
      </c>
      <c r="I572" s="199" t="e">
        <f>IF(#REF!="","",#REF!+G572+#REF!+#REF!+#REF!+H572)</f>
        <v>#REF!</v>
      </c>
      <c r="J572" s="244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2" t="str">
        <f t="shared" si="54"/>
        <v/>
      </c>
      <c r="E573" s="531"/>
      <c r="F573" s="531"/>
      <c r="G573" s="198"/>
      <c r="H573" s="243" t="str">
        <f t="shared" si="52"/>
        <v/>
      </c>
      <c r="I573" s="199" t="e">
        <f>IF(#REF!="","",#REF!+G573+#REF!+#REF!+#REF!+H573)</f>
        <v>#REF!</v>
      </c>
      <c r="J573" s="244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2" t="str">
        <f t="shared" si="54"/>
        <v/>
      </c>
      <c r="E574" s="531"/>
      <c r="F574" s="531"/>
      <c r="G574" s="198"/>
      <c r="H574" s="243" t="str">
        <f t="shared" si="52"/>
        <v/>
      </c>
      <c r="I574" s="199" t="e">
        <f>IF(#REF!="","",#REF!+G574+#REF!+#REF!+#REF!+H574)</f>
        <v>#REF!</v>
      </c>
      <c r="J574" s="244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2" t="str">
        <f t="shared" si="54"/>
        <v/>
      </c>
      <c r="E575" s="531"/>
      <c r="F575" s="531"/>
      <c r="G575" s="198"/>
      <c r="H575" s="243" t="str">
        <f t="shared" si="52"/>
        <v/>
      </c>
      <c r="I575" s="199" t="e">
        <f>IF(#REF!="","",#REF!+G575+#REF!+#REF!+#REF!+H575)</f>
        <v>#REF!</v>
      </c>
      <c r="J575" s="244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2" t="str">
        <f t="shared" si="54"/>
        <v/>
      </c>
      <c r="E576" s="531"/>
      <c r="F576" s="531"/>
      <c r="G576" s="198"/>
      <c r="H576" s="243" t="str">
        <f t="shared" si="52"/>
        <v/>
      </c>
      <c r="I576" s="199" t="e">
        <f>IF(#REF!="","",#REF!+G576+#REF!+#REF!+#REF!+H576)</f>
        <v>#REF!</v>
      </c>
      <c r="J576" s="244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2" t="str">
        <f t="shared" si="54"/>
        <v/>
      </c>
      <c r="E577" s="531"/>
      <c r="F577" s="531"/>
      <c r="G577" s="198"/>
      <c r="H577" s="243" t="str">
        <f t="shared" si="52"/>
        <v/>
      </c>
      <c r="I577" s="199" t="e">
        <f>IF(#REF!="","",#REF!+G577+#REF!+#REF!+#REF!+H577)</f>
        <v>#REF!</v>
      </c>
      <c r="J577" s="244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2" t="str">
        <f t="shared" si="54"/>
        <v/>
      </c>
      <c r="E578" s="531"/>
      <c r="F578" s="531"/>
      <c r="G578" s="198"/>
      <c r="H578" s="243" t="str">
        <f t="shared" si="52"/>
        <v/>
      </c>
      <c r="I578" s="199" t="e">
        <f>IF(#REF!="","",#REF!+G578+#REF!+#REF!+#REF!+H578)</f>
        <v>#REF!</v>
      </c>
      <c r="J578" s="244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2" t="str">
        <f t="shared" si="54"/>
        <v/>
      </c>
      <c r="E579" s="531"/>
      <c r="F579" s="531"/>
      <c r="G579" s="198"/>
      <c r="H579" s="243" t="str">
        <f t="shared" si="52"/>
        <v/>
      </c>
      <c r="I579" s="199" t="e">
        <f>IF(#REF!="","",#REF!+G579+#REF!+#REF!+#REF!+H579)</f>
        <v>#REF!</v>
      </c>
      <c r="J579" s="244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2" t="str">
        <f t="shared" si="54"/>
        <v/>
      </c>
      <c r="E580" s="531"/>
      <c r="F580" s="531"/>
      <c r="G580" s="198"/>
      <c r="H580" s="243" t="str">
        <f t="shared" si="52"/>
        <v/>
      </c>
      <c r="I580" s="199" t="e">
        <f>IF(#REF!="","",#REF!+G580+#REF!+#REF!+#REF!+H580)</f>
        <v>#REF!</v>
      </c>
      <c r="J580" s="244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2" t="str">
        <f t="shared" si="54"/>
        <v/>
      </c>
      <c r="E581" s="531"/>
      <c r="F581" s="531"/>
      <c r="G581" s="198"/>
      <c r="H581" s="243" t="str">
        <f t="shared" si="52"/>
        <v/>
      </c>
      <c r="I581" s="199" t="e">
        <f>IF(#REF!="","",#REF!+G581+#REF!+#REF!+#REF!+H581)</f>
        <v>#REF!</v>
      </c>
      <c r="J581" s="244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2" t="str">
        <f t="shared" si="54"/>
        <v/>
      </c>
      <c r="E582" s="531"/>
      <c r="F582" s="531"/>
      <c r="G582" s="198"/>
      <c r="H582" s="243" t="str">
        <f t="shared" si="52"/>
        <v/>
      </c>
      <c r="I582" s="199" t="e">
        <f>IF(#REF!="","",#REF!+G582+#REF!+#REF!+#REF!+H582)</f>
        <v>#REF!</v>
      </c>
      <c r="J582" s="244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2" t="str">
        <f t="shared" si="54"/>
        <v/>
      </c>
      <c r="E583" s="531"/>
      <c r="F583" s="531"/>
      <c r="G583" s="198"/>
      <c r="H583" s="243" t="str">
        <f t="shared" si="52"/>
        <v/>
      </c>
      <c r="I583" s="199" t="e">
        <f>IF(#REF!="","",#REF!+G583+#REF!+#REF!+#REF!+H583)</f>
        <v>#REF!</v>
      </c>
      <c r="J583" s="244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2" t="str">
        <f t="shared" si="54"/>
        <v/>
      </c>
      <c r="E584" s="531"/>
      <c r="F584" s="531"/>
      <c r="G584" s="198"/>
      <c r="H584" s="243" t="str">
        <f t="shared" ref="H584:H647" si="57">IF(G584=0,"",G584*$H$5)</f>
        <v/>
      </c>
      <c r="I584" s="199" t="e">
        <f>IF(#REF!="","",#REF!+G584+#REF!+#REF!+#REF!+H584)</f>
        <v>#REF!</v>
      </c>
      <c r="J584" s="244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2" t="str">
        <f t="shared" ref="D585:D648" si="59">IF(A585&lt;&gt;"",PROPER(TEXT(A585,"Mmmm")),"")</f>
        <v/>
      </c>
      <c r="E585" s="531"/>
      <c r="F585" s="531"/>
      <c r="G585" s="198"/>
      <c r="H585" s="243" t="str">
        <f t="shared" si="57"/>
        <v/>
      </c>
      <c r="I585" s="199" t="e">
        <f>IF(#REF!="","",#REF!+G585+#REF!+#REF!+#REF!+H585)</f>
        <v>#REF!</v>
      </c>
      <c r="J585" s="244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2" t="str">
        <f t="shared" si="59"/>
        <v/>
      </c>
      <c r="E586" s="531"/>
      <c r="F586" s="531"/>
      <c r="G586" s="198"/>
      <c r="H586" s="243" t="str">
        <f t="shared" si="57"/>
        <v/>
      </c>
      <c r="I586" s="199" t="e">
        <f>IF(#REF!="","",#REF!+G586+#REF!+#REF!+#REF!+H586)</f>
        <v>#REF!</v>
      </c>
      <c r="J586" s="244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2" t="str">
        <f t="shared" si="59"/>
        <v/>
      </c>
      <c r="E587" s="531"/>
      <c r="F587" s="531"/>
      <c r="G587" s="198"/>
      <c r="H587" s="243" t="str">
        <f t="shared" si="57"/>
        <v/>
      </c>
      <c r="I587" s="199" t="e">
        <f>IF(#REF!="","",#REF!+G587+#REF!+#REF!+#REF!+H587)</f>
        <v>#REF!</v>
      </c>
      <c r="J587" s="244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2" t="str">
        <f t="shared" si="59"/>
        <v/>
      </c>
      <c r="E588" s="531"/>
      <c r="F588" s="531"/>
      <c r="G588" s="198"/>
      <c r="H588" s="243" t="str">
        <f t="shared" si="57"/>
        <v/>
      </c>
      <c r="I588" s="199" t="e">
        <f>IF(#REF!="","",#REF!+G588+#REF!+#REF!+#REF!+H588)</f>
        <v>#REF!</v>
      </c>
      <c r="J588" s="244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2" t="str">
        <f t="shared" si="59"/>
        <v/>
      </c>
      <c r="E589" s="531"/>
      <c r="F589" s="531"/>
      <c r="G589" s="198"/>
      <c r="H589" s="243" t="str">
        <f t="shared" si="57"/>
        <v/>
      </c>
      <c r="I589" s="199" t="e">
        <f>IF(#REF!="","",#REF!+G589+#REF!+#REF!+#REF!+H589)</f>
        <v>#REF!</v>
      </c>
      <c r="J589" s="244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2" t="str">
        <f t="shared" si="59"/>
        <v/>
      </c>
      <c r="E590" s="531"/>
      <c r="F590" s="531"/>
      <c r="G590" s="198"/>
      <c r="H590" s="243" t="str">
        <f t="shared" si="57"/>
        <v/>
      </c>
      <c r="I590" s="199" t="e">
        <f>IF(#REF!="","",#REF!+G590+#REF!+#REF!+#REF!+H590)</f>
        <v>#REF!</v>
      </c>
      <c r="J590" s="244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2" t="str">
        <f t="shared" si="59"/>
        <v/>
      </c>
      <c r="E591" s="531"/>
      <c r="F591" s="531"/>
      <c r="G591" s="198"/>
      <c r="H591" s="243" t="str">
        <f t="shared" si="57"/>
        <v/>
      </c>
      <c r="I591" s="199" t="e">
        <f>IF(#REF!="","",#REF!+G591+#REF!+#REF!+#REF!+H591)</f>
        <v>#REF!</v>
      </c>
      <c r="J591" s="244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2" t="str">
        <f t="shared" si="59"/>
        <v/>
      </c>
      <c r="E592" s="531"/>
      <c r="F592" s="531"/>
      <c r="G592" s="198"/>
      <c r="H592" s="243" t="str">
        <f t="shared" si="57"/>
        <v/>
      </c>
      <c r="I592" s="199" t="e">
        <f>IF(#REF!="","",#REF!+G592+#REF!+#REF!+#REF!+H592)</f>
        <v>#REF!</v>
      </c>
      <c r="J592" s="244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2" t="str">
        <f t="shared" si="59"/>
        <v/>
      </c>
      <c r="E593" s="531"/>
      <c r="F593" s="531"/>
      <c r="G593" s="198"/>
      <c r="H593" s="243" t="str">
        <f t="shared" si="57"/>
        <v/>
      </c>
      <c r="I593" s="199" t="e">
        <f>IF(#REF!="","",#REF!+G593+#REF!+#REF!+#REF!+H593)</f>
        <v>#REF!</v>
      </c>
      <c r="J593" s="244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2" t="str">
        <f t="shared" si="59"/>
        <v/>
      </c>
      <c r="E594" s="531"/>
      <c r="F594" s="531"/>
      <c r="G594" s="198"/>
      <c r="H594" s="243" t="str">
        <f t="shared" si="57"/>
        <v/>
      </c>
      <c r="I594" s="199" t="e">
        <f>IF(#REF!="","",#REF!+G594+#REF!+#REF!+#REF!+H594)</f>
        <v>#REF!</v>
      </c>
      <c r="J594" s="244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2" t="str">
        <f t="shared" si="59"/>
        <v/>
      </c>
      <c r="E595" s="531"/>
      <c r="F595" s="531"/>
      <c r="G595" s="198"/>
      <c r="H595" s="243" t="str">
        <f t="shared" si="57"/>
        <v/>
      </c>
      <c r="I595" s="199" t="e">
        <f>IF(#REF!="","",#REF!+G595+#REF!+#REF!+#REF!+H595)</f>
        <v>#REF!</v>
      </c>
      <c r="J595" s="244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2" t="str">
        <f t="shared" si="59"/>
        <v/>
      </c>
      <c r="E596" s="531"/>
      <c r="F596" s="531"/>
      <c r="G596" s="198"/>
      <c r="H596" s="243" t="str">
        <f t="shared" si="57"/>
        <v/>
      </c>
      <c r="I596" s="199" t="e">
        <f>IF(#REF!="","",#REF!+G596+#REF!+#REF!+#REF!+H596)</f>
        <v>#REF!</v>
      </c>
      <c r="J596" s="244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2" t="str">
        <f t="shared" si="59"/>
        <v/>
      </c>
      <c r="E597" s="531"/>
      <c r="F597" s="531"/>
      <c r="G597" s="198"/>
      <c r="H597" s="243" t="str">
        <f t="shared" si="57"/>
        <v/>
      </c>
      <c r="I597" s="199" t="e">
        <f>IF(#REF!="","",#REF!+G597+#REF!+#REF!+#REF!+H597)</f>
        <v>#REF!</v>
      </c>
      <c r="J597" s="244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2" t="str">
        <f t="shared" si="59"/>
        <v/>
      </c>
      <c r="E598" s="531"/>
      <c r="F598" s="531"/>
      <c r="G598" s="198"/>
      <c r="H598" s="243" t="str">
        <f t="shared" si="57"/>
        <v/>
      </c>
      <c r="I598" s="199" t="e">
        <f>IF(#REF!="","",#REF!+G598+#REF!+#REF!+#REF!+H598)</f>
        <v>#REF!</v>
      </c>
      <c r="J598" s="244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2" t="str">
        <f t="shared" si="59"/>
        <v/>
      </c>
      <c r="E599" s="531"/>
      <c r="F599" s="531"/>
      <c r="G599" s="198"/>
      <c r="H599" s="243" t="str">
        <f t="shared" si="57"/>
        <v/>
      </c>
      <c r="I599" s="199" t="e">
        <f>IF(#REF!="","",#REF!+G599+#REF!+#REF!+#REF!+H599)</f>
        <v>#REF!</v>
      </c>
      <c r="J599" s="244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2" t="str">
        <f t="shared" si="59"/>
        <v/>
      </c>
      <c r="E600" s="531"/>
      <c r="F600" s="531"/>
      <c r="G600" s="198"/>
      <c r="H600" s="243" t="str">
        <f t="shared" si="57"/>
        <v/>
      </c>
      <c r="I600" s="199" t="e">
        <f>IF(#REF!="","",#REF!+G600+#REF!+#REF!+#REF!+H600)</f>
        <v>#REF!</v>
      </c>
      <c r="J600" s="244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2" t="str">
        <f t="shared" si="59"/>
        <v/>
      </c>
      <c r="E601" s="531"/>
      <c r="F601" s="531"/>
      <c r="G601" s="198"/>
      <c r="H601" s="243" t="str">
        <f t="shared" si="57"/>
        <v/>
      </c>
      <c r="I601" s="199" t="e">
        <f>IF(#REF!="","",#REF!+G601+#REF!+#REF!+#REF!+H601)</f>
        <v>#REF!</v>
      </c>
      <c r="J601" s="244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2" t="str">
        <f t="shared" si="59"/>
        <v/>
      </c>
      <c r="E602" s="531"/>
      <c r="F602" s="531"/>
      <c r="G602" s="198"/>
      <c r="H602" s="243" t="str">
        <f t="shared" si="57"/>
        <v/>
      </c>
      <c r="I602" s="199" t="e">
        <f>IF(#REF!="","",#REF!+G602+#REF!+#REF!+#REF!+H602)</f>
        <v>#REF!</v>
      </c>
      <c r="J602" s="244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2" t="str">
        <f t="shared" si="59"/>
        <v/>
      </c>
      <c r="E603" s="531"/>
      <c r="F603" s="531"/>
      <c r="G603" s="198"/>
      <c r="H603" s="243" t="str">
        <f t="shared" si="57"/>
        <v/>
      </c>
      <c r="I603" s="199" t="e">
        <f>IF(#REF!="","",#REF!+G603+#REF!+#REF!+#REF!+H603)</f>
        <v>#REF!</v>
      </c>
      <c r="J603" s="244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2" t="str">
        <f t="shared" si="59"/>
        <v/>
      </c>
      <c r="E604" s="531"/>
      <c r="F604" s="531"/>
      <c r="G604" s="198"/>
      <c r="H604" s="243" t="str">
        <f t="shared" si="57"/>
        <v/>
      </c>
      <c r="I604" s="199" t="e">
        <f>IF(#REF!="","",#REF!+G604+#REF!+#REF!+#REF!+H604)</f>
        <v>#REF!</v>
      </c>
      <c r="J604" s="244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2" t="str">
        <f t="shared" si="59"/>
        <v/>
      </c>
      <c r="E605" s="531"/>
      <c r="F605" s="531"/>
      <c r="G605" s="198"/>
      <c r="H605" s="243" t="str">
        <f t="shared" si="57"/>
        <v/>
      </c>
      <c r="I605" s="199" t="e">
        <f>IF(#REF!="","",#REF!+G605+#REF!+#REF!+#REF!+H605)</f>
        <v>#REF!</v>
      </c>
      <c r="J605" s="244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2" t="str">
        <f t="shared" si="59"/>
        <v/>
      </c>
      <c r="E606" s="531"/>
      <c r="F606" s="531"/>
      <c r="G606" s="198"/>
      <c r="H606" s="243" t="str">
        <f t="shared" si="57"/>
        <v/>
      </c>
      <c r="I606" s="199" t="e">
        <f>IF(#REF!="","",#REF!+G606+#REF!+#REF!+#REF!+H606)</f>
        <v>#REF!</v>
      </c>
      <c r="J606" s="244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2" t="str">
        <f t="shared" si="59"/>
        <v/>
      </c>
      <c r="E607" s="531"/>
      <c r="F607" s="531"/>
      <c r="G607" s="198"/>
      <c r="H607" s="243" t="str">
        <f t="shared" si="57"/>
        <v/>
      </c>
      <c r="I607" s="199" t="e">
        <f>IF(#REF!="","",#REF!+G607+#REF!+#REF!+#REF!+H607)</f>
        <v>#REF!</v>
      </c>
      <c r="J607" s="244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2" t="str">
        <f t="shared" si="59"/>
        <v/>
      </c>
      <c r="E608" s="531"/>
      <c r="F608" s="531"/>
      <c r="G608" s="198"/>
      <c r="H608" s="243" t="str">
        <f t="shared" si="57"/>
        <v/>
      </c>
      <c r="I608" s="199" t="e">
        <f>IF(#REF!="","",#REF!+G608+#REF!+#REF!+#REF!+H608)</f>
        <v>#REF!</v>
      </c>
      <c r="J608" s="244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2" t="str">
        <f t="shared" si="59"/>
        <v/>
      </c>
      <c r="E609" s="531"/>
      <c r="F609" s="531"/>
      <c r="G609" s="198"/>
      <c r="H609" s="243" t="str">
        <f t="shared" si="57"/>
        <v/>
      </c>
      <c r="I609" s="199" t="e">
        <f>IF(#REF!="","",#REF!+G609+#REF!+#REF!+#REF!+H609)</f>
        <v>#REF!</v>
      </c>
      <c r="J609" s="244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2" t="str">
        <f t="shared" si="59"/>
        <v/>
      </c>
      <c r="E610" s="531"/>
      <c r="F610" s="531"/>
      <c r="G610" s="198"/>
      <c r="H610" s="243" t="str">
        <f t="shared" si="57"/>
        <v/>
      </c>
      <c r="I610" s="199" t="e">
        <f>IF(#REF!="","",#REF!+G610+#REF!+#REF!+#REF!+H610)</f>
        <v>#REF!</v>
      </c>
      <c r="J610" s="244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2" t="str">
        <f t="shared" si="59"/>
        <v/>
      </c>
      <c r="E611" s="531"/>
      <c r="F611" s="531"/>
      <c r="G611" s="198"/>
      <c r="H611" s="243" t="str">
        <f t="shared" si="57"/>
        <v/>
      </c>
      <c r="I611" s="199" t="e">
        <f>IF(#REF!="","",#REF!+G611+#REF!+#REF!+#REF!+H611)</f>
        <v>#REF!</v>
      </c>
      <c r="J611" s="244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2" t="str">
        <f t="shared" si="59"/>
        <v/>
      </c>
      <c r="E612" s="531"/>
      <c r="F612" s="531"/>
      <c r="G612" s="198"/>
      <c r="H612" s="243" t="str">
        <f t="shared" si="57"/>
        <v/>
      </c>
      <c r="I612" s="199" t="e">
        <f>IF(#REF!="","",#REF!+G612+#REF!+#REF!+#REF!+H612)</f>
        <v>#REF!</v>
      </c>
      <c r="J612" s="244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2" t="str">
        <f t="shared" si="59"/>
        <v/>
      </c>
      <c r="E613" s="531"/>
      <c r="F613" s="531"/>
      <c r="G613" s="198"/>
      <c r="H613" s="243" t="str">
        <f t="shared" si="57"/>
        <v/>
      </c>
      <c r="I613" s="199" t="e">
        <f>IF(#REF!="","",#REF!+G613+#REF!+#REF!+#REF!+H613)</f>
        <v>#REF!</v>
      </c>
      <c r="J613" s="244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2" t="str">
        <f t="shared" si="59"/>
        <v/>
      </c>
      <c r="E614" s="531"/>
      <c r="F614" s="531"/>
      <c r="G614" s="198"/>
      <c r="H614" s="243" t="str">
        <f t="shared" si="57"/>
        <v/>
      </c>
      <c r="I614" s="199" t="e">
        <f>IF(#REF!="","",#REF!+G614+#REF!+#REF!+#REF!+H614)</f>
        <v>#REF!</v>
      </c>
      <c r="J614" s="244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2" t="str">
        <f t="shared" si="59"/>
        <v/>
      </c>
      <c r="E615" s="531"/>
      <c r="F615" s="531"/>
      <c r="G615" s="198"/>
      <c r="H615" s="243" t="str">
        <f t="shared" si="57"/>
        <v/>
      </c>
      <c r="I615" s="199" t="e">
        <f>IF(#REF!="","",#REF!+G615+#REF!+#REF!+#REF!+H615)</f>
        <v>#REF!</v>
      </c>
      <c r="J615" s="244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2" t="str">
        <f t="shared" si="59"/>
        <v/>
      </c>
      <c r="E616" s="531"/>
      <c r="F616" s="531"/>
      <c r="G616" s="198"/>
      <c r="H616" s="243" t="str">
        <f t="shared" si="57"/>
        <v/>
      </c>
      <c r="I616" s="199" t="e">
        <f>IF(#REF!="","",#REF!+G616+#REF!+#REF!+#REF!+H616)</f>
        <v>#REF!</v>
      </c>
      <c r="J616" s="244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2" t="str">
        <f t="shared" si="59"/>
        <v/>
      </c>
      <c r="E617" s="531"/>
      <c r="F617" s="531"/>
      <c r="G617" s="198"/>
      <c r="H617" s="243" t="str">
        <f t="shared" si="57"/>
        <v/>
      </c>
      <c r="I617" s="199" t="e">
        <f>IF(#REF!="","",#REF!+G617+#REF!+#REF!+#REF!+H617)</f>
        <v>#REF!</v>
      </c>
      <c r="J617" s="244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2" t="str">
        <f t="shared" si="59"/>
        <v/>
      </c>
      <c r="E618" s="531"/>
      <c r="F618" s="531"/>
      <c r="G618" s="198"/>
      <c r="H618" s="243" t="str">
        <f t="shared" si="57"/>
        <v/>
      </c>
      <c r="I618" s="199" t="e">
        <f>IF(#REF!="","",#REF!+G618+#REF!+#REF!+#REF!+H618)</f>
        <v>#REF!</v>
      </c>
      <c r="J618" s="244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2" t="str">
        <f t="shared" si="59"/>
        <v/>
      </c>
      <c r="E619" s="531"/>
      <c r="F619" s="531"/>
      <c r="G619" s="198"/>
      <c r="H619" s="243" t="str">
        <f t="shared" si="57"/>
        <v/>
      </c>
      <c r="I619" s="199" t="e">
        <f>IF(#REF!="","",#REF!+G619+#REF!+#REF!+#REF!+H619)</f>
        <v>#REF!</v>
      </c>
      <c r="J619" s="244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2" t="str">
        <f t="shared" si="59"/>
        <v/>
      </c>
      <c r="E620" s="531"/>
      <c r="F620" s="531"/>
      <c r="G620" s="198"/>
      <c r="H620" s="243" t="str">
        <f t="shared" si="57"/>
        <v/>
      </c>
      <c r="I620" s="199" t="e">
        <f>IF(#REF!="","",#REF!+G620+#REF!+#REF!+#REF!+H620)</f>
        <v>#REF!</v>
      </c>
      <c r="J620" s="244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2" t="str">
        <f t="shared" si="59"/>
        <v/>
      </c>
      <c r="E621" s="531"/>
      <c r="F621" s="531"/>
      <c r="G621" s="198"/>
      <c r="H621" s="243" t="str">
        <f t="shared" si="57"/>
        <v/>
      </c>
      <c r="I621" s="199" t="e">
        <f>IF(#REF!="","",#REF!+G621+#REF!+#REF!+#REF!+H621)</f>
        <v>#REF!</v>
      </c>
      <c r="J621" s="244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2" t="str">
        <f t="shared" si="59"/>
        <v/>
      </c>
      <c r="E622" s="531"/>
      <c r="F622" s="531"/>
      <c r="G622" s="198"/>
      <c r="H622" s="243" t="str">
        <f t="shared" si="57"/>
        <v/>
      </c>
      <c r="I622" s="199" t="e">
        <f>IF(#REF!="","",#REF!+G622+#REF!+#REF!+#REF!+H622)</f>
        <v>#REF!</v>
      </c>
      <c r="J622" s="244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2" t="str">
        <f t="shared" si="59"/>
        <v/>
      </c>
      <c r="E623" s="531"/>
      <c r="F623" s="531"/>
      <c r="G623" s="198"/>
      <c r="H623" s="243" t="str">
        <f t="shared" si="57"/>
        <v/>
      </c>
      <c r="I623" s="199" t="e">
        <f>IF(#REF!="","",#REF!+G623+#REF!+#REF!+#REF!+H623)</f>
        <v>#REF!</v>
      </c>
      <c r="J623" s="244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2" t="str">
        <f t="shared" si="59"/>
        <v/>
      </c>
      <c r="E624" s="531"/>
      <c r="F624" s="531"/>
      <c r="G624" s="198"/>
      <c r="H624" s="243" t="str">
        <f t="shared" si="57"/>
        <v/>
      </c>
      <c r="I624" s="199" t="e">
        <f>IF(#REF!="","",#REF!+G624+#REF!+#REF!+#REF!+H624)</f>
        <v>#REF!</v>
      </c>
      <c r="J624" s="244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2" t="str">
        <f t="shared" si="59"/>
        <v/>
      </c>
      <c r="E625" s="531"/>
      <c r="F625" s="531"/>
      <c r="G625" s="198"/>
      <c r="H625" s="243" t="str">
        <f t="shared" si="57"/>
        <v/>
      </c>
      <c r="I625" s="199" t="e">
        <f>IF(#REF!="","",#REF!+G625+#REF!+#REF!+#REF!+H625)</f>
        <v>#REF!</v>
      </c>
      <c r="J625" s="244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2" t="str">
        <f t="shared" si="59"/>
        <v/>
      </c>
      <c r="E626" s="531"/>
      <c r="F626" s="531"/>
      <c r="G626" s="198"/>
      <c r="H626" s="243" t="str">
        <f t="shared" si="57"/>
        <v/>
      </c>
      <c r="I626" s="199" t="e">
        <f>IF(#REF!="","",#REF!+G626+#REF!+#REF!+#REF!+H626)</f>
        <v>#REF!</v>
      </c>
      <c r="J626" s="244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2" t="str">
        <f t="shared" si="59"/>
        <v/>
      </c>
      <c r="E627" s="531"/>
      <c r="F627" s="531"/>
      <c r="G627" s="198"/>
      <c r="H627" s="243" t="str">
        <f t="shared" si="57"/>
        <v/>
      </c>
      <c r="I627" s="199" t="e">
        <f>IF(#REF!="","",#REF!+G627+#REF!+#REF!+#REF!+H627)</f>
        <v>#REF!</v>
      </c>
      <c r="J627" s="244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2" t="str">
        <f t="shared" si="59"/>
        <v/>
      </c>
      <c r="E628" s="531"/>
      <c r="F628" s="531"/>
      <c r="G628" s="198"/>
      <c r="H628" s="243" t="str">
        <f t="shared" si="57"/>
        <v/>
      </c>
      <c r="I628" s="199" t="e">
        <f>IF(#REF!="","",#REF!+G628+#REF!+#REF!+#REF!+H628)</f>
        <v>#REF!</v>
      </c>
      <c r="J628" s="244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2" t="str">
        <f t="shared" si="59"/>
        <v/>
      </c>
      <c r="E629" s="531"/>
      <c r="F629" s="531"/>
      <c r="G629" s="198"/>
      <c r="H629" s="243" t="str">
        <f t="shared" si="57"/>
        <v/>
      </c>
      <c r="I629" s="199" t="e">
        <f>IF(#REF!="","",#REF!+G629+#REF!+#REF!+#REF!+H629)</f>
        <v>#REF!</v>
      </c>
      <c r="J629" s="244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2" t="str">
        <f t="shared" si="59"/>
        <v/>
      </c>
      <c r="E630" s="531"/>
      <c r="F630" s="531"/>
      <c r="G630" s="198"/>
      <c r="H630" s="243" t="str">
        <f t="shared" si="57"/>
        <v/>
      </c>
      <c r="I630" s="199" t="e">
        <f>IF(#REF!="","",#REF!+G630+#REF!+#REF!+#REF!+H630)</f>
        <v>#REF!</v>
      </c>
      <c r="J630" s="244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2" t="str">
        <f t="shared" si="59"/>
        <v/>
      </c>
      <c r="E631" s="531"/>
      <c r="F631" s="531"/>
      <c r="G631" s="198"/>
      <c r="H631" s="243" t="str">
        <f t="shared" si="57"/>
        <v/>
      </c>
      <c r="I631" s="199" t="e">
        <f>IF(#REF!="","",#REF!+G631+#REF!+#REF!+#REF!+H631)</f>
        <v>#REF!</v>
      </c>
      <c r="J631" s="244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2" t="str">
        <f t="shared" si="59"/>
        <v/>
      </c>
      <c r="E632" s="531"/>
      <c r="F632" s="531"/>
      <c r="G632" s="198"/>
      <c r="H632" s="243" t="str">
        <f t="shared" si="57"/>
        <v/>
      </c>
      <c r="I632" s="199" t="e">
        <f>IF(#REF!="","",#REF!+G632+#REF!+#REF!+#REF!+H632)</f>
        <v>#REF!</v>
      </c>
      <c r="J632" s="244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2" t="str">
        <f t="shared" si="59"/>
        <v/>
      </c>
      <c r="E633" s="531"/>
      <c r="F633" s="531"/>
      <c r="G633" s="198"/>
      <c r="H633" s="243" t="str">
        <f t="shared" si="57"/>
        <v/>
      </c>
      <c r="I633" s="199" t="e">
        <f>IF(#REF!="","",#REF!+G633+#REF!+#REF!+#REF!+H633)</f>
        <v>#REF!</v>
      </c>
      <c r="J633" s="244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2" t="str">
        <f t="shared" si="59"/>
        <v/>
      </c>
      <c r="E634" s="531"/>
      <c r="F634" s="531"/>
      <c r="G634" s="198"/>
      <c r="H634" s="243" t="str">
        <f t="shared" si="57"/>
        <v/>
      </c>
      <c r="I634" s="199" t="e">
        <f>IF(#REF!="","",#REF!+G634+#REF!+#REF!+#REF!+H634)</f>
        <v>#REF!</v>
      </c>
      <c r="J634" s="244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2" t="str">
        <f t="shared" si="59"/>
        <v/>
      </c>
      <c r="E635" s="531"/>
      <c r="F635" s="531"/>
      <c r="G635" s="198"/>
      <c r="H635" s="243" t="str">
        <f t="shared" si="57"/>
        <v/>
      </c>
      <c r="I635" s="199" t="e">
        <f>IF(#REF!="","",#REF!+G635+#REF!+#REF!+#REF!+H635)</f>
        <v>#REF!</v>
      </c>
      <c r="J635" s="244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2" t="str">
        <f t="shared" si="59"/>
        <v/>
      </c>
      <c r="E636" s="531"/>
      <c r="F636" s="531"/>
      <c r="G636" s="198"/>
      <c r="H636" s="243" t="str">
        <f t="shared" si="57"/>
        <v/>
      </c>
      <c r="I636" s="199" t="e">
        <f>IF(#REF!="","",#REF!+G636+#REF!+#REF!+#REF!+H636)</f>
        <v>#REF!</v>
      </c>
      <c r="J636" s="244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2" t="str">
        <f t="shared" si="59"/>
        <v/>
      </c>
      <c r="E637" s="531"/>
      <c r="F637" s="531"/>
      <c r="G637" s="198"/>
      <c r="H637" s="243" t="str">
        <f t="shared" si="57"/>
        <v/>
      </c>
      <c r="I637" s="199" t="e">
        <f>IF(#REF!="","",#REF!+G637+#REF!+#REF!+#REF!+H637)</f>
        <v>#REF!</v>
      </c>
      <c r="J637" s="244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2" t="str">
        <f t="shared" si="59"/>
        <v/>
      </c>
      <c r="E638" s="531"/>
      <c r="F638" s="531"/>
      <c r="G638" s="198"/>
      <c r="H638" s="243" t="str">
        <f t="shared" si="57"/>
        <v/>
      </c>
      <c r="I638" s="199" t="e">
        <f>IF(#REF!="","",#REF!+G638+#REF!+#REF!+#REF!+H638)</f>
        <v>#REF!</v>
      </c>
      <c r="J638" s="244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2" t="str">
        <f t="shared" si="59"/>
        <v/>
      </c>
      <c r="E639" s="531"/>
      <c r="F639" s="531"/>
      <c r="G639" s="198"/>
      <c r="H639" s="243" t="str">
        <f t="shared" si="57"/>
        <v/>
      </c>
      <c r="I639" s="199" t="e">
        <f>IF(#REF!="","",#REF!+G639+#REF!+#REF!+#REF!+H639)</f>
        <v>#REF!</v>
      </c>
      <c r="J639" s="244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2" t="str">
        <f t="shared" si="59"/>
        <v/>
      </c>
      <c r="E640" s="531"/>
      <c r="F640" s="531"/>
      <c r="G640" s="198"/>
      <c r="H640" s="243" t="str">
        <f t="shared" si="57"/>
        <v/>
      </c>
      <c r="I640" s="199" t="e">
        <f>IF(#REF!="","",#REF!+G640+#REF!+#REF!+#REF!+H640)</f>
        <v>#REF!</v>
      </c>
      <c r="J640" s="244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2" t="str">
        <f t="shared" si="59"/>
        <v/>
      </c>
      <c r="E641" s="531"/>
      <c r="F641" s="531"/>
      <c r="G641" s="198"/>
      <c r="H641" s="243" t="str">
        <f t="shared" si="57"/>
        <v/>
      </c>
      <c r="I641" s="199" t="e">
        <f>IF(#REF!="","",#REF!+G641+#REF!+#REF!+#REF!+H641)</f>
        <v>#REF!</v>
      </c>
      <c r="J641" s="244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2" t="str">
        <f t="shared" si="59"/>
        <v/>
      </c>
      <c r="E642" s="531"/>
      <c r="F642" s="531"/>
      <c r="G642" s="198"/>
      <c r="H642" s="243" t="str">
        <f t="shared" si="57"/>
        <v/>
      </c>
      <c r="I642" s="199" t="e">
        <f>IF(#REF!="","",#REF!+G642+#REF!+#REF!+#REF!+H642)</f>
        <v>#REF!</v>
      </c>
      <c r="J642" s="244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2" t="str">
        <f t="shared" si="59"/>
        <v/>
      </c>
      <c r="E643" s="531"/>
      <c r="F643" s="531"/>
      <c r="G643" s="198"/>
      <c r="H643" s="243" t="str">
        <f t="shared" si="57"/>
        <v/>
      </c>
      <c r="I643" s="199" t="e">
        <f>IF(#REF!="","",#REF!+G643+#REF!+#REF!+#REF!+H643)</f>
        <v>#REF!</v>
      </c>
      <c r="J643" s="244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2" t="str">
        <f t="shared" si="59"/>
        <v/>
      </c>
      <c r="E644" s="531"/>
      <c r="F644" s="531"/>
      <c r="G644" s="198"/>
      <c r="H644" s="243" t="str">
        <f t="shared" si="57"/>
        <v/>
      </c>
      <c r="I644" s="199" t="e">
        <f>IF(#REF!="","",#REF!+G644+#REF!+#REF!+#REF!+H644)</f>
        <v>#REF!</v>
      </c>
      <c r="J644" s="244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2" t="str">
        <f t="shared" si="59"/>
        <v/>
      </c>
      <c r="E645" s="531"/>
      <c r="F645" s="531"/>
      <c r="G645" s="198"/>
      <c r="H645" s="243" t="str">
        <f t="shared" si="57"/>
        <v/>
      </c>
      <c r="I645" s="199" t="e">
        <f>IF(#REF!="","",#REF!+G645+#REF!+#REF!+#REF!+H645)</f>
        <v>#REF!</v>
      </c>
      <c r="J645" s="244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2" t="str">
        <f t="shared" si="59"/>
        <v/>
      </c>
      <c r="E646" s="531"/>
      <c r="F646" s="531"/>
      <c r="G646" s="198"/>
      <c r="H646" s="243" t="str">
        <f t="shared" si="57"/>
        <v/>
      </c>
      <c r="I646" s="199" t="e">
        <f>IF(#REF!="","",#REF!+G646+#REF!+#REF!+#REF!+H646)</f>
        <v>#REF!</v>
      </c>
      <c r="J646" s="244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2" t="str">
        <f t="shared" si="59"/>
        <v/>
      </c>
      <c r="E647" s="531"/>
      <c r="F647" s="531"/>
      <c r="G647" s="198"/>
      <c r="H647" s="243" t="str">
        <f t="shared" si="57"/>
        <v/>
      </c>
      <c r="I647" s="199" t="e">
        <f>IF(#REF!="","",#REF!+G647+#REF!+#REF!+#REF!+H647)</f>
        <v>#REF!</v>
      </c>
      <c r="J647" s="244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2" t="str">
        <f t="shared" si="59"/>
        <v/>
      </c>
      <c r="E648" s="531"/>
      <c r="F648" s="531"/>
      <c r="G648" s="198"/>
      <c r="H648" s="243" t="str">
        <f t="shared" ref="H648:H681" si="62">IF(G648=0,"",G648*$H$5)</f>
        <v/>
      </c>
      <c r="I648" s="199" t="e">
        <f>IF(#REF!="","",#REF!+G648+#REF!+#REF!+#REF!+H648)</f>
        <v>#REF!</v>
      </c>
      <c r="J648" s="244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2" t="str">
        <f t="shared" ref="D649:D712" si="64">IF(A649&lt;&gt;"",PROPER(TEXT(A649,"Mmmm")),"")</f>
        <v/>
      </c>
      <c r="E649" s="531"/>
      <c r="F649" s="531"/>
      <c r="G649" s="198"/>
      <c r="H649" s="243" t="str">
        <f t="shared" si="62"/>
        <v/>
      </c>
      <c r="I649" s="199" t="e">
        <f>IF(#REF!="","",#REF!+G649+#REF!+#REF!+#REF!+H649)</f>
        <v>#REF!</v>
      </c>
      <c r="J649" s="244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2" t="str">
        <f t="shared" si="64"/>
        <v/>
      </c>
      <c r="E650" s="531"/>
      <c r="F650" s="531"/>
      <c r="G650" s="198"/>
      <c r="H650" s="243" t="str">
        <f t="shared" si="62"/>
        <v/>
      </c>
      <c r="I650" s="199" t="e">
        <f>IF(#REF!="","",#REF!+G650+#REF!+#REF!+#REF!+H650)</f>
        <v>#REF!</v>
      </c>
      <c r="J650" s="244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2" t="str">
        <f t="shared" si="64"/>
        <v/>
      </c>
      <c r="E651" s="531"/>
      <c r="F651" s="531"/>
      <c r="G651" s="198"/>
      <c r="H651" s="243" t="str">
        <f t="shared" si="62"/>
        <v/>
      </c>
      <c r="I651" s="199" t="e">
        <f>IF(#REF!="","",#REF!+G651+#REF!+#REF!+#REF!+H651)</f>
        <v>#REF!</v>
      </c>
      <c r="J651" s="244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2" t="str">
        <f t="shared" si="64"/>
        <v/>
      </c>
      <c r="E652" s="531"/>
      <c r="F652" s="531"/>
      <c r="G652" s="198"/>
      <c r="H652" s="243" t="str">
        <f t="shared" si="62"/>
        <v/>
      </c>
      <c r="I652" s="199" t="e">
        <f>IF(#REF!="","",#REF!+G652+#REF!+#REF!+#REF!+H652)</f>
        <v>#REF!</v>
      </c>
      <c r="J652" s="244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2" t="str">
        <f t="shared" si="64"/>
        <v/>
      </c>
      <c r="E653" s="531"/>
      <c r="F653" s="531"/>
      <c r="G653" s="198"/>
      <c r="H653" s="243" t="str">
        <f t="shared" si="62"/>
        <v/>
      </c>
      <c r="I653" s="199" t="e">
        <f>IF(#REF!="","",#REF!+G653+#REF!+#REF!+#REF!+H653)</f>
        <v>#REF!</v>
      </c>
      <c r="J653" s="244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2" t="str">
        <f t="shared" si="64"/>
        <v/>
      </c>
      <c r="E654" s="531"/>
      <c r="F654" s="531"/>
      <c r="G654" s="198"/>
      <c r="H654" s="243" t="str">
        <f t="shared" si="62"/>
        <v/>
      </c>
      <c r="I654" s="199" t="e">
        <f>IF(#REF!="","",#REF!+G654+#REF!+#REF!+#REF!+H654)</f>
        <v>#REF!</v>
      </c>
      <c r="J654" s="244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2" t="str">
        <f t="shared" si="64"/>
        <v/>
      </c>
      <c r="E655" s="531"/>
      <c r="F655" s="531"/>
      <c r="G655" s="198"/>
      <c r="H655" s="243" t="str">
        <f t="shared" si="62"/>
        <v/>
      </c>
      <c r="I655" s="199" t="e">
        <f>IF(#REF!="","",#REF!+G655+#REF!+#REF!+#REF!+H655)</f>
        <v>#REF!</v>
      </c>
      <c r="J655" s="244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2" t="str">
        <f t="shared" si="64"/>
        <v/>
      </c>
      <c r="E656" s="531"/>
      <c r="F656" s="531"/>
      <c r="G656" s="198"/>
      <c r="H656" s="243" t="str">
        <f t="shared" si="62"/>
        <v/>
      </c>
      <c r="I656" s="199" t="e">
        <f>IF(#REF!="","",#REF!+G656+#REF!+#REF!+#REF!+H656)</f>
        <v>#REF!</v>
      </c>
      <c r="J656" s="244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2" t="str">
        <f t="shared" si="64"/>
        <v/>
      </c>
      <c r="E657" s="531"/>
      <c r="F657" s="531"/>
      <c r="G657" s="198"/>
      <c r="H657" s="243" t="str">
        <f t="shared" si="62"/>
        <v/>
      </c>
      <c r="I657" s="199" t="e">
        <f>IF(#REF!="","",#REF!+G657+#REF!+#REF!+#REF!+H657)</f>
        <v>#REF!</v>
      </c>
      <c r="J657" s="244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2" t="str">
        <f t="shared" si="64"/>
        <v/>
      </c>
      <c r="E658" s="531"/>
      <c r="F658" s="531"/>
      <c r="G658" s="198"/>
      <c r="H658" s="243" t="str">
        <f t="shared" si="62"/>
        <v/>
      </c>
      <c r="I658" s="199" t="e">
        <f>IF(#REF!="","",#REF!+G658+#REF!+#REF!+#REF!+H658)</f>
        <v>#REF!</v>
      </c>
      <c r="J658" s="244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2" t="str">
        <f t="shared" si="64"/>
        <v/>
      </c>
      <c r="E659" s="531"/>
      <c r="F659" s="531"/>
      <c r="G659" s="198"/>
      <c r="H659" s="243" t="str">
        <f t="shared" si="62"/>
        <v/>
      </c>
      <c r="I659" s="199" t="e">
        <f>IF(#REF!="","",#REF!+G659+#REF!+#REF!+#REF!+H659)</f>
        <v>#REF!</v>
      </c>
      <c r="J659" s="244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2" t="str">
        <f t="shared" si="64"/>
        <v/>
      </c>
      <c r="E660" s="531"/>
      <c r="F660" s="531"/>
      <c r="G660" s="198"/>
      <c r="H660" s="243" t="str">
        <f t="shared" si="62"/>
        <v/>
      </c>
      <c r="I660" s="199" t="e">
        <f>IF(#REF!="","",#REF!+G660+#REF!+#REF!+#REF!+H660)</f>
        <v>#REF!</v>
      </c>
      <c r="J660" s="244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2" t="str">
        <f t="shared" si="64"/>
        <v/>
      </c>
      <c r="E661" s="531"/>
      <c r="F661" s="531"/>
      <c r="G661" s="198"/>
      <c r="H661" s="243" t="str">
        <f t="shared" si="62"/>
        <v/>
      </c>
      <c r="I661" s="199" t="e">
        <f>IF(#REF!="","",#REF!+G661+#REF!+#REF!+#REF!+H661)</f>
        <v>#REF!</v>
      </c>
      <c r="J661" s="244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2" t="str">
        <f t="shared" si="64"/>
        <v/>
      </c>
      <c r="E662" s="531"/>
      <c r="F662" s="531"/>
      <c r="G662" s="198"/>
      <c r="H662" s="243" t="str">
        <f t="shared" si="62"/>
        <v/>
      </c>
      <c r="I662" s="199" t="e">
        <f>IF(#REF!="","",#REF!+G662+#REF!+#REF!+#REF!+H662)</f>
        <v>#REF!</v>
      </c>
      <c r="J662" s="244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2" t="str">
        <f t="shared" si="64"/>
        <v/>
      </c>
      <c r="E663" s="531"/>
      <c r="F663" s="531"/>
      <c r="G663" s="198"/>
      <c r="H663" s="243" t="str">
        <f t="shared" si="62"/>
        <v/>
      </c>
      <c r="I663" s="199" t="e">
        <f>IF(#REF!="","",#REF!+G663+#REF!+#REF!+#REF!+H663)</f>
        <v>#REF!</v>
      </c>
      <c r="J663" s="244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2" t="str">
        <f t="shared" si="64"/>
        <v/>
      </c>
      <c r="E664" s="531"/>
      <c r="F664" s="531"/>
      <c r="G664" s="198"/>
      <c r="H664" s="243" t="str">
        <f t="shared" si="62"/>
        <v/>
      </c>
      <c r="I664" s="199" t="e">
        <f>IF(#REF!="","",#REF!+G664+#REF!+#REF!+#REF!+H664)</f>
        <v>#REF!</v>
      </c>
      <c r="J664" s="244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2" t="str">
        <f t="shared" si="64"/>
        <v/>
      </c>
      <c r="E665" s="531"/>
      <c r="F665" s="531"/>
      <c r="G665" s="198"/>
      <c r="H665" s="243" t="str">
        <f t="shared" si="62"/>
        <v/>
      </c>
      <c r="I665" s="199" t="e">
        <f>IF(#REF!="","",#REF!+G665+#REF!+#REF!+#REF!+H665)</f>
        <v>#REF!</v>
      </c>
      <c r="J665" s="244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2" t="str">
        <f t="shared" si="64"/>
        <v/>
      </c>
      <c r="E666" s="531"/>
      <c r="F666" s="531"/>
      <c r="G666" s="198"/>
      <c r="H666" s="243" t="str">
        <f t="shared" si="62"/>
        <v/>
      </c>
      <c r="I666" s="199" t="e">
        <f>IF(#REF!="","",#REF!+G666+#REF!+#REF!+#REF!+H666)</f>
        <v>#REF!</v>
      </c>
      <c r="J666" s="244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2" t="str">
        <f t="shared" si="64"/>
        <v/>
      </c>
      <c r="E667" s="531"/>
      <c r="F667" s="531"/>
      <c r="G667" s="198"/>
      <c r="H667" s="243" t="str">
        <f t="shared" si="62"/>
        <v/>
      </c>
      <c r="I667" s="199" t="e">
        <f>IF(#REF!="","",#REF!+G667+#REF!+#REF!+#REF!+H667)</f>
        <v>#REF!</v>
      </c>
      <c r="J667" s="244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2" t="str">
        <f t="shared" si="64"/>
        <v/>
      </c>
      <c r="E668" s="531"/>
      <c r="F668" s="531"/>
      <c r="G668" s="198"/>
      <c r="H668" s="243" t="str">
        <f t="shared" si="62"/>
        <v/>
      </c>
      <c r="I668" s="199" t="e">
        <f>IF(#REF!="","",#REF!+G668+#REF!+#REF!+#REF!+H668)</f>
        <v>#REF!</v>
      </c>
      <c r="J668" s="244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2" t="str">
        <f t="shared" si="64"/>
        <v/>
      </c>
      <c r="E669" s="531"/>
      <c r="F669" s="531"/>
      <c r="G669" s="198"/>
      <c r="H669" s="243" t="str">
        <f t="shared" si="62"/>
        <v/>
      </c>
      <c r="I669" s="199" t="e">
        <f>IF(#REF!="","",#REF!+G669+#REF!+#REF!+#REF!+H669)</f>
        <v>#REF!</v>
      </c>
      <c r="J669" s="244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2" t="str">
        <f t="shared" si="64"/>
        <v/>
      </c>
      <c r="E670" s="531"/>
      <c r="F670" s="531"/>
      <c r="G670" s="198"/>
      <c r="H670" s="243" t="str">
        <f t="shared" si="62"/>
        <v/>
      </c>
      <c r="I670" s="199" t="e">
        <f>IF(#REF!="","",#REF!+G670+#REF!+#REF!+#REF!+H670)</f>
        <v>#REF!</v>
      </c>
      <c r="J670" s="244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2" t="str">
        <f t="shared" si="64"/>
        <v/>
      </c>
      <c r="E671" s="531"/>
      <c r="F671" s="531"/>
      <c r="G671" s="198"/>
      <c r="H671" s="243" t="str">
        <f t="shared" si="62"/>
        <v/>
      </c>
      <c r="I671" s="199" t="e">
        <f>IF(#REF!="","",#REF!+G671+#REF!+#REF!+#REF!+H671)</f>
        <v>#REF!</v>
      </c>
      <c r="J671" s="244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2" t="str">
        <f t="shared" si="64"/>
        <v/>
      </c>
      <c r="E672" s="531"/>
      <c r="F672" s="531"/>
      <c r="G672" s="198"/>
      <c r="H672" s="243" t="str">
        <f t="shared" si="62"/>
        <v/>
      </c>
      <c r="I672" s="199" t="e">
        <f>IF(#REF!="","",#REF!+G672+#REF!+#REF!+#REF!+H672)</f>
        <v>#REF!</v>
      </c>
      <c r="J672" s="244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2" t="str">
        <f t="shared" si="64"/>
        <v/>
      </c>
      <c r="E673" s="531"/>
      <c r="F673" s="531"/>
      <c r="G673" s="198"/>
      <c r="H673" s="243" t="str">
        <f t="shared" si="62"/>
        <v/>
      </c>
      <c r="I673" s="199" t="e">
        <f>IF(#REF!="","",#REF!+G673+#REF!+#REF!+#REF!+H673)</f>
        <v>#REF!</v>
      </c>
      <c r="J673" s="244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2" t="str">
        <f t="shared" si="64"/>
        <v/>
      </c>
      <c r="E674" s="531"/>
      <c r="F674" s="531"/>
      <c r="G674" s="198"/>
      <c r="H674" s="243" t="str">
        <f t="shared" si="62"/>
        <v/>
      </c>
      <c r="I674" s="199" t="e">
        <f>IF(#REF!="","",#REF!+G674+#REF!+#REF!+#REF!+H674)</f>
        <v>#REF!</v>
      </c>
      <c r="J674" s="244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2" t="str">
        <f t="shared" si="64"/>
        <v/>
      </c>
      <c r="E675" s="531"/>
      <c r="F675" s="531"/>
      <c r="G675" s="198"/>
      <c r="H675" s="243" t="str">
        <f t="shared" si="62"/>
        <v/>
      </c>
      <c r="I675" s="199" t="e">
        <f>IF(#REF!="","",#REF!+G675+#REF!+#REF!+#REF!+H675)</f>
        <v>#REF!</v>
      </c>
      <c r="J675" s="244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2" t="str">
        <f t="shared" si="64"/>
        <v/>
      </c>
      <c r="E676" s="531"/>
      <c r="F676" s="531"/>
      <c r="G676" s="198"/>
      <c r="H676" s="243" t="str">
        <f t="shared" si="62"/>
        <v/>
      </c>
      <c r="I676" s="199" t="e">
        <f>IF(#REF!="","",#REF!+G676+#REF!+#REF!+#REF!+H676)</f>
        <v>#REF!</v>
      </c>
      <c r="J676" s="244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2" t="str">
        <f t="shared" si="64"/>
        <v/>
      </c>
      <c r="E677" s="531"/>
      <c r="F677" s="531"/>
      <c r="G677" s="198"/>
      <c r="H677" s="243" t="str">
        <f t="shared" si="62"/>
        <v/>
      </c>
      <c r="I677" s="199" t="e">
        <f>IF(#REF!="","",#REF!+G677+#REF!+#REF!+#REF!+H677)</f>
        <v>#REF!</v>
      </c>
      <c r="J677" s="244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2" t="str">
        <f t="shared" si="64"/>
        <v/>
      </c>
      <c r="E678" s="531"/>
      <c r="F678" s="531"/>
      <c r="G678" s="198"/>
      <c r="H678" s="243" t="str">
        <f t="shared" si="62"/>
        <v/>
      </c>
      <c r="I678" s="199" t="e">
        <f>IF(#REF!="","",#REF!+G678+#REF!+#REF!+#REF!+H678)</f>
        <v>#REF!</v>
      </c>
      <c r="J678" s="244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2" t="str">
        <f t="shared" si="64"/>
        <v/>
      </c>
      <c r="E679" s="531"/>
      <c r="F679" s="531"/>
      <c r="G679" s="198"/>
      <c r="H679" s="243" t="str">
        <f t="shared" si="62"/>
        <v/>
      </c>
      <c r="I679" s="199" t="e">
        <f>IF(#REF!="","",#REF!+G679+#REF!+#REF!+#REF!+H679)</f>
        <v>#REF!</v>
      </c>
      <c r="J679" s="244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2" t="str">
        <f t="shared" si="64"/>
        <v/>
      </c>
      <c r="E680" s="531"/>
      <c r="F680" s="531"/>
      <c r="G680" s="198"/>
      <c r="H680" s="243" t="str">
        <f t="shared" si="62"/>
        <v/>
      </c>
      <c r="I680" s="199" t="e">
        <f>IF(#REF!="","",#REF!+G680+#REF!+#REF!+#REF!+H680)</f>
        <v>#REF!</v>
      </c>
      <c r="J680" s="244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2" t="str">
        <f t="shared" si="64"/>
        <v/>
      </c>
      <c r="E681" s="531"/>
      <c r="F681" s="531"/>
      <c r="G681" s="198"/>
      <c r="H681" s="243" t="str">
        <f t="shared" si="62"/>
        <v/>
      </c>
      <c r="I681" s="199" t="e">
        <f>IF(#REF!="","",#REF!+G681+#REF!+#REF!+#REF!+H681)</f>
        <v>#REF!</v>
      </c>
      <c r="J681" s="244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2" t="str">
        <f t="shared" si="64"/>
        <v/>
      </c>
      <c r="E682" s="531"/>
      <c r="F682" s="531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2" t="str">
        <f t="shared" si="64"/>
        <v/>
      </c>
      <c r="E683" s="531"/>
      <c r="F683" s="531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2" t="str">
        <f t="shared" si="64"/>
        <v/>
      </c>
      <c r="E684" s="531"/>
      <c r="F684" s="531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2" t="str">
        <f t="shared" si="64"/>
        <v/>
      </c>
      <c r="E685" s="531"/>
      <c r="F685" s="531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2" t="str">
        <f t="shared" si="64"/>
        <v/>
      </c>
      <c r="E686" s="531"/>
      <c r="F686" s="531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2" t="str">
        <f t="shared" si="64"/>
        <v/>
      </c>
      <c r="E687" s="531"/>
      <c r="F687" s="531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2" t="str">
        <f t="shared" si="64"/>
        <v/>
      </c>
      <c r="E688" s="531"/>
      <c r="F688" s="531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2" t="str">
        <f t="shared" si="64"/>
        <v/>
      </c>
      <c r="E689" s="531"/>
      <c r="F689" s="531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2" t="str">
        <f t="shared" si="64"/>
        <v/>
      </c>
      <c r="E690" s="531"/>
      <c r="F690" s="531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2" t="str">
        <f t="shared" si="64"/>
        <v/>
      </c>
      <c r="E691" s="531"/>
      <c r="F691" s="531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2" t="str">
        <f t="shared" si="64"/>
        <v/>
      </c>
      <c r="E692" s="531"/>
      <c r="F692" s="531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2" t="str">
        <f t="shared" si="64"/>
        <v/>
      </c>
      <c r="E693" s="531"/>
      <c r="F693" s="531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2" t="str">
        <f t="shared" si="64"/>
        <v/>
      </c>
      <c r="E694" s="531"/>
      <c r="F694" s="531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2" t="str">
        <f t="shared" si="64"/>
        <v/>
      </c>
      <c r="E695" s="531"/>
      <c r="F695" s="531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2" t="str">
        <f t="shared" si="64"/>
        <v/>
      </c>
      <c r="E696" s="531"/>
      <c r="F696" s="531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2" t="str">
        <f t="shared" si="64"/>
        <v/>
      </c>
      <c r="E697" s="531"/>
      <c r="F697" s="531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2" t="str">
        <f t="shared" si="64"/>
        <v/>
      </c>
      <c r="E698" s="531"/>
      <c r="F698" s="531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2" t="str">
        <f t="shared" si="64"/>
        <v/>
      </c>
      <c r="E699" s="531"/>
      <c r="F699" s="531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2" t="str">
        <f t="shared" si="64"/>
        <v/>
      </c>
      <c r="E700" s="531"/>
      <c r="F700" s="531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2" t="str">
        <f t="shared" si="64"/>
        <v/>
      </c>
      <c r="E701" s="531"/>
      <c r="F701" s="531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2" t="str">
        <f t="shared" si="64"/>
        <v/>
      </c>
      <c r="E702" s="531"/>
      <c r="F702" s="531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2" t="str">
        <f t="shared" si="64"/>
        <v/>
      </c>
      <c r="E703" s="531"/>
      <c r="F703" s="531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2" t="str">
        <f t="shared" si="64"/>
        <v/>
      </c>
      <c r="E704" s="531"/>
      <c r="F704" s="531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2" t="str">
        <f t="shared" si="64"/>
        <v/>
      </c>
      <c r="E705" s="531"/>
      <c r="F705" s="531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2" t="str">
        <f t="shared" si="64"/>
        <v/>
      </c>
      <c r="E706" s="531"/>
      <c r="F706" s="531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2" t="str">
        <f t="shared" si="64"/>
        <v/>
      </c>
      <c r="E707" s="531"/>
      <c r="F707" s="531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2" t="str">
        <f t="shared" si="64"/>
        <v/>
      </c>
      <c r="E708" s="531"/>
      <c r="F708" s="531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2" t="str">
        <f t="shared" si="64"/>
        <v/>
      </c>
      <c r="E709" s="531"/>
      <c r="F709" s="531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2" t="str">
        <f t="shared" si="64"/>
        <v/>
      </c>
      <c r="E710" s="531"/>
      <c r="F710" s="531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2" t="str">
        <f t="shared" si="64"/>
        <v/>
      </c>
      <c r="E711" s="531"/>
      <c r="F711" s="531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2" t="str">
        <f t="shared" si="64"/>
        <v/>
      </c>
      <c r="E712" s="531"/>
      <c r="F712" s="531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2" t="str">
        <f t="shared" ref="D713:D776" si="67">IF(A713&lt;&gt;"",PROPER(TEXT(A713,"Mmmm")),"")</f>
        <v/>
      </c>
      <c r="E713" s="531"/>
      <c r="F713" s="531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2" t="str">
        <f t="shared" si="67"/>
        <v/>
      </c>
      <c r="E714" s="531"/>
      <c r="F714" s="531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2" t="str">
        <f t="shared" si="67"/>
        <v/>
      </c>
      <c r="E715" s="531"/>
      <c r="F715" s="531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2" t="str">
        <f t="shared" si="67"/>
        <v/>
      </c>
      <c r="E716" s="531"/>
      <c r="F716" s="531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2" t="str">
        <f t="shared" si="67"/>
        <v/>
      </c>
      <c r="E717" s="531"/>
      <c r="F717" s="531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2" t="str">
        <f t="shared" si="67"/>
        <v/>
      </c>
      <c r="E718" s="531"/>
      <c r="F718" s="531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2" t="str">
        <f t="shared" si="67"/>
        <v/>
      </c>
      <c r="E719" s="531"/>
      <c r="F719" s="531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2" t="str">
        <f t="shared" si="67"/>
        <v/>
      </c>
      <c r="E720" s="531"/>
      <c r="F720" s="531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2" t="str">
        <f t="shared" si="67"/>
        <v/>
      </c>
      <c r="E721" s="531"/>
      <c r="F721" s="531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2" t="str">
        <f t="shared" si="67"/>
        <v/>
      </c>
      <c r="E722" s="531"/>
      <c r="F722" s="531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2" t="str">
        <f t="shared" si="67"/>
        <v/>
      </c>
      <c r="E723" s="531"/>
      <c r="F723" s="531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2" t="str">
        <f t="shared" si="67"/>
        <v/>
      </c>
      <c r="E724" s="531"/>
      <c r="F724" s="531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2" t="str">
        <f t="shared" si="67"/>
        <v/>
      </c>
      <c r="E725" s="531"/>
      <c r="F725" s="531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2" t="str">
        <f t="shared" si="67"/>
        <v/>
      </c>
      <c r="E726" s="531"/>
      <c r="F726" s="531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2" t="str">
        <f t="shared" si="67"/>
        <v/>
      </c>
      <c r="E727" s="531"/>
      <c r="F727" s="531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2" t="str">
        <f t="shared" si="67"/>
        <v/>
      </c>
      <c r="E728" s="531"/>
      <c r="F728" s="531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2" t="str">
        <f t="shared" si="67"/>
        <v/>
      </c>
      <c r="E729" s="531"/>
      <c r="F729" s="531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2" t="str">
        <f t="shared" si="67"/>
        <v/>
      </c>
      <c r="E730" s="531"/>
      <c r="F730" s="531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2" t="str">
        <f t="shared" si="67"/>
        <v/>
      </c>
      <c r="E731" s="531"/>
      <c r="F731" s="531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2" t="str">
        <f t="shared" si="67"/>
        <v/>
      </c>
      <c r="E732" s="531"/>
      <c r="F732" s="531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2" t="str">
        <f t="shared" si="67"/>
        <v/>
      </c>
      <c r="E733" s="531"/>
      <c r="F733" s="531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2" t="str">
        <f t="shared" si="67"/>
        <v/>
      </c>
      <c r="E734" s="531"/>
      <c r="F734" s="531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2" t="str">
        <f t="shared" si="67"/>
        <v/>
      </c>
      <c r="E735" s="531"/>
      <c r="F735" s="531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2" t="str">
        <f t="shared" si="67"/>
        <v/>
      </c>
      <c r="E736" s="531"/>
      <c r="F736" s="531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2" t="str">
        <f t="shared" si="67"/>
        <v/>
      </c>
      <c r="E737" s="531"/>
      <c r="F737" s="531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2" t="str">
        <f t="shared" si="67"/>
        <v/>
      </c>
      <c r="E738" s="531"/>
      <c r="F738" s="531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2" t="str">
        <f t="shared" si="67"/>
        <v/>
      </c>
      <c r="E739" s="531"/>
      <c r="F739" s="531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2" t="str">
        <f t="shared" si="67"/>
        <v/>
      </c>
      <c r="E740" s="531"/>
      <c r="F740" s="531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2" t="str">
        <f t="shared" si="67"/>
        <v/>
      </c>
      <c r="E741" s="531"/>
      <c r="F741" s="531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2" t="str">
        <f t="shared" si="67"/>
        <v/>
      </c>
      <c r="E742" s="531"/>
      <c r="F742" s="531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2" t="str">
        <f t="shared" si="67"/>
        <v/>
      </c>
      <c r="E743" s="531"/>
      <c r="F743" s="531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2" t="str">
        <f t="shared" si="67"/>
        <v/>
      </c>
      <c r="E744" s="531"/>
      <c r="F744" s="531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2" t="str">
        <f t="shared" si="67"/>
        <v/>
      </c>
      <c r="E745" s="531"/>
      <c r="F745" s="531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2" t="str">
        <f t="shared" si="67"/>
        <v/>
      </c>
      <c r="E746" s="531"/>
      <c r="F746" s="531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2" t="str">
        <f t="shared" si="67"/>
        <v/>
      </c>
      <c r="E747" s="531"/>
      <c r="F747" s="531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2" t="str">
        <f t="shared" si="67"/>
        <v/>
      </c>
      <c r="E748" s="531"/>
      <c r="F748" s="531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2" t="str">
        <f t="shared" si="67"/>
        <v/>
      </c>
      <c r="E749" s="531"/>
      <c r="F749" s="531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2" t="str">
        <f t="shared" si="67"/>
        <v/>
      </c>
      <c r="E750" s="531"/>
      <c r="F750" s="531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2" t="str">
        <f t="shared" si="67"/>
        <v/>
      </c>
      <c r="E751" s="531"/>
      <c r="F751" s="531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2" t="str">
        <f t="shared" si="67"/>
        <v/>
      </c>
      <c r="E752" s="531"/>
      <c r="F752" s="531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2" t="str">
        <f t="shared" si="67"/>
        <v/>
      </c>
      <c r="E753" s="531"/>
      <c r="F753" s="531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2" t="str">
        <f t="shared" si="67"/>
        <v/>
      </c>
      <c r="E754" s="531"/>
      <c r="F754" s="531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2" t="str">
        <f t="shared" si="67"/>
        <v/>
      </c>
      <c r="E755" s="531"/>
      <c r="F755" s="531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2" t="str">
        <f t="shared" si="67"/>
        <v/>
      </c>
      <c r="E756" s="531"/>
      <c r="F756" s="531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2" t="str">
        <f t="shared" si="67"/>
        <v/>
      </c>
      <c r="E757" s="531"/>
      <c r="F757" s="531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2" t="str">
        <f t="shared" si="67"/>
        <v/>
      </c>
      <c r="E758" s="531"/>
      <c r="F758" s="531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2" t="str">
        <f t="shared" si="67"/>
        <v/>
      </c>
      <c r="E759" s="531"/>
      <c r="F759" s="531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2" t="str">
        <f t="shared" si="67"/>
        <v/>
      </c>
      <c r="E760" s="531"/>
      <c r="F760" s="531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2" t="str">
        <f t="shared" si="67"/>
        <v/>
      </c>
      <c r="E761" s="531"/>
      <c r="F761" s="531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2" t="str">
        <f t="shared" si="67"/>
        <v/>
      </c>
      <c r="E762" s="531"/>
      <c r="F762" s="531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2" t="str">
        <f t="shared" si="67"/>
        <v/>
      </c>
      <c r="E763" s="531"/>
      <c r="F763" s="531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2" t="str">
        <f t="shared" si="67"/>
        <v/>
      </c>
      <c r="E764" s="531"/>
      <c r="F764" s="531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2" t="str">
        <f t="shared" si="67"/>
        <v/>
      </c>
      <c r="E765" s="531"/>
      <c r="F765" s="531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2" t="str">
        <f t="shared" si="67"/>
        <v/>
      </c>
      <c r="E766" s="531"/>
      <c r="F766" s="531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2" t="str">
        <f t="shared" si="67"/>
        <v/>
      </c>
      <c r="E767" s="531"/>
      <c r="F767" s="531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2" t="str">
        <f t="shared" si="67"/>
        <v/>
      </c>
      <c r="E768" s="531"/>
      <c r="F768" s="531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2" t="str">
        <f t="shared" si="67"/>
        <v/>
      </c>
      <c r="E769" s="531"/>
      <c r="F769" s="531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2" t="str">
        <f t="shared" si="67"/>
        <v/>
      </c>
      <c r="E770" s="531"/>
      <c r="F770" s="531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2" t="str">
        <f t="shared" si="67"/>
        <v/>
      </c>
      <c r="E771" s="531"/>
      <c r="F771" s="531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2" t="str">
        <f t="shared" si="67"/>
        <v/>
      </c>
      <c r="E772" s="531"/>
      <c r="F772" s="531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2" t="str">
        <f t="shared" si="67"/>
        <v/>
      </c>
      <c r="E773" s="531"/>
      <c r="F773" s="531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2" t="str">
        <f t="shared" si="67"/>
        <v/>
      </c>
      <c r="E774" s="531"/>
      <c r="F774" s="531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2" t="str">
        <f t="shared" si="67"/>
        <v/>
      </c>
      <c r="E775" s="531"/>
      <c r="F775" s="531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2" t="str">
        <f t="shared" si="67"/>
        <v/>
      </c>
      <c r="E776" s="531"/>
      <c r="F776" s="531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2" t="str">
        <f t="shared" ref="D777:D840" si="70">IF(A777&lt;&gt;"",PROPER(TEXT(A777,"Mmmm")),"")</f>
        <v/>
      </c>
      <c r="E777" s="531"/>
      <c r="F777" s="531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2" t="str">
        <f t="shared" si="70"/>
        <v/>
      </c>
      <c r="E778" s="531"/>
      <c r="F778" s="531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2" t="str">
        <f t="shared" si="70"/>
        <v/>
      </c>
      <c r="E779" s="531"/>
      <c r="F779" s="531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2" t="str">
        <f t="shared" si="70"/>
        <v/>
      </c>
      <c r="E780" s="531"/>
      <c r="F780" s="531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2" t="str">
        <f t="shared" si="70"/>
        <v/>
      </c>
      <c r="E781" s="531"/>
      <c r="F781" s="531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2" t="str">
        <f t="shared" si="70"/>
        <v/>
      </c>
      <c r="E782" s="531"/>
      <c r="F782" s="531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2" t="str">
        <f t="shared" si="70"/>
        <v/>
      </c>
      <c r="E783" s="531"/>
      <c r="F783" s="531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2" t="str">
        <f t="shared" si="70"/>
        <v/>
      </c>
      <c r="E784" s="531"/>
      <c r="F784" s="531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2" t="str">
        <f t="shared" si="70"/>
        <v/>
      </c>
      <c r="E785" s="531"/>
      <c r="F785" s="531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2" t="str">
        <f t="shared" si="70"/>
        <v/>
      </c>
      <c r="E786" s="531"/>
      <c r="F786" s="531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2" t="str">
        <f t="shared" si="70"/>
        <v/>
      </c>
      <c r="E787" s="531"/>
      <c r="F787" s="531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2" t="str">
        <f t="shared" si="70"/>
        <v/>
      </c>
      <c r="E788" s="531"/>
      <c r="F788" s="531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2" t="str">
        <f t="shared" si="70"/>
        <v/>
      </c>
      <c r="E789" s="531"/>
      <c r="F789" s="531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2" t="str">
        <f t="shared" si="70"/>
        <v/>
      </c>
      <c r="E790" s="531"/>
      <c r="F790" s="531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2" t="str">
        <f t="shared" si="70"/>
        <v/>
      </c>
      <c r="E791" s="531"/>
      <c r="F791" s="531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2" t="str">
        <f t="shared" si="70"/>
        <v/>
      </c>
      <c r="E792" s="531"/>
      <c r="F792" s="531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2" t="str">
        <f t="shared" si="70"/>
        <v/>
      </c>
      <c r="E793" s="531"/>
      <c r="F793" s="531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2" t="str">
        <f t="shared" si="70"/>
        <v/>
      </c>
      <c r="E794" s="531"/>
      <c r="F794" s="531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2" t="str">
        <f t="shared" si="70"/>
        <v/>
      </c>
      <c r="E795" s="531"/>
      <c r="F795" s="531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2" t="str">
        <f t="shared" si="70"/>
        <v/>
      </c>
      <c r="E796" s="531"/>
      <c r="F796" s="531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2" t="str">
        <f t="shared" si="70"/>
        <v/>
      </c>
      <c r="E797" s="531"/>
      <c r="F797" s="531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2" t="str">
        <f t="shared" si="70"/>
        <v/>
      </c>
      <c r="E798" s="531"/>
      <c r="F798" s="531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2" t="str">
        <f t="shared" si="70"/>
        <v/>
      </c>
      <c r="E799" s="531"/>
      <c r="F799" s="531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2" t="str">
        <f t="shared" si="70"/>
        <v/>
      </c>
      <c r="E800" s="531"/>
      <c r="F800" s="531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2" t="str">
        <f t="shared" si="70"/>
        <v/>
      </c>
      <c r="E801" s="531"/>
      <c r="F801" s="531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2" t="str">
        <f t="shared" si="70"/>
        <v/>
      </c>
      <c r="E802" s="531"/>
      <c r="F802" s="531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2" t="str">
        <f t="shared" si="70"/>
        <v/>
      </c>
      <c r="E803" s="531"/>
      <c r="F803" s="531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2" t="str">
        <f t="shared" si="70"/>
        <v/>
      </c>
      <c r="E804" s="531"/>
      <c r="F804" s="531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2" t="str">
        <f t="shared" si="70"/>
        <v/>
      </c>
      <c r="E805" s="531"/>
      <c r="F805" s="531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2" t="str">
        <f t="shared" si="70"/>
        <v/>
      </c>
      <c r="E806" s="531"/>
      <c r="F806" s="531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2" t="str">
        <f t="shared" si="70"/>
        <v/>
      </c>
      <c r="E807" s="531"/>
      <c r="F807" s="531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2" t="str">
        <f t="shared" si="70"/>
        <v/>
      </c>
      <c r="E808" s="531"/>
      <c r="F808" s="531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2" t="str">
        <f t="shared" si="70"/>
        <v/>
      </c>
      <c r="E809" s="531"/>
      <c r="F809" s="531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2" t="str">
        <f t="shared" si="70"/>
        <v/>
      </c>
      <c r="E810" s="531"/>
      <c r="F810" s="531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2" t="str">
        <f t="shared" si="70"/>
        <v/>
      </c>
      <c r="E811" s="531"/>
      <c r="F811" s="531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2" t="str">
        <f t="shared" si="70"/>
        <v/>
      </c>
      <c r="E812" s="531"/>
      <c r="F812" s="531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2" t="str">
        <f t="shared" si="70"/>
        <v/>
      </c>
      <c r="E813" s="531"/>
      <c r="F813" s="531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2" t="str">
        <f t="shared" si="70"/>
        <v/>
      </c>
      <c r="E814" s="531"/>
      <c r="F814" s="531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2" t="str">
        <f t="shared" si="70"/>
        <v/>
      </c>
      <c r="E815" s="531"/>
      <c r="F815" s="531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2" t="str">
        <f t="shared" si="70"/>
        <v/>
      </c>
      <c r="E816" s="531"/>
      <c r="F816" s="531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2" t="str">
        <f t="shared" si="70"/>
        <v/>
      </c>
      <c r="E817" s="531"/>
      <c r="F817" s="531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2" t="str">
        <f t="shared" si="70"/>
        <v/>
      </c>
      <c r="E818" s="531"/>
      <c r="F818" s="531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2" t="str">
        <f t="shared" si="70"/>
        <v/>
      </c>
      <c r="E819" s="531"/>
      <c r="F819" s="531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2" t="str">
        <f t="shared" si="70"/>
        <v/>
      </c>
      <c r="E820" s="531"/>
      <c r="F820" s="531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2" t="str">
        <f t="shared" si="70"/>
        <v/>
      </c>
      <c r="E821" s="531"/>
      <c r="F821" s="531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2" t="str">
        <f t="shared" si="70"/>
        <v/>
      </c>
      <c r="E822" s="531"/>
      <c r="F822" s="531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2" t="str">
        <f t="shared" si="70"/>
        <v/>
      </c>
      <c r="E823" s="531"/>
      <c r="F823" s="531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2" t="str">
        <f t="shared" si="70"/>
        <v/>
      </c>
      <c r="E824" s="531"/>
      <c r="F824" s="531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2" t="str">
        <f t="shared" si="70"/>
        <v/>
      </c>
      <c r="E825" s="531"/>
      <c r="F825" s="531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2" t="str">
        <f t="shared" si="70"/>
        <v/>
      </c>
      <c r="E826" s="531"/>
      <c r="F826" s="531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2" t="str">
        <f t="shared" si="70"/>
        <v/>
      </c>
      <c r="E827" s="531"/>
      <c r="F827" s="531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2" t="str">
        <f t="shared" si="70"/>
        <v/>
      </c>
      <c r="E828" s="531"/>
      <c r="F828" s="531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2" t="str">
        <f t="shared" si="70"/>
        <v/>
      </c>
      <c r="E829" s="531"/>
      <c r="F829" s="531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2" t="str">
        <f t="shared" si="70"/>
        <v/>
      </c>
      <c r="E830" s="531"/>
      <c r="F830" s="531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2" t="str">
        <f t="shared" si="70"/>
        <v/>
      </c>
      <c r="E831" s="531"/>
      <c r="F831" s="531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2" t="str">
        <f t="shared" si="70"/>
        <v/>
      </c>
      <c r="E832" s="531"/>
      <c r="F832" s="531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2" t="str">
        <f t="shared" si="70"/>
        <v/>
      </c>
      <c r="E833" s="531"/>
      <c r="F833" s="531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2" t="str">
        <f t="shared" si="70"/>
        <v/>
      </c>
      <c r="E834" s="531"/>
      <c r="F834" s="531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2" t="str">
        <f t="shared" si="70"/>
        <v/>
      </c>
      <c r="E835" s="531"/>
      <c r="F835" s="531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2" t="str">
        <f t="shared" si="70"/>
        <v/>
      </c>
      <c r="E836" s="531"/>
      <c r="F836" s="531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2" t="str">
        <f t="shared" si="70"/>
        <v/>
      </c>
      <c r="E837" s="531"/>
      <c r="F837" s="531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2" t="str">
        <f t="shared" si="70"/>
        <v/>
      </c>
      <c r="E838" s="531"/>
      <c r="F838" s="531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2" t="str">
        <f t="shared" si="70"/>
        <v/>
      </c>
      <c r="E839" s="531"/>
      <c r="F839" s="531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2" t="str">
        <f t="shared" si="70"/>
        <v/>
      </c>
      <c r="E840" s="531"/>
      <c r="F840" s="531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2" t="str">
        <f t="shared" ref="D841:D904" si="73">IF(A841&lt;&gt;"",PROPER(TEXT(A841,"Mmmm")),"")</f>
        <v/>
      </c>
      <c r="E841" s="531"/>
      <c r="F841" s="531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2" t="str">
        <f t="shared" si="73"/>
        <v/>
      </c>
      <c r="E842" s="531"/>
      <c r="F842" s="531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2" t="str">
        <f t="shared" si="73"/>
        <v/>
      </c>
      <c r="E843" s="531"/>
      <c r="F843" s="531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2" t="str">
        <f t="shared" si="73"/>
        <v/>
      </c>
      <c r="E844" s="531"/>
      <c r="F844" s="531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2" t="str">
        <f t="shared" si="73"/>
        <v/>
      </c>
      <c r="E845" s="531"/>
      <c r="F845" s="531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2" t="str">
        <f t="shared" si="73"/>
        <v/>
      </c>
      <c r="E846" s="531"/>
      <c r="F846" s="531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2" t="str">
        <f t="shared" si="73"/>
        <v/>
      </c>
      <c r="E847" s="531"/>
      <c r="F847" s="531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2" t="str">
        <f t="shared" si="73"/>
        <v/>
      </c>
      <c r="E848" s="531"/>
      <c r="F848" s="531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2" t="str">
        <f t="shared" si="73"/>
        <v/>
      </c>
      <c r="E849" s="531"/>
      <c r="F849" s="531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2" t="str">
        <f t="shared" si="73"/>
        <v/>
      </c>
      <c r="E850" s="531"/>
      <c r="F850" s="531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2" t="str">
        <f t="shared" si="73"/>
        <v/>
      </c>
      <c r="E851" s="531"/>
      <c r="F851" s="531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2" t="str">
        <f t="shared" si="73"/>
        <v/>
      </c>
      <c r="E852" s="531"/>
      <c r="F852" s="531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2" t="str">
        <f t="shared" si="73"/>
        <v/>
      </c>
      <c r="E853" s="531"/>
      <c r="F853" s="531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2" t="str">
        <f t="shared" si="73"/>
        <v/>
      </c>
      <c r="E854" s="531"/>
      <c r="F854" s="531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2" t="str">
        <f t="shared" si="73"/>
        <v/>
      </c>
      <c r="E855" s="531"/>
      <c r="F855" s="531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2" t="str">
        <f t="shared" si="73"/>
        <v/>
      </c>
      <c r="E856" s="531"/>
      <c r="F856" s="531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2" t="str">
        <f t="shared" si="73"/>
        <v/>
      </c>
      <c r="E857" s="531"/>
      <c r="F857" s="531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2" t="str">
        <f t="shared" si="73"/>
        <v/>
      </c>
      <c r="E858" s="531"/>
      <c r="F858" s="531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2" t="str">
        <f t="shared" si="73"/>
        <v/>
      </c>
      <c r="E859" s="531"/>
      <c r="F859" s="531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2" t="str">
        <f t="shared" si="73"/>
        <v/>
      </c>
      <c r="E860" s="531"/>
      <c r="F860" s="531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2" t="str">
        <f t="shared" si="73"/>
        <v/>
      </c>
      <c r="E861" s="531"/>
      <c r="F861" s="531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2" t="str">
        <f t="shared" si="73"/>
        <v/>
      </c>
      <c r="E862" s="531"/>
      <c r="F862" s="531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2" t="str">
        <f t="shared" si="73"/>
        <v/>
      </c>
      <c r="E863" s="531"/>
      <c r="F863" s="531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2" t="str">
        <f t="shared" si="73"/>
        <v/>
      </c>
      <c r="E864" s="531"/>
      <c r="F864" s="531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2" t="str">
        <f t="shared" si="73"/>
        <v/>
      </c>
      <c r="E865" s="531"/>
      <c r="F865" s="531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2" t="str">
        <f t="shared" si="73"/>
        <v/>
      </c>
      <c r="E866" s="531"/>
      <c r="F866" s="531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2" t="str">
        <f t="shared" si="73"/>
        <v/>
      </c>
      <c r="E867" s="531"/>
      <c r="F867" s="531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2" t="str">
        <f t="shared" si="73"/>
        <v/>
      </c>
      <c r="E868" s="531"/>
      <c r="F868" s="531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2" t="str">
        <f t="shared" si="73"/>
        <v/>
      </c>
      <c r="E869" s="531"/>
      <c r="F869" s="531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2" t="str">
        <f t="shared" si="73"/>
        <v/>
      </c>
      <c r="E870" s="531"/>
      <c r="F870" s="531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2" t="str">
        <f t="shared" si="73"/>
        <v/>
      </c>
      <c r="E871" s="531"/>
      <c r="F871" s="531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2" t="str">
        <f t="shared" si="73"/>
        <v/>
      </c>
      <c r="E872" s="531"/>
      <c r="F872" s="531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2" t="str">
        <f t="shared" si="73"/>
        <v/>
      </c>
      <c r="E873" s="531"/>
      <c r="F873" s="531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2" t="str">
        <f t="shared" si="73"/>
        <v/>
      </c>
      <c r="E874" s="531"/>
      <c r="F874" s="531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2" t="str">
        <f t="shared" si="73"/>
        <v/>
      </c>
      <c r="E875" s="531"/>
      <c r="F875" s="531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2" t="str">
        <f t="shared" si="73"/>
        <v/>
      </c>
      <c r="E876" s="531"/>
      <c r="F876" s="531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2" t="str">
        <f t="shared" si="73"/>
        <v/>
      </c>
      <c r="E877" s="531"/>
      <c r="F877" s="531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2" t="str">
        <f t="shared" si="73"/>
        <v/>
      </c>
      <c r="E878" s="531"/>
      <c r="F878" s="531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2" t="str">
        <f t="shared" si="73"/>
        <v/>
      </c>
      <c r="E879" s="531"/>
      <c r="F879" s="531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2" t="str">
        <f t="shared" si="73"/>
        <v/>
      </c>
      <c r="E880" s="531"/>
      <c r="F880" s="531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2" t="str">
        <f t="shared" si="73"/>
        <v/>
      </c>
      <c r="E881" s="531"/>
      <c r="F881" s="531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2" t="str">
        <f t="shared" si="73"/>
        <v/>
      </c>
      <c r="E882" s="531"/>
      <c r="F882" s="531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2" t="str">
        <f t="shared" si="73"/>
        <v/>
      </c>
      <c r="E883" s="531"/>
      <c r="F883" s="531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2" t="str">
        <f t="shared" si="73"/>
        <v/>
      </c>
      <c r="E884" s="531"/>
      <c r="F884" s="531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2" t="str">
        <f t="shared" si="73"/>
        <v/>
      </c>
      <c r="E885" s="531"/>
      <c r="F885" s="531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2" t="str">
        <f t="shared" si="73"/>
        <v/>
      </c>
      <c r="E886" s="531"/>
      <c r="F886" s="531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2" t="str">
        <f t="shared" si="73"/>
        <v/>
      </c>
      <c r="E887" s="531"/>
      <c r="F887" s="531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2" t="str">
        <f t="shared" si="73"/>
        <v/>
      </c>
      <c r="E888" s="531"/>
      <c r="F888" s="531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2" t="str">
        <f t="shared" si="73"/>
        <v/>
      </c>
      <c r="E889" s="531"/>
      <c r="F889" s="531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2" t="str">
        <f t="shared" si="73"/>
        <v/>
      </c>
      <c r="E890" s="531"/>
      <c r="F890" s="531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2" t="str">
        <f t="shared" si="73"/>
        <v/>
      </c>
      <c r="E891" s="531"/>
      <c r="F891" s="531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2" t="str">
        <f t="shared" si="73"/>
        <v/>
      </c>
      <c r="E892" s="531"/>
      <c r="F892" s="531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2" t="str">
        <f t="shared" si="73"/>
        <v/>
      </c>
      <c r="E893" s="531"/>
      <c r="F893" s="531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2" t="str">
        <f t="shared" si="73"/>
        <v/>
      </c>
      <c r="E894" s="531"/>
      <c r="F894" s="531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2" t="str">
        <f t="shared" si="73"/>
        <v/>
      </c>
      <c r="E895" s="531"/>
      <c r="F895" s="531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2" t="str">
        <f t="shared" si="73"/>
        <v/>
      </c>
      <c r="E896" s="531"/>
      <c r="F896" s="531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2" t="str">
        <f t="shared" si="73"/>
        <v/>
      </c>
      <c r="E897" s="531"/>
      <c r="F897" s="531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2" t="str">
        <f t="shared" si="73"/>
        <v/>
      </c>
      <c r="E898" s="531"/>
      <c r="F898" s="531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2" t="str">
        <f t="shared" si="73"/>
        <v/>
      </c>
      <c r="E899" s="531"/>
      <c r="F899" s="531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2" t="str">
        <f t="shared" si="73"/>
        <v/>
      </c>
      <c r="E900" s="531"/>
      <c r="F900" s="531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2" t="str">
        <f t="shared" si="73"/>
        <v/>
      </c>
      <c r="E901" s="531"/>
      <c r="F901" s="531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2" t="str">
        <f t="shared" si="73"/>
        <v/>
      </c>
      <c r="E902" s="531"/>
      <c r="F902" s="531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2" t="str">
        <f t="shared" si="73"/>
        <v/>
      </c>
      <c r="E903" s="531"/>
      <c r="F903" s="531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2" t="str">
        <f t="shared" si="73"/>
        <v/>
      </c>
      <c r="E904" s="531"/>
      <c r="F904" s="531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2" t="str">
        <f t="shared" ref="D905:D968" si="76">IF(A905&lt;&gt;"",PROPER(TEXT(A905,"Mmmm")),"")</f>
        <v/>
      </c>
      <c r="E905" s="531"/>
      <c r="F905" s="531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2" t="str">
        <f t="shared" si="76"/>
        <v/>
      </c>
      <c r="E906" s="531"/>
      <c r="F906" s="531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2" t="str">
        <f t="shared" si="76"/>
        <v/>
      </c>
      <c r="E907" s="531"/>
      <c r="F907" s="531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2" t="str">
        <f t="shared" si="76"/>
        <v/>
      </c>
      <c r="E908" s="531"/>
      <c r="F908" s="531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2" t="str">
        <f t="shared" si="76"/>
        <v/>
      </c>
      <c r="E909" s="531"/>
      <c r="F909" s="531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2" t="str">
        <f t="shared" si="76"/>
        <v/>
      </c>
      <c r="E910" s="531"/>
      <c r="F910" s="531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2" t="str">
        <f t="shared" si="76"/>
        <v/>
      </c>
      <c r="E911" s="531"/>
      <c r="F911" s="531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2" t="str">
        <f t="shared" si="76"/>
        <v/>
      </c>
      <c r="E912" s="531"/>
      <c r="F912" s="531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2" t="str">
        <f t="shared" si="76"/>
        <v/>
      </c>
      <c r="E913" s="531"/>
      <c r="F913" s="531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2" t="str">
        <f t="shared" si="76"/>
        <v/>
      </c>
      <c r="E914" s="531"/>
      <c r="F914" s="531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2" t="str">
        <f t="shared" si="76"/>
        <v/>
      </c>
      <c r="E915" s="531"/>
      <c r="F915" s="531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2" t="str">
        <f t="shared" si="76"/>
        <v/>
      </c>
      <c r="E916" s="531"/>
      <c r="F916" s="531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2" t="str">
        <f t="shared" si="76"/>
        <v/>
      </c>
      <c r="E917" s="531"/>
      <c r="F917" s="531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2" t="str">
        <f t="shared" si="76"/>
        <v/>
      </c>
      <c r="E918" s="531"/>
      <c r="F918" s="531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2" t="str">
        <f t="shared" si="76"/>
        <v/>
      </c>
      <c r="E919" s="531"/>
      <c r="F919" s="531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2" t="str">
        <f t="shared" si="76"/>
        <v/>
      </c>
      <c r="E920" s="531"/>
      <c r="F920" s="531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2" t="str">
        <f t="shared" si="76"/>
        <v/>
      </c>
      <c r="E921" s="531"/>
      <c r="F921" s="531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2" t="str">
        <f t="shared" si="76"/>
        <v/>
      </c>
      <c r="E922" s="531"/>
      <c r="F922" s="531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2" t="str">
        <f t="shared" si="76"/>
        <v/>
      </c>
      <c r="E923" s="531"/>
      <c r="F923" s="531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2" t="str">
        <f t="shared" si="76"/>
        <v/>
      </c>
      <c r="E924" s="531"/>
      <c r="F924" s="531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2" t="str">
        <f t="shared" si="76"/>
        <v/>
      </c>
      <c r="E925" s="531"/>
      <c r="F925" s="531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2" t="str">
        <f t="shared" si="76"/>
        <v/>
      </c>
      <c r="E926" s="531"/>
      <c r="F926" s="531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2" t="str">
        <f t="shared" si="76"/>
        <v/>
      </c>
      <c r="E927" s="531"/>
      <c r="F927" s="531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2" t="str">
        <f t="shared" si="76"/>
        <v/>
      </c>
      <c r="E928" s="531"/>
      <c r="F928" s="531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2" t="str">
        <f t="shared" si="76"/>
        <v/>
      </c>
      <c r="E929" s="531"/>
      <c r="F929" s="531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2" t="str">
        <f t="shared" si="76"/>
        <v/>
      </c>
      <c r="E930" s="531"/>
      <c r="F930" s="531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2" t="str">
        <f t="shared" si="76"/>
        <v/>
      </c>
      <c r="E931" s="531"/>
      <c r="F931" s="531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2" t="str">
        <f t="shared" si="76"/>
        <v/>
      </c>
      <c r="E932" s="531"/>
      <c r="F932" s="531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2" t="str">
        <f t="shared" si="76"/>
        <v/>
      </c>
      <c r="E933" s="531"/>
      <c r="F933" s="531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2" t="str">
        <f t="shared" si="76"/>
        <v/>
      </c>
      <c r="E934" s="531"/>
      <c r="F934" s="531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2" t="str">
        <f t="shared" si="76"/>
        <v/>
      </c>
      <c r="E935" s="531"/>
      <c r="F935" s="531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2" t="str">
        <f t="shared" si="76"/>
        <v/>
      </c>
      <c r="E936" s="531"/>
      <c r="F936" s="531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2" t="str">
        <f t="shared" si="76"/>
        <v/>
      </c>
      <c r="E937" s="531"/>
      <c r="F937" s="531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2" t="str">
        <f t="shared" si="76"/>
        <v/>
      </c>
      <c r="E938" s="531"/>
      <c r="F938" s="531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2" t="str">
        <f t="shared" si="76"/>
        <v/>
      </c>
      <c r="E939" s="531"/>
      <c r="F939" s="531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2" t="str">
        <f t="shared" si="76"/>
        <v/>
      </c>
      <c r="E940" s="531"/>
      <c r="F940" s="531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2" t="str">
        <f t="shared" si="76"/>
        <v/>
      </c>
      <c r="E941" s="531"/>
      <c r="F941" s="531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2" t="str">
        <f t="shared" si="76"/>
        <v/>
      </c>
      <c r="E942" s="531"/>
      <c r="F942" s="531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2" t="str">
        <f t="shared" si="76"/>
        <v/>
      </c>
      <c r="E943" s="531"/>
      <c r="F943" s="531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2" t="str">
        <f t="shared" si="76"/>
        <v/>
      </c>
      <c r="E944" s="531"/>
      <c r="F944" s="531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2" t="str">
        <f t="shared" si="76"/>
        <v/>
      </c>
      <c r="E945" s="531"/>
      <c r="F945" s="531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2" t="str">
        <f t="shared" si="76"/>
        <v/>
      </c>
      <c r="E946" s="531"/>
      <c r="F946" s="531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2" t="str">
        <f t="shared" si="76"/>
        <v/>
      </c>
      <c r="E947" s="531"/>
      <c r="F947" s="531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2" t="str">
        <f t="shared" si="76"/>
        <v/>
      </c>
      <c r="E948" s="531"/>
      <c r="F948" s="531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2" t="str">
        <f t="shared" si="76"/>
        <v/>
      </c>
      <c r="E949" s="531"/>
      <c r="F949" s="531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2" t="str">
        <f t="shared" si="76"/>
        <v/>
      </c>
      <c r="E950" s="531"/>
      <c r="F950" s="531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2" t="str">
        <f t="shared" si="76"/>
        <v/>
      </c>
      <c r="E951" s="531"/>
      <c r="F951" s="531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2" t="str">
        <f t="shared" si="76"/>
        <v/>
      </c>
      <c r="E952" s="531"/>
      <c r="F952" s="531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2" t="str">
        <f t="shared" si="76"/>
        <v/>
      </c>
      <c r="E953" s="531"/>
      <c r="F953" s="531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2" t="str">
        <f t="shared" si="76"/>
        <v/>
      </c>
      <c r="E954" s="531"/>
      <c r="F954" s="531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2" t="str">
        <f t="shared" si="76"/>
        <v/>
      </c>
      <c r="E955" s="531"/>
      <c r="F955" s="531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2" t="str">
        <f t="shared" si="76"/>
        <v/>
      </c>
      <c r="E956" s="531"/>
      <c r="F956" s="531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2" t="str">
        <f t="shared" si="76"/>
        <v/>
      </c>
      <c r="E957" s="531"/>
      <c r="F957" s="531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2" t="str">
        <f t="shared" si="76"/>
        <v/>
      </c>
      <c r="E958" s="531"/>
      <c r="F958" s="531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2" t="str">
        <f t="shared" si="76"/>
        <v/>
      </c>
      <c r="E959" s="531"/>
      <c r="F959" s="531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2" t="str">
        <f t="shared" si="76"/>
        <v/>
      </c>
      <c r="E960" s="531"/>
      <c r="F960" s="531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2" t="str">
        <f t="shared" si="76"/>
        <v/>
      </c>
      <c r="E961" s="531"/>
      <c r="F961" s="531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2" t="str">
        <f t="shared" si="76"/>
        <v/>
      </c>
      <c r="E962" s="531"/>
      <c r="F962" s="531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2" t="str">
        <f t="shared" si="76"/>
        <v/>
      </c>
      <c r="E963" s="531"/>
      <c r="F963" s="531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2" t="str">
        <f t="shared" si="76"/>
        <v/>
      </c>
      <c r="E964" s="531"/>
      <c r="F964" s="531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2" t="str">
        <f t="shared" si="76"/>
        <v/>
      </c>
      <c r="E965" s="531"/>
      <c r="F965" s="531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2" t="str">
        <f t="shared" si="76"/>
        <v/>
      </c>
      <c r="E966" s="531"/>
      <c r="F966" s="531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2" t="str">
        <f t="shared" si="76"/>
        <v/>
      </c>
      <c r="E967" s="531"/>
      <c r="F967" s="531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2" t="str">
        <f t="shared" si="76"/>
        <v/>
      </c>
      <c r="E968" s="531"/>
      <c r="F968" s="531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2" t="str">
        <f t="shared" ref="D969:D1032" si="79">IF(A969&lt;&gt;"",PROPER(TEXT(A969,"Mmmm")),"")</f>
        <v/>
      </c>
      <c r="E969" s="531"/>
      <c r="F969" s="531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2" t="str">
        <f t="shared" si="79"/>
        <v/>
      </c>
      <c r="E970" s="531"/>
      <c r="F970" s="531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2" t="str">
        <f t="shared" si="79"/>
        <v/>
      </c>
      <c r="E971" s="531"/>
      <c r="F971" s="531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2" t="str">
        <f t="shared" si="79"/>
        <v/>
      </c>
      <c r="E972" s="531"/>
      <c r="F972" s="531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2" t="str">
        <f t="shared" si="79"/>
        <v/>
      </c>
      <c r="E973" s="531"/>
      <c r="F973" s="531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2" t="str">
        <f t="shared" si="79"/>
        <v/>
      </c>
      <c r="E974" s="531"/>
      <c r="F974" s="531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2" t="str">
        <f t="shared" si="79"/>
        <v/>
      </c>
      <c r="E975" s="531"/>
      <c r="F975" s="531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2" t="str">
        <f t="shared" si="79"/>
        <v/>
      </c>
      <c r="E976" s="531"/>
      <c r="F976" s="531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2" t="str">
        <f t="shared" si="79"/>
        <v/>
      </c>
      <c r="E977" s="531"/>
      <c r="F977" s="531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2" t="str">
        <f t="shared" si="79"/>
        <v/>
      </c>
      <c r="E978" s="531"/>
      <c r="F978" s="531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2" t="str">
        <f t="shared" si="79"/>
        <v/>
      </c>
      <c r="E979" s="531"/>
      <c r="F979" s="531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2" t="str">
        <f t="shared" si="79"/>
        <v/>
      </c>
      <c r="E980" s="531"/>
      <c r="F980" s="531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2" t="str">
        <f t="shared" si="79"/>
        <v/>
      </c>
      <c r="E981" s="531"/>
      <c r="F981" s="531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2" t="str">
        <f t="shared" si="79"/>
        <v/>
      </c>
      <c r="E982" s="531"/>
      <c r="F982" s="531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2" t="str">
        <f t="shared" si="79"/>
        <v/>
      </c>
      <c r="E983" s="531"/>
      <c r="F983" s="531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2" t="str">
        <f t="shared" si="79"/>
        <v/>
      </c>
      <c r="E984" s="531"/>
      <c r="F984" s="531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2" t="str">
        <f t="shared" si="79"/>
        <v/>
      </c>
      <c r="E985" s="531"/>
      <c r="F985" s="531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2" t="str">
        <f t="shared" si="79"/>
        <v/>
      </c>
      <c r="E986" s="531"/>
      <c r="F986" s="531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2" t="str">
        <f t="shared" si="79"/>
        <v/>
      </c>
      <c r="E987" s="531"/>
      <c r="F987" s="531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2" t="str">
        <f t="shared" si="79"/>
        <v/>
      </c>
      <c r="E988" s="531"/>
      <c r="F988" s="531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2" t="str">
        <f t="shared" si="79"/>
        <v/>
      </c>
      <c r="E989" s="531"/>
      <c r="F989" s="531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2" t="str">
        <f t="shared" si="79"/>
        <v/>
      </c>
      <c r="E990" s="531"/>
      <c r="F990" s="531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2" t="str">
        <f t="shared" si="79"/>
        <v/>
      </c>
      <c r="E991" s="531"/>
      <c r="F991" s="531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2" t="str">
        <f t="shared" si="79"/>
        <v/>
      </c>
      <c r="E992" s="531"/>
      <c r="F992" s="531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2" t="str">
        <f t="shared" si="79"/>
        <v/>
      </c>
      <c r="E993" s="531"/>
      <c r="F993" s="531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2" t="str">
        <f t="shared" si="79"/>
        <v/>
      </c>
      <c r="E994" s="531"/>
      <c r="F994" s="531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2" t="str">
        <f t="shared" si="79"/>
        <v/>
      </c>
      <c r="E995" s="531"/>
      <c r="F995" s="531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2" t="str">
        <f t="shared" si="79"/>
        <v/>
      </c>
      <c r="E996" s="531"/>
      <c r="F996" s="531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2" t="str">
        <f t="shared" si="79"/>
        <v/>
      </c>
      <c r="E997" s="531"/>
      <c r="F997" s="531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2" t="str">
        <f t="shared" si="79"/>
        <v/>
      </c>
      <c r="E998" s="531"/>
      <c r="F998" s="531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2" t="str">
        <f t="shared" si="79"/>
        <v/>
      </c>
      <c r="E999" s="531"/>
      <c r="F999" s="531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2" t="str">
        <f t="shared" si="79"/>
        <v/>
      </c>
      <c r="E1000" s="531"/>
      <c r="F1000" s="531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2" t="str">
        <f t="shared" si="79"/>
        <v/>
      </c>
      <c r="E1001" s="531"/>
      <c r="F1001" s="531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2" t="str">
        <f t="shared" si="79"/>
        <v/>
      </c>
      <c r="E1002" s="531"/>
      <c r="F1002" s="531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2" t="str">
        <f t="shared" si="79"/>
        <v/>
      </c>
      <c r="E1003" s="531"/>
      <c r="F1003" s="531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2" t="str">
        <f t="shared" si="79"/>
        <v/>
      </c>
      <c r="E1004" s="531"/>
      <c r="F1004" s="531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2" t="str">
        <f t="shared" si="79"/>
        <v/>
      </c>
      <c r="E1005" s="531"/>
      <c r="F1005" s="531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2" t="str">
        <f t="shared" si="79"/>
        <v/>
      </c>
      <c r="E1006" s="531"/>
      <c r="F1006" s="531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2" t="str">
        <f t="shared" si="79"/>
        <v/>
      </c>
      <c r="E1007" s="531"/>
      <c r="F1007" s="531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2" t="str">
        <f t="shared" si="79"/>
        <v/>
      </c>
      <c r="E1008" s="531"/>
      <c r="F1008" s="531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2" t="str">
        <f t="shared" si="79"/>
        <v/>
      </c>
      <c r="E1009" s="531"/>
      <c r="F1009" s="531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2" t="str">
        <f t="shared" si="79"/>
        <v/>
      </c>
      <c r="E1010" s="531"/>
      <c r="F1010" s="531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2" t="str">
        <f t="shared" si="79"/>
        <v/>
      </c>
      <c r="E1011" s="531"/>
      <c r="F1011" s="531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2" t="str">
        <f t="shared" si="79"/>
        <v/>
      </c>
      <c r="E1012" s="531"/>
      <c r="F1012" s="531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2" t="str">
        <f t="shared" si="79"/>
        <v/>
      </c>
      <c r="E1013" s="531"/>
      <c r="F1013" s="531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2" t="str">
        <f t="shared" si="79"/>
        <v/>
      </c>
      <c r="E1014" s="531"/>
      <c r="F1014" s="531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2" t="str">
        <f t="shared" si="79"/>
        <v/>
      </c>
      <c r="E1015" s="531"/>
      <c r="F1015" s="531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2" t="str">
        <f t="shared" si="79"/>
        <v/>
      </c>
      <c r="E1016" s="531"/>
      <c r="F1016" s="531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2" t="str">
        <f t="shared" si="79"/>
        <v/>
      </c>
      <c r="E1017" s="531"/>
      <c r="F1017" s="531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2" t="str">
        <f t="shared" si="79"/>
        <v/>
      </c>
      <c r="E1018" s="531"/>
      <c r="F1018" s="531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2" t="str">
        <f t="shared" si="79"/>
        <v/>
      </c>
      <c r="E1019" s="531"/>
      <c r="F1019" s="531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2" t="str">
        <f t="shared" si="79"/>
        <v/>
      </c>
      <c r="E1020" s="531"/>
      <c r="F1020" s="531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2" t="str">
        <f t="shared" si="79"/>
        <v/>
      </c>
      <c r="E1021" s="531"/>
      <c r="F1021" s="531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2" t="str">
        <f t="shared" si="79"/>
        <v/>
      </c>
      <c r="E1022" s="531"/>
      <c r="F1022" s="531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2" t="str">
        <f t="shared" si="79"/>
        <v/>
      </c>
      <c r="E1023" s="531"/>
      <c r="F1023" s="531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2" t="str">
        <f t="shared" si="79"/>
        <v/>
      </c>
      <c r="E1024" s="531"/>
      <c r="F1024" s="531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2" t="str">
        <f t="shared" si="79"/>
        <v/>
      </c>
      <c r="E1025" s="531"/>
      <c r="F1025" s="531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2" t="str">
        <f t="shared" si="79"/>
        <v/>
      </c>
      <c r="E1026" s="531"/>
      <c r="F1026" s="531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2" t="str">
        <f t="shared" si="79"/>
        <v/>
      </c>
      <c r="E1027" s="531"/>
      <c r="F1027" s="531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2" t="str">
        <f t="shared" si="79"/>
        <v/>
      </c>
      <c r="E1028" s="531"/>
      <c r="F1028" s="531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2" t="str">
        <f t="shared" si="79"/>
        <v/>
      </c>
      <c r="E1029" s="531"/>
      <c r="F1029" s="531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2" t="str">
        <f t="shared" si="79"/>
        <v/>
      </c>
      <c r="E1030" s="531"/>
      <c r="F1030" s="531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2" t="str">
        <f t="shared" si="79"/>
        <v/>
      </c>
      <c r="E1031" s="531"/>
      <c r="F1031" s="531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2" t="str">
        <f t="shared" si="79"/>
        <v/>
      </c>
      <c r="E1032" s="531"/>
      <c r="F1032" s="531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2" t="str">
        <f t="shared" ref="D1033:D1096" si="82">IF(A1033&lt;&gt;"",PROPER(TEXT(A1033,"Mmmm")),"")</f>
        <v/>
      </c>
      <c r="E1033" s="531"/>
      <c r="F1033" s="531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2" t="str">
        <f t="shared" si="82"/>
        <v/>
      </c>
      <c r="E1034" s="531"/>
      <c r="F1034" s="531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2" t="str">
        <f t="shared" si="82"/>
        <v/>
      </c>
      <c r="E1035" s="531"/>
      <c r="F1035" s="531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2" t="str">
        <f t="shared" si="82"/>
        <v/>
      </c>
      <c r="E1036" s="531"/>
      <c r="F1036" s="531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2" t="str">
        <f t="shared" si="82"/>
        <v/>
      </c>
      <c r="E1037" s="531"/>
      <c r="F1037" s="531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2" t="str">
        <f t="shared" si="82"/>
        <v/>
      </c>
      <c r="E1038" s="531"/>
      <c r="F1038" s="531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2" t="str">
        <f t="shared" si="82"/>
        <v/>
      </c>
      <c r="E1039" s="531"/>
      <c r="F1039" s="531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2" t="str">
        <f t="shared" si="82"/>
        <v/>
      </c>
      <c r="E1040" s="531"/>
      <c r="F1040" s="531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2" t="str">
        <f t="shared" si="82"/>
        <v/>
      </c>
      <c r="E1041" s="531"/>
      <c r="F1041" s="531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2" t="str">
        <f t="shared" si="82"/>
        <v/>
      </c>
      <c r="E1042" s="531"/>
      <c r="F1042" s="531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2" t="str">
        <f t="shared" si="82"/>
        <v/>
      </c>
      <c r="E1043" s="531"/>
      <c r="F1043" s="531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2" t="str">
        <f t="shared" si="82"/>
        <v/>
      </c>
      <c r="E1044" s="531"/>
      <c r="F1044" s="531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2" t="str">
        <f t="shared" si="82"/>
        <v/>
      </c>
      <c r="E1045" s="531"/>
      <c r="F1045" s="531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2" t="str">
        <f t="shared" si="82"/>
        <v/>
      </c>
      <c r="E1046" s="531"/>
      <c r="F1046" s="531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2" t="str">
        <f t="shared" si="82"/>
        <v/>
      </c>
      <c r="E1047" s="531"/>
      <c r="F1047" s="531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2" t="str">
        <f t="shared" si="82"/>
        <v/>
      </c>
      <c r="E1048" s="531"/>
      <c r="F1048" s="531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2" t="str">
        <f t="shared" si="82"/>
        <v/>
      </c>
      <c r="E1049" s="531"/>
      <c r="F1049" s="531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2" t="str">
        <f t="shared" si="82"/>
        <v/>
      </c>
      <c r="E1050" s="531"/>
      <c r="F1050" s="531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2" t="str">
        <f t="shared" si="82"/>
        <v/>
      </c>
      <c r="E1051" s="531"/>
      <c r="F1051" s="531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2" t="str">
        <f t="shared" si="82"/>
        <v/>
      </c>
      <c r="E1052" s="531"/>
      <c r="F1052" s="531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2" t="str">
        <f t="shared" si="82"/>
        <v/>
      </c>
      <c r="E1053" s="531"/>
      <c r="F1053" s="531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2" t="str">
        <f t="shared" si="82"/>
        <v/>
      </c>
      <c r="E1054" s="531"/>
      <c r="F1054" s="531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2" t="str">
        <f t="shared" si="82"/>
        <v/>
      </c>
      <c r="E1055" s="531"/>
      <c r="F1055" s="531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2" t="str">
        <f t="shared" si="82"/>
        <v/>
      </c>
      <c r="E1056" s="531"/>
      <c r="F1056" s="531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2" t="str">
        <f t="shared" si="82"/>
        <v/>
      </c>
      <c r="E1057" s="531"/>
      <c r="F1057" s="531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2" t="str">
        <f t="shared" si="82"/>
        <v/>
      </c>
      <c r="E1058" s="531"/>
      <c r="F1058" s="531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2" t="str">
        <f t="shared" si="82"/>
        <v/>
      </c>
      <c r="E1059" s="531"/>
      <c r="F1059" s="531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2" t="str">
        <f t="shared" si="82"/>
        <v/>
      </c>
      <c r="E1060" s="531"/>
      <c r="F1060" s="531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2" t="str">
        <f t="shared" si="82"/>
        <v/>
      </c>
      <c r="E1061" s="531"/>
      <c r="F1061" s="531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2" t="str">
        <f t="shared" si="82"/>
        <v/>
      </c>
      <c r="E1062" s="531"/>
      <c r="F1062" s="531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2" t="str">
        <f t="shared" si="82"/>
        <v/>
      </c>
      <c r="E1063" s="531"/>
      <c r="F1063" s="531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2" t="str">
        <f t="shared" si="82"/>
        <v/>
      </c>
      <c r="E1064" s="531"/>
      <c r="F1064" s="531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2" t="str">
        <f t="shared" si="82"/>
        <v/>
      </c>
      <c r="E1065" s="531"/>
      <c r="F1065" s="531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2" t="str">
        <f t="shared" si="82"/>
        <v/>
      </c>
      <c r="E1066" s="531"/>
      <c r="F1066" s="531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2" t="str">
        <f t="shared" si="82"/>
        <v/>
      </c>
      <c r="E1067" s="531"/>
      <c r="F1067" s="531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2" t="str">
        <f t="shared" si="82"/>
        <v/>
      </c>
      <c r="E1068" s="531"/>
      <c r="F1068" s="531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2" t="str">
        <f t="shared" si="82"/>
        <v/>
      </c>
      <c r="E1069" s="531"/>
      <c r="F1069" s="531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2" t="str">
        <f t="shared" si="82"/>
        <v/>
      </c>
      <c r="E1070" s="531"/>
      <c r="F1070" s="531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2" t="str">
        <f t="shared" si="82"/>
        <v/>
      </c>
      <c r="E1071" s="531"/>
      <c r="F1071" s="531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2" t="str">
        <f t="shared" si="82"/>
        <v/>
      </c>
      <c r="E1072" s="531"/>
      <c r="F1072" s="531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2" t="str">
        <f t="shared" si="82"/>
        <v/>
      </c>
      <c r="E1073" s="531"/>
      <c r="F1073" s="531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2" t="str">
        <f t="shared" si="82"/>
        <v/>
      </c>
      <c r="E1074" s="531"/>
      <c r="F1074" s="531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2" t="str">
        <f t="shared" si="82"/>
        <v/>
      </c>
      <c r="E1075" s="531"/>
      <c r="F1075" s="531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2" t="str">
        <f t="shared" si="82"/>
        <v/>
      </c>
      <c r="E1076" s="531"/>
      <c r="F1076" s="531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2" t="str">
        <f t="shared" si="82"/>
        <v/>
      </c>
      <c r="E1077" s="531"/>
      <c r="F1077" s="531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2" t="str">
        <f t="shared" si="82"/>
        <v/>
      </c>
      <c r="E1078" s="531"/>
      <c r="F1078" s="531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2" t="str">
        <f t="shared" si="82"/>
        <v/>
      </c>
      <c r="E1079" s="531"/>
      <c r="F1079" s="531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2" t="str">
        <f t="shared" si="82"/>
        <v/>
      </c>
      <c r="E1080" s="531"/>
      <c r="F1080" s="531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2" t="str">
        <f t="shared" si="82"/>
        <v/>
      </c>
      <c r="E1081" s="531"/>
      <c r="F1081" s="531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2" t="str">
        <f t="shared" si="82"/>
        <v/>
      </c>
      <c r="E1082" s="531"/>
      <c r="F1082" s="531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2" t="str">
        <f t="shared" si="82"/>
        <v/>
      </c>
      <c r="E1083" s="531"/>
      <c r="F1083" s="531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2" t="str">
        <f t="shared" si="82"/>
        <v/>
      </c>
      <c r="E1084" s="531"/>
      <c r="F1084" s="531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2" t="str">
        <f t="shared" si="82"/>
        <v/>
      </c>
      <c r="E1085" s="531"/>
      <c r="F1085" s="531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2" t="str">
        <f t="shared" si="82"/>
        <v/>
      </c>
      <c r="E1086" s="531"/>
      <c r="F1086" s="531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2" t="str">
        <f t="shared" si="82"/>
        <v/>
      </c>
      <c r="E1087" s="531"/>
      <c r="F1087" s="531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2" t="str">
        <f t="shared" si="82"/>
        <v/>
      </c>
      <c r="E1088" s="531"/>
      <c r="F1088" s="531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2" t="str">
        <f t="shared" si="82"/>
        <v/>
      </c>
      <c r="E1089" s="531"/>
      <c r="F1089" s="531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2" t="str">
        <f t="shared" si="82"/>
        <v/>
      </c>
      <c r="E1090" s="531"/>
      <c r="F1090" s="531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2" t="str">
        <f t="shared" si="82"/>
        <v/>
      </c>
      <c r="E1091" s="531"/>
      <c r="F1091" s="531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2" t="str">
        <f t="shared" si="82"/>
        <v/>
      </c>
      <c r="E1092" s="531"/>
      <c r="F1092" s="531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2" t="str">
        <f t="shared" si="82"/>
        <v/>
      </c>
      <c r="E1093" s="531"/>
      <c r="F1093" s="531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2" t="str">
        <f t="shared" si="82"/>
        <v/>
      </c>
      <c r="E1094" s="531"/>
      <c r="F1094" s="531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2" t="str">
        <f t="shared" si="82"/>
        <v/>
      </c>
      <c r="E1095" s="531"/>
      <c r="F1095" s="531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2" t="str">
        <f t="shared" si="82"/>
        <v/>
      </c>
      <c r="E1096" s="531"/>
      <c r="F1096" s="531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2" t="str">
        <f t="shared" ref="D1097:D1160" si="85">IF(A1097&lt;&gt;"",PROPER(TEXT(A1097,"Mmmm")),"")</f>
        <v/>
      </c>
      <c r="E1097" s="531"/>
      <c r="F1097" s="531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2" t="str">
        <f t="shared" si="85"/>
        <v/>
      </c>
      <c r="E1098" s="531"/>
      <c r="F1098" s="531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2" t="str">
        <f t="shared" si="85"/>
        <v/>
      </c>
      <c r="E1099" s="531"/>
      <c r="F1099" s="531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2" t="str">
        <f t="shared" si="85"/>
        <v/>
      </c>
      <c r="E1100" s="531"/>
      <c r="F1100" s="531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2" t="str">
        <f t="shared" si="85"/>
        <v/>
      </c>
      <c r="E1101" s="531"/>
      <c r="F1101" s="531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2" t="str">
        <f t="shared" si="85"/>
        <v/>
      </c>
      <c r="E1102" s="531"/>
      <c r="F1102" s="531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2" t="str">
        <f t="shared" si="85"/>
        <v/>
      </c>
      <c r="E1103" s="531"/>
      <c r="F1103" s="531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2" t="str">
        <f t="shared" si="85"/>
        <v/>
      </c>
      <c r="E1104" s="531"/>
      <c r="F1104" s="531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2" t="str">
        <f t="shared" si="85"/>
        <v/>
      </c>
      <c r="E1105" s="531"/>
      <c r="F1105" s="531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2" t="str">
        <f t="shared" si="85"/>
        <v/>
      </c>
      <c r="E1106" s="531"/>
      <c r="F1106" s="531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2" t="str">
        <f t="shared" si="85"/>
        <v/>
      </c>
      <c r="E1107" s="531"/>
      <c r="F1107" s="531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2" t="str">
        <f t="shared" si="85"/>
        <v/>
      </c>
      <c r="E1108" s="531"/>
      <c r="F1108" s="531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2" t="str">
        <f t="shared" si="85"/>
        <v/>
      </c>
      <c r="E1109" s="531"/>
      <c r="F1109" s="531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2" t="str">
        <f t="shared" si="85"/>
        <v/>
      </c>
      <c r="E1110" s="531"/>
      <c r="F1110" s="531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2" t="str">
        <f t="shared" si="85"/>
        <v/>
      </c>
      <c r="E1111" s="531"/>
      <c r="F1111" s="531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2" t="str">
        <f t="shared" si="85"/>
        <v/>
      </c>
      <c r="E1112" s="531"/>
      <c r="F1112" s="531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2" t="str">
        <f t="shared" si="85"/>
        <v/>
      </c>
      <c r="E1113" s="531"/>
      <c r="F1113" s="531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2" t="str">
        <f t="shared" si="85"/>
        <v/>
      </c>
      <c r="E1114" s="531"/>
      <c r="F1114" s="531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2" t="str">
        <f t="shared" si="85"/>
        <v/>
      </c>
      <c r="E1115" s="531"/>
      <c r="F1115" s="531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2" t="str">
        <f t="shared" si="85"/>
        <v/>
      </c>
      <c r="E1116" s="531"/>
      <c r="F1116" s="531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2" t="str">
        <f t="shared" si="85"/>
        <v/>
      </c>
      <c r="E1117" s="531"/>
      <c r="F1117" s="531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2" t="str">
        <f t="shared" si="85"/>
        <v/>
      </c>
      <c r="E1118" s="531"/>
      <c r="F1118" s="531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2" t="str">
        <f t="shared" si="85"/>
        <v/>
      </c>
      <c r="E1119" s="531"/>
      <c r="F1119" s="531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2" t="str">
        <f t="shared" si="85"/>
        <v/>
      </c>
      <c r="E1120" s="531"/>
      <c r="F1120" s="531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2" t="str">
        <f t="shared" si="85"/>
        <v/>
      </c>
      <c r="E1121" s="531"/>
      <c r="F1121" s="531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2" t="str">
        <f t="shared" si="85"/>
        <v/>
      </c>
      <c r="E1122" s="531"/>
      <c r="F1122" s="531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2" t="str">
        <f t="shared" si="85"/>
        <v/>
      </c>
      <c r="E1123" s="531"/>
      <c r="F1123" s="531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2" t="str">
        <f t="shared" si="85"/>
        <v/>
      </c>
      <c r="E1124" s="531"/>
      <c r="F1124" s="531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2" t="str">
        <f t="shared" si="85"/>
        <v/>
      </c>
      <c r="E1125" s="531"/>
      <c r="F1125" s="531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2" t="str">
        <f t="shared" si="85"/>
        <v/>
      </c>
      <c r="E1126" s="531"/>
      <c r="F1126" s="531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2" t="str">
        <f t="shared" si="85"/>
        <v/>
      </c>
      <c r="E1127" s="531"/>
      <c r="F1127" s="531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2" t="str">
        <f t="shared" si="85"/>
        <v/>
      </c>
      <c r="E1128" s="531"/>
      <c r="F1128" s="531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2" t="str">
        <f t="shared" si="85"/>
        <v/>
      </c>
      <c r="E1129" s="531"/>
      <c r="F1129" s="531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2" t="str">
        <f t="shared" si="85"/>
        <v/>
      </c>
      <c r="E1130" s="531"/>
      <c r="F1130" s="531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2" t="str">
        <f t="shared" si="85"/>
        <v/>
      </c>
      <c r="E1131" s="531"/>
      <c r="F1131" s="531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2" t="str">
        <f t="shared" si="85"/>
        <v/>
      </c>
      <c r="E1132" s="531"/>
      <c r="F1132" s="531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2" t="str">
        <f t="shared" si="85"/>
        <v/>
      </c>
      <c r="E1133" s="531"/>
      <c r="F1133" s="531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2" t="str">
        <f t="shared" si="85"/>
        <v/>
      </c>
      <c r="E1134" s="531"/>
      <c r="F1134" s="531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2" t="str">
        <f t="shared" si="85"/>
        <v/>
      </c>
      <c r="E1135" s="531"/>
      <c r="F1135" s="531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2" t="str">
        <f t="shared" si="85"/>
        <v/>
      </c>
      <c r="E1136" s="531"/>
      <c r="F1136" s="531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2" t="str">
        <f t="shared" si="85"/>
        <v/>
      </c>
      <c r="E1137" s="531"/>
      <c r="F1137" s="531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2" t="str">
        <f t="shared" si="85"/>
        <v/>
      </c>
      <c r="E1138" s="531"/>
      <c r="F1138" s="531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2" t="str">
        <f t="shared" si="85"/>
        <v/>
      </c>
      <c r="E1139" s="531"/>
      <c r="F1139" s="531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2" t="str">
        <f t="shared" si="85"/>
        <v/>
      </c>
      <c r="E1140" s="531"/>
      <c r="F1140" s="531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2" t="str">
        <f t="shared" si="85"/>
        <v/>
      </c>
      <c r="E1141" s="531"/>
      <c r="F1141" s="531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2" t="str">
        <f t="shared" si="85"/>
        <v/>
      </c>
      <c r="E1142" s="531"/>
      <c r="F1142" s="531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2" t="str">
        <f t="shared" si="85"/>
        <v/>
      </c>
      <c r="E1143" s="531"/>
      <c r="F1143" s="531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2" t="str">
        <f t="shared" si="85"/>
        <v/>
      </c>
      <c r="E1144" s="531"/>
      <c r="F1144" s="531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2" t="str">
        <f t="shared" si="85"/>
        <v/>
      </c>
      <c r="E1145" s="531"/>
      <c r="F1145" s="531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2" t="str">
        <f t="shared" si="85"/>
        <v/>
      </c>
      <c r="E1146" s="531"/>
      <c r="F1146" s="531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2" t="str">
        <f t="shared" si="85"/>
        <v/>
      </c>
      <c r="E1147" s="531"/>
      <c r="F1147" s="531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2" t="str">
        <f t="shared" si="85"/>
        <v/>
      </c>
      <c r="E1148" s="531"/>
      <c r="F1148" s="531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2" t="str">
        <f t="shared" si="85"/>
        <v/>
      </c>
      <c r="E1149" s="531"/>
      <c r="F1149" s="531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2" t="str">
        <f t="shared" si="85"/>
        <v/>
      </c>
      <c r="E1150" s="531"/>
      <c r="F1150" s="531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2" t="str">
        <f t="shared" si="85"/>
        <v/>
      </c>
      <c r="E1151" s="531"/>
      <c r="F1151" s="531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2" t="str">
        <f t="shared" si="85"/>
        <v/>
      </c>
      <c r="E1152" s="531"/>
      <c r="F1152" s="531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2" t="str">
        <f t="shared" si="85"/>
        <v/>
      </c>
      <c r="E1153" s="531"/>
      <c r="F1153" s="531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2" t="str">
        <f t="shared" si="85"/>
        <v/>
      </c>
      <c r="E1154" s="531"/>
      <c r="F1154" s="531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2" t="str">
        <f t="shared" si="85"/>
        <v/>
      </c>
      <c r="E1155" s="531"/>
      <c r="F1155" s="531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2" t="str">
        <f t="shared" si="85"/>
        <v/>
      </c>
      <c r="E1156" s="531"/>
      <c r="F1156" s="531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2" t="str">
        <f t="shared" si="85"/>
        <v/>
      </c>
      <c r="E1157" s="531"/>
      <c r="F1157" s="531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2" t="str">
        <f t="shared" si="85"/>
        <v/>
      </c>
      <c r="E1158" s="531"/>
      <c r="F1158" s="531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2" t="str">
        <f t="shared" si="85"/>
        <v/>
      </c>
      <c r="E1159" s="531"/>
      <c r="F1159" s="531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2" t="str">
        <f t="shared" si="85"/>
        <v/>
      </c>
      <c r="E1160" s="531"/>
      <c r="F1160" s="531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2" t="str">
        <f t="shared" ref="D1161:D1224" si="88">IF(A1161&lt;&gt;"",PROPER(TEXT(A1161,"Mmmm")),"")</f>
        <v/>
      </c>
      <c r="E1161" s="531"/>
      <c r="F1161" s="531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2" t="str">
        <f t="shared" si="88"/>
        <v/>
      </c>
      <c r="E1162" s="531"/>
      <c r="F1162" s="531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2" t="str">
        <f t="shared" si="88"/>
        <v/>
      </c>
      <c r="E1163" s="531"/>
      <c r="F1163" s="531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2" t="str">
        <f t="shared" si="88"/>
        <v/>
      </c>
      <c r="E1164" s="531"/>
      <c r="F1164" s="531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2" t="str">
        <f t="shared" si="88"/>
        <v/>
      </c>
      <c r="E1165" s="531"/>
      <c r="F1165" s="531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2" t="str">
        <f t="shared" si="88"/>
        <v/>
      </c>
      <c r="E1166" s="531"/>
      <c r="F1166" s="531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2" t="str">
        <f t="shared" si="88"/>
        <v/>
      </c>
      <c r="E1167" s="531"/>
      <c r="F1167" s="531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2" t="str">
        <f t="shared" si="88"/>
        <v/>
      </c>
      <c r="E1168" s="531"/>
      <c r="F1168" s="531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2" t="str">
        <f t="shared" si="88"/>
        <v/>
      </c>
      <c r="E1169" s="531"/>
      <c r="F1169" s="531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2" t="str">
        <f t="shared" si="88"/>
        <v/>
      </c>
      <c r="E1170" s="531"/>
      <c r="F1170" s="531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2" t="str">
        <f t="shared" si="88"/>
        <v/>
      </c>
      <c r="E1171" s="531"/>
      <c r="F1171" s="531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2" t="str">
        <f t="shared" si="88"/>
        <v/>
      </c>
      <c r="E1172" s="531"/>
      <c r="F1172" s="531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2" t="str">
        <f t="shared" si="88"/>
        <v/>
      </c>
      <c r="E1173" s="531"/>
      <c r="F1173" s="531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2" t="str">
        <f t="shared" si="88"/>
        <v/>
      </c>
      <c r="E1174" s="531"/>
      <c r="F1174" s="531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2" t="str">
        <f t="shared" si="88"/>
        <v/>
      </c>
      <c r="E1175" s="531"/>
      <c r="F1175" s="531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2" t="str">
        <f t="shared" si="88"/>
        <v/>
      </c>
      <c r="E1176" s="531"/>
      <c r="F1176" s="531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2" t="str">
        <f t="shared" si="88"/>
        <v/>
      </c>
      <c r="E1177" s="531"/>
      <c r="F1177" s="531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2" t="str">
        <f t="shared" si="88"/>
        <v/>
      </c>
      <c r="E1178" s="531"/>
      <c r="F1178" s="531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2" t="str">
        <f t="shared" si="88"/>
        <v/>
      </c>
      <c r="E1179" s="531"/>
      <c r="F1179" s="531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2" t="str">
        <f t="shared" si="88"/>
        <v/>
      </c>
      <c r="E1180" s="531"/>
      <c r="F1180" s="531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2" t="str">
        <f t="shared" si="88"/>
        <v/>
      </c>
      <c r="E1181" s="531"/>
      <c r="F1181" s="531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2" t="str">
        <f t="shared" si="88"/>
        <v/>
      </c>
      <c r="E1182" s="531"/>
      <c r="F1182" s="531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2" t="str">
        <f t="shared" si="88"/>
        <v/>
      </c>
      <c r="E1183" s="531"/>
      <c r="F1183" s="531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2" t="str">
        <f t="shared" si="88"/>
        <v/>
      </c>
      <c r="E1184" s="531"/>
      <c r="F1184" s="531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2" t="str">
        <f t="shared" si="88"/>
        <v/>
      </c>
      <c r="E1185" s="531"/>
      <c r="F1185" s="531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2" t="str">
        <f t="shared" si="88"/>
        <v/>
      </c>
      <c r="E1186" s="531"/>
      <c r="F1186" s="531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2" t="str">
        <f t="shared" si="88"/>
        <v/>
      </c>
      <c r="E1187" s="531"/>
      <c r="F1187" s="531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2" t="str">
        <f t="shared" si="88"/>
        <v/>
      </c>
      <c r="E1188" s="531"/>
      <c r="F1188" s="531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2" t="str">
        <f t="shared" si="88"/>
        <v/>
      </c>
      <c r="E1189" s="531"/>
      <c r="F1189" s="531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2" t="str">
        <f t="shared" si="88"/>
        <v/>
      </c>
      <c r="E1190" s="531"/>
      <c r="F1190" s="531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2" t="str">
        <f t="shared" si="88"/>
        <v/>
      </c>
      <c r="E1191" s="531"/>
      <c r="F1191" s="531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2" t="str">
        <f t="shared" si="88"/>
        <v/>
      </c>
      <c r="E1192" s="531"/>
      <c r="F1192" s="531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2" t="str">
        <f t="shared" si="88"/>
        <v/>
      </c>
      <c r="E1193" s="531"/>
      <c r="F1193" s="531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2" t="str">
        <f t="shared" si="88"/>
        <v/>
      </c>
      <c r="E1194" s="531"/>
      <c r="F1194" s="531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2" t="str">
        <f t="shared" si="88"/>
        <v/>
      </c>
      <c r="E1195" s="531"/>
      <c r="F1195" s="531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2" t="str">
        <f t="shared" si="88"/>
        <v/>
      </c>
      <c r="E1196" s="531"/>
      <c r="F1196" s="531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2" t="str">
        <f t="shared" si="88"/>
        <v/>
      </c>
      <c r="E1197" s="531"/>
      <c r="F1197" s="531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2" t="str">
        <f t="shared" si="88"/>
        <v/>
      </c>
      <c r="E1198" s="531"/>
      <c r="F1198" s="531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2" t="str">
        <f t="shared" si="88"/>
        <v/>
      </c>
      <c r="E1199" s="531"/>
      <c r="F1199" s="531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2" t="str">
        <f t="shared" si="88"/>
        <v/>
      </c>
      <c r="E1200" s="531"/>
      <c r="F1200" s="531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2" t="str">
        <f t="shared" si="88"/>
        <v/>
      </c>
      <c r="E1201" s="531"/>
      <c r="F1201" s="531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2" t="str">
        <f t="shared" si="88"/>
        <v/>
      </c>
      <c r="E1202" s="531"/>
      <c r="F1202" s="531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2" t="str">
        <f t="shared" si="88"/>
        <v/>
      </c>
      <c r="E1203" s="531"/>
      <c r="F1203" s="531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2" t="str">
        <f t="shared" si="88"/>
        <v/>
      </c>
      <c r="E1204" s="531"/>
      <c r="F1204" s="531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2" t="str">
        <f t="shared" si="88"/>
        <v/>
      </c>
      <c r="E1205" s="531"/>
      <c r="F1205" s="531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2" t="str">
        <f t="shared" si="88"/>
        <v/>
      </c>
      <c r="E1206" s="531"/>
      <c r="F1206" s="531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2" t="str">
        <f t="shared" si="88"/>
        <v/>
      </c>
      <c r="E1207" s="531"/>
      <c r="F1207" s="531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2" t="str">
        <f t="shared" si="88"/>
        <v/>
      </c>
      <c r="E1208" s="531"/>
      <c r="F1208" s="531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2" t="str">
        <f t="shared" si="88"/>
        <v/>
      </c>
      <c r="E1209" s="531"/>
      <c r="F1209" s="531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2" t="str">
        <f t="shared" si="88"/>
        <v/>
      </c>
      <c r="E1210" s="531"/>
      <c r="F1210" s="531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2" t="str">
        <f t="shared" si="88"/>
        <v/>
      </c>
      <c r="E1211" s="531"/>
      <c r="F1211" s="531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2" t="str">
        <f t="shared" si="88"/>
        <v/>
      </c>
      <c r="E1212" s="531"/>
      <c r="F1212" s="531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2" t="str">
        <f t="shared" si="88"/>
        <v/>
      </c>
      <c r="E1213" s="531"/>
      <c r="F1213" s="531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2" t="str">
        <f t="shared" si="88"/>
        <v/>
      </c>
      <c r="E1214" s="531"/>
      <c r="F1214" s="531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2" t="str">
        <f t="shared" si="88"/>
        <v/>
      </c>
      <c r="E1215" s="531"/>
      <c r="F1215" s="531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2" t="str">
        <f t="shared" si="88"/>
        <v/>
      </c>
      <c r="E1216" s="531"/>
      <c r="F1216" s="531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2" t="str">
        <f t="shared" si="88"/>
        <v/>
      </c>
      <c r="E1217" s="531"/>
      <c r="F1217" s="531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2" t="str">
        <f t="shared" si="88"/>
        <v/>
      </c>
      <c r="E1218" s="531"/>
      <c r="F1218" s="531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2" t="str">
        <f t="shared" si="88"/>
        <v/>
      </c>
      <c r="E1219" s="531"/>
      <c r="F1219" s="531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2" t="str">
        <f t="shared" si="88"/>
        <v/>
      </c>
      <c r="E1220" s="531"/>
      <c r="F1220" s="531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2" t="str">
        <f t="shared" si="88"/>
        <v/>
      </c>
      <c r="E1221" s="531"/>
      <c r="F1221" s="531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2" t="str">
        <f t="shared" si="88"/>
        <v/>
      </c>
      <c r="E1222" s="531"/>
      <c r="F1222" s="531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2" t="str">
        <f t="shared" si="88"/>
        <v/>
      </c>
      <c r="E1223" s="531"/>
      <c r="F1223" s="531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2" t="str">
        <f t="shared" si="88"/>
        <v/>
      </c>
      <c r="E1224" s="531"/>
      <c r="F1224" s="531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2" t="str">
        <f t="shared" ref="D1225:D1288" si="91">IF(A1225&lt;&gt;"",PROPER(TEXT(A1225,"Mmmm")),"")</f>
        <v/>
      </c>
      <c r="E1225" s="531"/>
      <c r="F1225" s="531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2" t="str">
        <f t="shared" si="91"/>
        <v/>
      </c>
      <c r="E1226" s="531"/>
      <c r="F1226" s="531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2" t="str">
        <f t="shared" si="91"/>
        <v/>
      </c>
      <c r="E1227" s="531"/>
      <c r="F1227" s="531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2" t="str">
        <f t="shared" si="91"/>
        <v/>
      </c>
      <c r="E1228" s="531"/>
      <c r="F1228" s="531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2" t="str">
        <f t="shared" si="91"/>
        <v/>
      </c>
      <c r="E1229" s="531"/>
      <c r="F1229" s="531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2" t="str">
        <f t="shared" si="91"/>
        <v/>
      </c>
      <c r="E1230" s="531"/>
      <c r="F1230" s="531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2" t="str">
        <f t="shared" si="91"/>
        <v/>
      </c>
      <c r="E1231" s="531"/>
      <c r="F1231" s="531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2" t="str">
        <f t="shared" si="91"/>
        <v/>
      </c>
      <c r="E1232" s="531"/>
      <c r="F1232" s="531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2" t="str">
        <f t="shared" si="91"/>
        <v/>
      </c>
      <c r="E1233" s="531"/>
      <c r="F1233" s="531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2" t="str">
        <f t="shared" si="91"/>
        <v/>
      </c>
      <c r="E1234" s="531"/>
      <c r="F1234" s="531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2" t="str">
        <f t="shared" si="91"/>
        <v/>
      </c>
      <c r="E1235" s="531"/>
      <c r="F1235" s="531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2" t="str">
        <f t="shared" si="91"/>
        <v/>
      </c>
      <c r="E1236" s="531"/>
      <c r="F1236" s="531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2" t="str">
        <f t="shared" si="91"/>
        <v/>
      </c>
      <c r="E1237" s="531"/>
      <c r="F1237" s="531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2" t="str">
        <f t="shared" si="91"/>
        <v/>
      </c>
      <c r="E1238" s="531"/>
      <c r="F1238" s="531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2" t="str">
        <f t="shared" si="91"/>
        <v/>
      </c>
      <c r="E1239" s="531"/>
      <c r="F1239" s="531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2" t="str">
        <f t="shared" si="91"/>
        <v/>
      </c>
      <c r="E1240" s="531"/>
      <c r="F1240" s="531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2" t="str">
        <f t="shared" si="91"/>
        <v/>
      </c>
      <c r="E1241" s="531"/>
      <c r="F1241" s="531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2" t="str">
        <f t="shared" si="91"/>
        <v/>
      </c>
      <c r="E1242" s="531"/>
      <c r="F1242" s="531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2" t="str">
        <f t="shared" si="91"/>
        <v/>
      </c>
      <c r="E1243" s="531"/>
      <c r="F1243" s="531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2" t="str">
        <f t="shared" si="91"/>
        <v/>
      </c>
      <c r="E1244" s="531"/>
      <c r="F1244" s="531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2" t="str">
        <f t="shared" si="91"/>
        <v/>
      </c>
      <c r="E1245" s="531"/>
      <c r="F1245" s="531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2" t="str">
        <f t="shared" si="91"/>
        <v/>
      </c>
      <c r="E1246" s="531"/>
      <c r="F1246" s="531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2" t="str">
        <f t="shared" si="91"/>
        <v/>
      </c>
      <c r="E1247" s="531"/>
      <c r="F1247" s="531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2" t="str">
        <f t="shared" si="91"/>
        <v/>
      </c>
      <c r="E1248" s="531"/>
      <c r="F1248" s="531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2" t="str">
        <f t="shared" si="91"/>
        <v/>
      </c>
      <c r="E1249" s="531"/>
      <c r="F1249" s="531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2" t="str">
        <f t="shared" si="91"/>
        <v/>
      </c>
      <c r="E1250" s="531"/>
      <c r="F1250" s="531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2" t="str">
        <f t="shared" si="91"/>
        <v/>
      </c>
      <c r="E1251" s="531"/>
      <c r="F1251" s="531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2" t="str">
        <f t="shared" si="91"/>
        <v/>
      </c>
      <c r="E1252" s="531"/>
      <c r="F1252" s="531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2" t="str">
        <f t="shared" si="91"/>
        <v/>
      </c>
      <c r="E1253" s="531"/>
      <c r="F1253" s="531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2" t="str">
        <f t="shared" si="91"/>
        <v/>
      </c>
      <c r="E1254" s="531"/>
      <c r="F1254" s="531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2" t="str">
        <f t="shared" si="91"/>
        <v/>
      </c>
      <c r="E1255" s="531"/>
      <c r="F1255" s="531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2" t="str">
        <f t="shared" si="91"/>
        <v/>
      </c>
      <c r="E1256" s="531"/>
      <c r="F1256" s="531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2" t="str">
        <f t="shared" si="91"/>
        <v/>
      </c>
      <c r="E1257" s="531"/>
      <c r="F1257" s="531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2" t="str">
        <f t="shared" si="91"/>
        <v/>
      </c>
      <c r="E1258" s="531"/>
      <c r="F1258" s="531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2" t="str">
        <f t="shared" si="91"/>
        <v/>
      </c>
      <c r="E1259" s="531"/>
      <c r="F1259" s="531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2" t="str">
        <f t="shared" si="91"/>
        <v/>
      </c>
      <c r="E1260" s="531"/>
      <c r="F1260" s="531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2" t="str">
        <f t="shared" si="91"/>
        <v/>
      </c>
      <c r="E1261" s="531"/>
      <c r="F1261" s="531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2" t="str">
        <f t="shared" si="91"/>
        <v/>
      </c>
      <c r="E1262" s="531"/>
      <c r="F1262" s="531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2" t="str">
        <f t="shared" si="91"/>
        <v/>
      </c>
      <c r="E1263" s="531"/>
      <c r="F1263" s="531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2" t="str">
        <f t="shared" si="91"/>
        <v/>
      </c>
      <c r="E1264" s="531"/>
      <c r="F1264" s="531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2" t="str">
        <f t="shared" si="91"/>
        <v/>
      </c>
      <c r="E1265" s="531"/>
      <c r="F1265" s="531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2" t="str">
        <f t="shared" si="91"/>
        <v/>
      </c>
      <c r="E1266" s="531"/>
      <c r="F1266" s="531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2" t="str">
        <f t="shared" si="91"/>
        <v/>
      </c>
      <c r="E1267" s="531"/>
      <c r="F1267" s="531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2" t="str">
        <f t="shared" si="91"/>
        <v/>
      </c>
      <c r="E1268" s="531"/>
      <c r="F1268" s="531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2" t="str">
        <f t="shared" si="91"/>
        <v/>
      </c>
      <c r="E1269" s="531"/>
      <c r="F1269" s="531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2" t="str">
        <f t="shared" si="91"/>
        <v/>
      </c>
      <c r="E1270" s="531"/>
      <c r="F1270" s="531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2" t="str">
        <f t="shared" si="91"/>
        <v/>
      </c>
      <c r="E1271" s="531"/>
      <c r="F1271" s="531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2" t="str">
        <f t="shared" si="91"/>
        <v/>
      </c>
      <c r="E1272" s="531"/>
      <c r="F1272" s="531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2" t="str">
        <f t="shared" si="91"/>
        <v/>
      </c>
      <c r="E1273" s="531"/>
      <c r="F1273" s="531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2" t="str">
        <f t="shared" si="91"/>
        <v/>
      </c>
      <c r="E1274" s="531"/>
      <c r="F1274" s="531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2" t="str">
        <f t="shared" si="91"/>
        <v/>
      </c>
      <c r="E1275" s="531"/>
      <c r="F1275" s="531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2" t="str">
        <f t="shared" si="91"/>
        <v/>
      </c>
      <c r="E1276" s="531"/>
      <c r="F1276" s="531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2" t="str">
        <f t="shared" si="91"/>
        <v/>
      </c>
      <c r="E1277" s="531"/>
      <c r="F1277" s="531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2" t="str">
        <f t="shared" si="91"/>
        <v/>
      </c>
      <c r="E1278" s="531"/>
      <c r="F1278" s="531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2" t="str">
        <f t="shared" si="91"/>
        <v/>
      </c>
      <c r="E1279" s="531"/>
      <c r="F1279" s="531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2" t="str">
        <f t="shared" si="91"/>
        <v/>
      </c>
      <c r="E1280" s="531"/>
      <c r="F1280" s="531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2" t="str">
        <f t="shared" si="91"/>
        <v/>
      </c>
      <c r="E1281" s="531"/>
      <c r="F1281" s="531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2" t="str">
        <f t="shared" si="91"/>
        <v/>
      </c>
      <c r="E1282" s="531"/>
      <c r="F1282" s="531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2" t="str">
        <f t="shared" si="91"/>
        <v/>
      </c>
      <c r="E1283" s="531"/>
      <c r="F1283" s="531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2" t="str">
        <f t="shared" si="91"/>
        <v/>
      </c>
      <c r="E1284" s="531"/>
      <c r="F1284" s="531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2" t="str">
        <f t="shared" si="91"/>
        <v/>
      </c>
      <c r="E1285" s="531"/>
      <c r="F1285" s="531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2" t="str">
        <f t="shared" si="91"/>
        <v/>
      </c>
      <c r="E1286" s="531"/>
      <c r="F1286" s="531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2" t="str">
        <f t="shared" si="91"/>
        <v/>
      </c>
      <c r="E1287" s="531"/>
      <c r="F1287" s="531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2" t="str">
        <f t="shared" si="91"/>
        <v/>
      </c>
      <c r="E1288" s="531"/>
      <c r="F1288" s="531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2" t="str">
        <f t="shared" ref="D1289:D1352" si="94">IF(A1289&lt;&gt;"",PROPER(TEXT(A1289,"Mmmm")),"")</f>
        <v/>
      </c>
      <c r="E1289" s="531"/>
      <c r="F1289" s="531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2" t="str">
        <f t="shared" si="94"/>
        <v/>
      </c>
      <c r="E1290" s="531"/>
      <c r="F1290" s="531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2" t="str">
        <f t="shared" si="94"/>
        <v/>
      </c>
      <c r="E1291" s="531"/>
      <c r="F1291" s="531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2" t="str">
        <f t="shared" si="94"/>
        <v/>
      </c>
      <c r="E1292" s="531"/>
      <c r="F1292" s="531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2" t="str">
        <f t="shared" si="94"/>
        <v/>
      </c>
      <c r="E1293" s="531"/>
      <c r="F1293" s="531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2" t="str">
        <f t="shared" si="94"/>
        <v/>
      </c>
      <c r="E1294" s="531"/>
      <c r="F1294" s="531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2" t="str">
        <f t="shared" si="94"/>
        <v/>
      </c>
      <c r="E1295" s="531"/>
      <c r="F1295" s="531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2" t="str">
        <f t="shared" si="94"/>
        <v/>
      </c>
      <c r="E1296" s="531"/>
      <c r="F1296" s="531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2" t="str">
        <f t="shared" si="94"/>
        <v/>
      </c>
      <c r="E1297" s="531"/>
      <c r="F1297" s="531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2" t="str">
        <f t="shared" si="94"/>
        <v/>
      </c>
      <c r="E1298" s="531"/>
      <c r="F1298" s="531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2" t="str">
        <f t="shared" si="94"/>
        <v/>
      </c>
      <c r="E1299" s="531"/>
      <c r="F1299" s="531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2" t="str">
        <f t="shared" si="94"/>
        <v/>
      </c>
      <c r="E1300" s="531"/>
      <c r="F1300" s="531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2" t="str">
        <f t="shared" si="94"/>
        <v/>
      </c>
      <c r="E1301" s="531"/>
      <c r="F1301" s="531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2" t="str">
        <f t="shared" si="94"/>
        <v/>
      </c>
      <c r="E1302" s="531"/>
      <c r="F1302" s="531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2" t="str">
        <f t="shared" si="94"/>
        <v/>
      </c>
      <c r="E1303" s="531"/>
      <c r="F1303" s="531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2" t="str">
        <f t="shared" si="94"/>
        <v/>
      </c>
      <c r="E1304" s="531"/>
      <c r="F1304" s="531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2" t="str">
        <f t="shared" si="94"/>
        <v/>
      </c>
      <c r="E1305" s="531"/>
      <c r="F1305" s="531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2" t="str">
        <f t="shared" si="94"/>
        <v/>
      </c>
      <c r="E1306" s="531"/>
      <c r="F1306" s="531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2" t="str">
        <f t="shared" si="94"/>
        <v/>
      </c>
      <c r="E1307" s="531"/>
      <c r="F1307" s="531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2" t="str">
        <f t="shared" si="94"/>
        <v/>
      </c>
      <c r="E1308" s="531"/>
      <c r="F1308" s="531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2" t="str">
        <f t="shared" si="94"/>
        <v/>
      </c>
      <c r="E1309" s="531"/>
      <c r="F1309" s="531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2" t="str">
        <f t="shared" si="94"/>
        <v/>
      </c>
      <c r="E1310" s="531"/>
      <c r="F1310" s="531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2" t="str">
        <f t="shared" si="94"/>
        <v/>
      </c>
      <c r="E1311" s="531"/>
      <c r="F1311" s="531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2" t="str">
        <f t="shared" si="94"/>
        <v/>
      </c>
      <c r="E1312" s="531"/>
      <c r="F1312" s="531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2" t="str">
        <f t="shared" si="94"/>
        <v/>
      </c>
      <c r="E1313" s="531"/>
      <c r="F1313" s="531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2" t="str">
        <f t="shared" si="94"/>
        <v/>
      </c>
      <c r="E1314" s="531"/>
      <c r="F1314" s="531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2" t="str">
        <f t="shared" si="94"/>
        <v/>
      </c>
      <c r="E1315" s="531"/>
      <c r="F1315" s="531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2" t="str">
        <f t="shared" si="94"/>
        <v/>
      </c>
      <c r="E1316" s="531"/>
      <c r="F1316" s="531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2" t="str">
        <f t="shared" si="94"/>
        <v/>
      </c>
      <c r="E1317" s="531"/>
      <c r="F1317" s="531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2" t="str">
        <f t="shared" si="94"/>
        <v/>
      </c>
      <c r="E1318" s="531"/>
      <c r="F1318" s="531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2" t="str">
        <f t="shared" si="94"/>
        <v/>
      </c>
      <c r="E1319" s="531"/>
      <c r="F1319" s="531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2" t="str">
        <f t="shared" si="94"/>
        <v/>
      </c>
      <c r="E1320" s="531"/>
      <c r="F1320" s="531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2" t="str">
        <f t="shared" si="94"/>
        <v/>
      </c>
      <c r="E1321" s="531"/>
      <c r="F1321" s="531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2" t="str">
        <f t="shared" si="94"/>
        <v/>
      </c>
      <c r="E1322" s="531"/>
      <c r="F1322" s="531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2" t="str">
        <f t="shared" si="94"/>
        <v/>
      </c>
      <c r="E1323" s="531"/>
      <c r="F1323" s="531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2" t="str">
        <f t="shared" si="94"/>
        <v/>
      </c>
      <c r="E1324" s="531"/>
      <c r="F1324" s="531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2" t="str">
        <f t="shared" si="94"/>
        <v/>
      </c>
      <c r="E1325" s="531"/>
      <c r="F1325" s="531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2" t="str">
        <f t="shared" si="94"/>
        <v/>
      </c>
      <c r="E1326" s="531"/>
      <c r="F1326" s="531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2" t="str">
        <f t="shared" si="94"/>
        <v/>
      </c>
      <c r="E1327" s="531"/>
      <c r="F1327" s="531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2" t="str">
        <f t="shared" si="94"/>
        <v/>
      </c>
      <c r="E1328" s="531"/>
      <c r="F1328" s="531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2" t="str">
        <f t="shared" si="94"/>
        <v/>
      </c>
      <c r="E1329" s="531"/>
      <c r="F1329" s="531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2" t="str">
        <f t="shared" si="94"/>
        <v/>
      </c>
      <c r="E1330" s="531"/>
      <c r="F1330" s="531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2" t="str">
        <f t="shared" si="94"/>
        <v/>
      </c>
      <c r="E1331" s="531"/>
      <c r="F1331" s="531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2" t="str">
        <f t="shared" si="94"/>
        <v/>
      </c>
      <c r="E1332" s="531"/>
      <c r="F1332" s="531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2" t="str">
        <f t="shared" si="94"/>
        <v/>
      </c>
      <c r="E1333" s="531"/>
      <c r="F1333" s="531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2" t="str">
        <f t="shared" si="94"/>
        <v/>
      </c>
      <c r="E1334" s="531"/>
      <c r="F1334" s="531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2" t="str">
        <f t="shared" si="94"/>
        <v/>
      </c>
      <c r="E1335" s="531"/>
      <c r="F1335" s="531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2" t="str">
        <f t="shared" si="94"/>
        <v/>
      </c>
      <c r="E1336" s="531"/>
      <c r="F1336" s="531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2" t="str">
        <f t="shared" si="94"/>
        <v/>
      </c>
      <c r="E1337" s="531"/>
      <c r="F1337" s="531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2" t="str">
        <f t="shared" si="94"/>
        <v/>
      </c>
      <c r="E1338" s="531"/>
      <c r="F1338" s="531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2" t="str">
        <f t="shared" si="94"/>
        <v/>
      </c>
      <c r="E1339" s="531"/>
      <c r="F1339" s="531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2" t="str">
        <f t="shared" si="94"/>
        <v/>
      </c>
      <c r="E1340" s="531"/>
      <c r="F1340" s="531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2" t="str">
        <f t="shared" si="94"/>
        <v/>
      </c>
      <c r="E1341" s="531"/>
      <c r="F1341" s="531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2" t="str">
        <f t="shared" si="94"/>
        <v/>
      </c>
      <c r="E1342" s="531"/>
      <c r="F1342" s="531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2" t="str">
        <f t="shared" si="94"/>
        <v/>
      </c>
      <c r="E1343" s="531"/>
      <c r="F1343" s="531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2" t="str">
        <f t="shared" si="94"/>
        <v/>
      </c>
      <c r="E1344" s="531"/>
      <c r="F1344" s="531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2" t="str">
        <f t="shared" si="94"/>
        <v/>
      </c>
      <c r="E1345" s="531"/>
      <c r="F1345" s="531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2" t="str">
        <f t="shared" si="94"/>
        <v/>
      </c>
      <c r="E1346" s="531"/>
      <c r="F1346" s="531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2" t="str">
        <f t="shared" si="94"/>
        <v/>
      </c>
      <c r="E1347" s="531"/>
      <c r="F1347" s="531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2" t="str">
        <f t="shared" si="94"/>
        <v/>
      </c>
      <c r="E1348" s="531"/>
      <c r="F1348" s="531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2" t="str">
        <f t="shared" si="94"/>
        <v/>
      </c>
      <c r="E1349" s="531"/>
      <c r="F1349" s="531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2" t="str">
        <f t="shared" si="94"/>
        <v/>
      </c>
      <c r="E1350" s="531"/>
      <c r="F1350" s="531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2" t="str">
        <f t="shared" si="94"/>
        <v/>
      </c>
      <c r="E1351" s="531"/>
      <c r="F1351" s="531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2" t="str">
        <f t="shared" si="94"/>
        <v/>
      </c>
      <c r="E1352" s="531"/>
      <c r="F1352" s="531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2" t="str">
        <f t="shared" ref="D1353:D1416" si="97">IF(A1353&lt;&gt;"",PROPER(TEXT(A1353,"Mmmm")),"")</f>
        <v/>
      </c>
      <c r="E1353" s="531"/>
      <c r="F1353" s="531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2" t="str">
        <f t="shared" si="97"/>
        <v/>
      </c>
      <c r="E1354" s="531"/>
      <c r="F1354" s="531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2" t="str">
        <f t="shared" si="97"/>
        <v/>
      </c>
      <c r="E1355" s="531"/>
      <c r="F1355" s="531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2" t="str">
        <f t="shared" si="97"/>
        <v/>
      </c>
      <c r="E1356" s="531"/>
      <c r="F1356" s="531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2" t="str">
        <f t="shared" si="97"/>
        <v/>
      </c>
      <c r="E1357" s="531"/>
      <c r="F1357" s="531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2" t="str">
        <f t="shared" si="97"/>
        <v/>
      </c>
      <c r="E1358" s="531"/>
      <c r="F1358" s="531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2" t="str">
        <f t="shared" si="97"/>
        <v/>
      </c>
      <c r="E1359" s="531"/>
      <c r="F1359" s="531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2" t="str">
        <f t="shared" si="97"/>
        <v/>
      </c>
      <c r="E1360" s="531"/>
      <c r="F1360" s="531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2" t="str">
        <f t="shared" si="97"/>
        <v/>
      </c>
      <c r="E1361" s="531"/>
      <c r="F1361" s="531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2" t="str">
        <f t="shared" si="97"/>
        <v/>
      </c>
      <c r="E1362" s="531"/>
      <c r="F1362" s="531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2" t="str">
        <f t="shared" si="97"/>
        <v/>
      </c>
      <c r="E1363" s="531"/>
      <c r="F1363" s="531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2" t="str">
        <f t="shared" si="97"/>
        <v/>
      </c>
      <c r="E1364" s="531"/>
      <c r="F1364" s="531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2" t="str">
        <f t="shared" si="97"/>
        <v/>
      </c>
      <c r="E1365" s="531"/>
      <c r="F1365" s="531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2" t="str">
        <f t="shared" si="97"/>
        <v/>
      </c>
      <c r="E1366" s="531"/>
      <c r="F1366" s="531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2" t="str">
        <f t="shared" si="97"/>
        <v/>
      </c>
      <c r="E1367" s="531"/>
      <c r="F1367" s="531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2" t="str">
        <f t="shared" si="97"/>
        <v/>
      </c>
      <c r="E1368" s="531"/>
      <c r="F1368" s="531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2" t="str">
        <f t="shared" si="97"/>
        <v/>
      </c>
      <c r="E1369" s="531"/>
      <c r="F1369" s="531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2" t="str">
        <f t="shared" si="97"/>
        <v/>
      </c>
      <c r="E1370" s="531"/>
      <c r="F1370" s="531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2" t="str">
        <f t="shared" si="97"/>
        <v/>
      </c>
      <c r="E1371" s="531"/>
      <c r="F1371" s="531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2" t="str">
        <f t="shared" si="97"/>
        <v/>
      </c>
      <c r="E1372" s="531"/>
      <c r="F1372" s="531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2" t="str">
        <f t="shared" si="97"/>
        <v/>
      </c>
      <c r="E1373" s="531"/>
      <c r="F1373" s="531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2" t="str">
        <f t="shared" si="97"/>
        <v/>
      </c>
      <c r="E1374" s="531"/>
      <c r="F1374" s="531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2" t="str">
        <f t="shared" si="97"/>
        <v/>
      </c>
      <c r="E1375" s="531"/>
      <c r="F1375" s="531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2" t="str">
        <f t="shared" si="97"/>
        <v/>
      </c>
      <c r="E1376" s="531"/>
      <c r="F1376" s="531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2" t="str">
        <f t="shared" si="97"/>
        <v/>
      </c>
      <c r="E1377" s="531"/>
      <c r="F1377" s="531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2" t="str">
        <f t="shared" si="97"/>
        <v/>
      </c>
      <c r="E1378" s="531"/>
      <c r="F1378" s="531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2" t="str">
        <f t="shared" si="97"/>
        <v/>
      </c>
      <c r="E1379" s="531"/>
      <c r="F1379" s="531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2" t="str">
        <f t="shared" si="97"/>
        <v/>
      </c>
      <c r="E1380" s="531"/>
      <c r="F1380" s="531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2" t="str">
        <f t="shared" si="97"/>
        <v/>
      </c>
      <c r="E1381" s="531"/>
      <c r="F1381" s="531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2" t="str">
        <f t="shared" si="97"/>
        <v/>
      </c>
      <c r="E1382" s="531"/>
      <c r="F1382" s="531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2" t="str">
        <f t="shared" si="97"/>
        <v/>
      </c>
      <c r="E1383" s="531"/>
      <c r="F1383" s="531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2" t="str">
        <f t="shared" si="97"/>
        <v/>
      </c>
      <c r="E1384" s="531"/>
      <c r="F1384" s="531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2" t="str">
        <f t="shared" si="97"/>
        <v/>
      </c>
      <c r="E1385" s="531"/>
      <c r="F1385" s="531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2" t="str">
        <f t="shared" si="97"/>
        <v/>
      </c>
      <c r="E1386" s="531"/>
      <c r="F1386" s="531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2" t="str">
        <f t="shared" si="97"/>
        <v/>
      </c>
      <c r="E1387" s="531"/>
      <c r="F1387" s="531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2" t="str">
        <f t="shared" si="97"/>
        <v/>
      </c>
      <c r="E1388" s="531"/>
      <c r="F1388" s="531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2" t="str">
        <f t="shared" si="97"/>
        <v/>
      </c>
      <c r="E1389" s="531"/>
      <c r="F1389" s="531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2" t="str">
        <f t="shared" si="97"/>
        <v/>
      </c>
      <c r="E1390" s="531"/>
      <c r="F1390" s="531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2" t="str">
        <f t="shared" si="97"/>
        <v/>
      </c>
      <c r="E1391" s="531"/>
      <c r="F1391" s="531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2" t="str">
        <f t="shared" si="97"/>
        <v/>
      </c>
      <c r="E1392" s="531"/>
      <c r="F1392" s="531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2" t="str">
        <f t="shared" si="97"/>
        <v/>
      </c>
      <c r="E1393" s="531"/>
      <c r="F1393" s="531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2" t="str">
        <f t="shared" si="97"/>
        <v/>
      </c>
      <c r="E1394" s="531"/>
      <c r="F1394" s="531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2" t="str">
        <f t="shared" si="97"/>
        <v/>
      </c>
      <c r="E1395" s="531"/>
      <c r="F1395" s="531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2" t="str">
        <f t="shared" si="97"/>
        <v/>
      </c>
      <c r="E1396" s="531"/>
      <c r="F1396" s="531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2" t="str">
        <f t="shared" si="97"/>
        <v/>
      </c>
      <c r="E1397" s="531"/>
      <c r="F1397" s="531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2" t="str">
        <f t="shared" si="97"/>
        <v/>
      </c>
      <c r="E1398" s="531"/>
      <c r="F1398" s="531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2" t="str">
        <f t="shared" si="97"/>
        <v/>
      </c>
      <c r="E1399" s="531"/>
      <c r="F1399" s="531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2" t="str">
        <f t="shared" si="97"/>
        <v/>
      </c>
      <c r="E1400" s="531"/>
      <c r="F1400" s="531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2" t="str">
        <f t="shared" si="97"/>
        <v/>
      </c>
      <c r="E1401" s="531"/>
      <c r="F1401" s="531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2" t="str">
        <f t="shared" si="97"/>
        <v/>
      </c>
      <c r="E1402" s="531"/>
      <c r="F1402" s="531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2" t="str">
        <f t="shared" si="97"/>
        <v/>
      </c>
      <c r="E1403" s="531"/>
      <c r="F1403" s="531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2" t="str">
        <f t="shared" si="97"/>
        <v/>
      </c>
      <c r="E1404" s="531"/>
      <c r="F1404" s="531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2" t="str">
        <f t="shared" si="97"/>
        <v/>
      </c>
      <c r="E1405" s="531"/>
      <c r="F1405" s="531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2" t="str">
        <f t="shared" si="97"/>
        <v/>
      </c>
      <c r="E1406" s="531"/>
      <c r="F1406" s="531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2" t="str">
        <f t="shared" si="97"/>
        <v/>
      </c>
      <c r="E1407" s="531"/>
      <c r="F1407" s="531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2" t="str">
        <f t="shared" si="97"/>
        <v/>
      </c>
      <c r="E1408" s="531"/>
      <c r="F1408" s="531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2" t="str">
        <f t="shared" si="97"/>
        <v/>
      </c>
      <c r="E1409" s="531"/>
      <c r="F1409" s="531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2" t="str">
        <f t="shared" si="97"/>
        <v/>
      </c>
      <c r="E1410" s="531"/>
      <c r="F1410" s="531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2" t="str">
        <f t="shared" si="97"/>
        <v/>
      </c>
      <c r="E1411" s="531"/>
      <c r="F1411" s="531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2" t="str">
        <f t="shared" si="97"/>
        <v/>
      </c>
      <c r="E1412" s="531"/>
      <c r="F1412" s="531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2" t="str">
        <f t="shared" si="97"/>
        <v/>
      </c>
      <c r="E1413" s="531"/>
      <c r="F1413" s="531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2" t="str">
        <f t="shared" si="97"/>
        <v/>
      </c>
      <c r="E1414" s="531"/>
      <c r="F1414" s="531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2" t="str">
        <f t="shared" si="97"/>
        <v/>
      </c>
      <c r="E1415" s="531"/>
      <c r="F1415" s="531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2" t="str">
        <f t="shared" si="97"/>
        <v/>
      </c>
      <c r="E1416" s="531"/>
      <c r="F1416" s="531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2" t="str">
        <f t="shared" ref="D1417:D1480" si="100">IF(A1417&lt;&gt;"",PROPER(TEXT(A1417,"Mmmm")),"")</f>
        <v/>
      </c>
      <c r="E1417" s="531"/>
      <c r="F1417" s="531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2" t="str">
        <f t="shared" si="100"/>
        <v/>
      </c>
      <c r="E1418" s="531"/>
      <c r="F1418" s="531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2" t="str">
        <f t="shared" si="100"/>
        <v/>
      </c>
      <c r="E1419" s="531"/>
      <c r="F1419" s="531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2" t="str">
        <f t="shared" si="100"/>
        <v/>
      </c>
      <c r="E1420" s="531"/>
      <c r="F1420" s="531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2" t="str">
        <f t="shared" si="100"/>
        <v/>
      </c>
      <c r="E1421" s="531"/>
      <c r="F1421" s="531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2" t="str">
        <f t="shared" si="100"/>
        <v/>
      </c>
      <c r="E1422" s="531"/>
      <c r="F1422" s="531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2" t="str">
        <f t="shared" si="100"/>
        <v/>
      </c>
      <c r="E1423" s="531"/>
      <c r="F1423" s="531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2" t="str">
        <f t="shared" si="100"/>
        <v/>
      </c>
      <c r="E1424" s="531"/>
      <c r="F1424" s="531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2" t="str">
        <f t="shared" si="100"/>
        <v/>
      </c>
      <c r="E1425" s="531"/>
      <c r="F1425" s="531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2" t="str">
        <f t="shared" si="100"/>
        <v/>
      </c>
      <c r="E1426" s="531"/>
      <c r="F1426" s="531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2" t="str">
        <f t="shared" si="100"/>
        <v/>
      </c>
      <c r="E1427" s="531"/>
      <c r="F1427" s="531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2" t="str">
        <f t="shared" si="100"/>
        <v/>
      </c>
      <c r="E1428" s="531"/>
      <c r="F1428" s="531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2" t="str">
        <f t="shared" si="100"/>
        <v/>
      </c>
      <c r="E1429" s="531"/>
      <c r="F1429" s="531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2" t="str">
        <f t="shared" si="100"/>
        <v/>
      </c>
      <c r="E1430" s="531"/>
      <c r="F1430" s="531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2" t="str">
        <f t="shared" si="100"/>
        <v/>
      </c>
      <c r="E1431" s="531"/>
      <c r="F1431" s="531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2" t="str">
        <f t="shared" si="100"/>
        <v/>
      </c>
      <c r="E1432" s="531"/>
      <c r="F1432" s="531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2" t="str">
        <f t="shared" si="100"/>
        <v/>
      </c>
      <c r="E1433" s="531"/>
      <c r="F1433" s="531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2" t="str">
        <f t="shared" si="100"/>
        <v/>
      </c>
      <c r="E1434" s="531"/>
      <c r="F1434" s="531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2" t="str">
        <f t="shared" si="100"/>
        <v/>
      </c>
      <c r="E1435" s="531"/>
      <c r="F1435" s="531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2" t="str">
        <f t="shared" si="100"/>
        <v/>
      </c>
      <c r="E1436" s="531"/>
      <c r="F1436" s="531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2" t="str">
        <f t="shared" si="100"/>
        <v/>
      </c>
      <c r="E1437" s="531"/>
      <c r="F1437" s="531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2" t="str">
        <f t="shared" si="100"/>
        <v/>
      </c>
      <c r="E1438" s="531"/>
      <c r="F1438" s="531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2" t="str">
        <f t="shared" si="100"/>
        <v/>
      </c>
      <c r="E1439" s="531"/>
      <c r="F1439" s="531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2" t="str">
        <f t="shared" si="100"/>
        <v/>
      </c>
      <c r="E1440" s="531"/>
      <c r="F1440" s="531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2" t="str">
        <f t="shared" si="100"/>
        <v/>
      </c>
      <c r="E1441" s="531"/>
      <c r="F1441" s="531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2" t="str">
        <f t="shared" si="100"/>
        <v/>
      </c>
      <c r="E1442" s="531"/>
      <c r="F1442" s="531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2" t="str">
        <f t="shared" si="100"/>
        <v/>
      </c>
      <c r="E1443" s="531"/>
      <c r="F1443" s="531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2" t="str">
        <f t="shared" si="100"/>
        <v/>
      </c>
      <c r="E1444" s="531"/>
      <c r="F1444" s="531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2" t="str">
        <f t="shared" si="100"/>
        <v/>
      </c>
      <c r="E1445" s="531"/>
      <c r="F1445" s="531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2" t="str">
        <f t="shared" si="100"/>
        <v/>
      </c>
      <c r="E1446" s="531"/>
      <c r="F1446" s="531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2" t="str">
        <f t="shared" si="100"/>
        <v/>
      </c>
      <c r="E1447" s="531"/>
      <c r="F1447" s="531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2" t="str">
        <f t="shared" si="100"/>
        <v/>
      </c>
      <c r="E1448" s="531"/>
      <c r="F1448" s="531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2" t="str">
        <f t="shared" si="100"/>
        <v/>
      </c>
      <c r="E1449" s="531"/>
      <c r="F1449" s="531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2" t="str">
        <f t="shared" si="100"/>
        <v/>
      </c>
      <c r="E1450" s="531"/>
      <c r="F1450" s="531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2" t="str">
        <f t="shared" si="100"/>
        <v/>
      </c>
      <c r="E1451" s="531"/>
      <c r="F1451" s="531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2" t="str">
        <f t="shared" si="100"/>
        <v/>
      </c>
      <c r="E1452" s="531"/>
      <c r="F1452" s="531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2" t="str">
        <f t="shared" si="100"/>
        <v/>
      </c>
      <c r="E1453" s="531"/>
      <c r="F1453" s="531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2" t="str">
        <f t="shared" si="100"/>
        <v/>
      </c>
      <c r="E1454" s="531"/>
      <c r="F1454" s="531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2" t="str">
        <f t="shared" si="100"/>
        <v/>
      </c>
      <c r="E1455" s="531"/>
      <c r="F1455" s="531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2" t="str">
        <f t="shared" si="100"/>
        <v/>
      </c>
      <c r="E1456" s="531"/>
      <c r="F1456" s="531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2" t="str">
        <f t="shared" si="100"/>
        <v/>
      </c>
      <c r="E1457" s="531"/>
      <c r="F1457" s="531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2" t="str">
        <f t="shared" si="100"/>
        <v/>
      </c>
      <c r="E1458" s="531"/>
      <c r="F1458" s="531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2" t="str">
        <f t="shared" si="100"/>
        <v/>
      </c>
      <c r="E1459" s="531"/>
      <c r="F1459" s="531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2" t="str">
        <f t="shared" si="100"/>
        <v/>
      </c>
      <c r="E1460" s="531"/>
      <c r="F1460" s="531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2" t="str">
        <f t="shared" si="100"/>
        <v/>
      </c>
      <c r="E1461" s="531"/>
      <c r="F1461" s="531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2" t="str">
        <f t="shared" si="100"/>
        <v/>
      </c>
      <c r="E1462" s="531"/>
      <c r="F1462" s="531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2" t="str">
        <f t="shared" si="100"/>
        <v/>
      </c>
      <c r="E1463" s="531"/>
      <c r="F1463" s="531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2" t="str">
        <f t="shared" si="100"/>
        <v/>
      </c>
      <c r="E1464" s="531"/>
      <c r="F1464" s="531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2" t="str">
        <f t="shared" si="100"/>
        <v/>
      </c>
      <c r="E1465" s="531"/>
      <c r="F1465" s="531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2" t="str">
        <f t="shared" si="100"/>
        <v/>
      </c>
      <c r="E1466" s="531"/>
      <c r="F1466" s="531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2" t="str">
        <f t="shared" si="100"/>
        <v/>
      </c>
      <c r="E1467" s="531"/>
      <c r="F1467" s="531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2" t="str">
        <f t="shared" si="100"/>
        <v/>
      </c>
      <c r="E1468" s="531"/>
      <c r="F1468" s="531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2" t="str">
        <f t="shared" si="100"/>
        <v/>
      </c>
      <c r="E1469" s="531"/>
      <c r="F1469" s="531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2" t="str">
        <f t="shared" si="100"/>
        <v/>
      </c>
      <c r="E1470" s="531"/>
      <c r="F1470" s="531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2" t="str">
        <f t="shared" si="100"/>
        <v/>
      </c>
      <c r="E1471" s="531"/>
      <c r="F1471" s="531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2" t="str">
        <f t="shared" si="100"/>
        <v/>
      </c>
      <c r="E1472" s="531"/>
      <c r="F1472" s="531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2" t="str">
        <f t="shared" si="100"/>
        <v/>
      </c>
      <c r="E1473" s="531"/>
      <c r="F1473" s="531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2" t="str">
        <f t="shared" si="100"/>
        <v/>
      </c>
      <c r="E1474" s="531"/>
      <c r="F1474" s="531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2" t="str">
        <f t="shared" si="100"/>
        <v/>
      </c>
      <c r="E1475" s="531"/>
      <c r="F1475" s="531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2" t="str">
        <f t="shared" si="100"/>
        <v/>
      </c>
      <c r="E1476" s="531"/>
      <c r="F1476" s="531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2" t="str">
        <f t="shared" si="100"/>
        <v/>
      </c>
      <c r="E1477" s="531"/>
      <c r="F1477" s="531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2" t="str">
        <f t="shared" si="100"/>
        <v/>
      </c>
      <c r="E1478" s="531"/>
      <c r="F1478" s="531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2" t="str">
        <f t="shared" si="100"/>
        <v/>
      </c>
      <c r="E1479" s="531"/>
      <c r="F1479" s="531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2" t="str">
        <f t="shared" si="100"/>
        <v/>
      </c>
      <c r="E1480" s="531"/>
      <c r="F1480" s="531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2" t="str">
        <f t="shared" ref="D1481:D1544" si="103">IF(A1481&lt;&gt;"",PROPER(TEXT(A1481,"Mmmm")),"")</f>
        <v/>
      </c>
      <c r="E1481" s="531"/>
      <c r="F1481" s="531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2" t="str">
        <f t="shared" si="103"/>
        <v/>
      </c>
      <c r="E1482" s="531"/>
      <c r="F1482" s="531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2" t="str">
        <f t="shared" si="103"/>
        <v/>
      </c>
      <c r="E1483" s="531"/>
      <c r="F1483" s="531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2" t="str">
        <f t="shared" si="103"/>
        <v/>
      </c>
      <c r="E1484" s="531"/>
      <c r="F1484" s="531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2" t="str">
        <f t="shared" si="103"/>
        <v/>
      </c>
      <c r="E1485" s="531"/>
      <c r="F1485" s="531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2" t="str">
        <f t="shared" si="103"/>
        <v/>
      </c>
      <c r="E1486" s="531"/>
      <c r="F1486" s="531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2" t="str">
        <f t="shared" si="103"/>
        <v/>
      </c>
      <c r="E1487" s="531"/>
      <c r="F1487" s="531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2" t="str">
        <f t="shared" si="103"/>
        <v/>
      </c>
      <c r="E1488" s="531"/>
      <c r="F1488" s="531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2" t="str">
        <f t="shared" si="103"/>
        <v/>
      </c>
      <c r="E1489" s="531"/>
      <c r="F1489" s="531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2" t="str">
        <f t="shared" si="103"/>
        <v/>
      </c>
      <c r="E1490" s="531"/>
      <c r="F1490" s="531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2" t="str">
        <f t="shared" si="103"/>
        <v/>
      </c>
      <c r="E1491" s="531"/>
      <c r="F1491" s="531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2" t="str">
        <f t="shared" si="103"/>
        <v/>
      </c>
      <c r="E1492" s="531"/>
      <c r="F1492" s="531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2" t="str">
        <f t="shared" si="103"/>
        <v/>
      </c>
      <c r="E1493" s="531"/>
      <c r="F1493" s="531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2" t="str">
        <f t="shared" si="103"/>
        <v/>
      </c>
      <c r="E1494" s="531"/>
      <c r="F1494" s="531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2" t="str">
        <f t="shared" si="103"/>
        <v/>
      </c>
      <c r="E1495" s="531"/>
      <c r="F1495" s="531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2" t="str">
        <f t="shared" si="103"/>
        <v/>
      </c>
      <c r="E1496" s="531"/>
      <c r="F1496" s="531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2" t="str">
        <f t="shared" si="103"/>
        <v/>
      </c>
      <c r="E1497" s="531"/>
      <c r="F1497" s="531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2" t="str">
        <f t="shared" si="103"/>
        <v/>
      </c>
      <c r="E1498" s="531"/>
      <c r="F1498" s="531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2" t="str">
        <f t="shared" si="103"/>
        <v/>
      </c>
      <c r="E1499" s="531"/>
      <c r="F1499" s="531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2" t="str">
        <f t="shared" si="103"/>
        <v/>
      </c>
      <c r="E1500" s="531"/>
      <c r="F1500" s="531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2" t="str">
        <f t="shared" si="103"/>
        <v/>
      </c>
      <c r="E1501" s="531"/>
      <c r="F1501" s="531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2" t="str">
        <f t="shared" si="103"/>
        <v/>
      </c>
      <c r="E1502" s="531"/>
      <c r="F1502" s="531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2" t="str">
        <f t="shared" si="103"/>
        <v/>
      </c>
      <c r="E1503" s="531"/>
      <c r="F1503" s="531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2" t="str">
        <f t="shared" si="103"/>
        <v/>
      </c>
      <c r="E1504" s="531"/>
      <c r="F1504" s="531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2" t="str">
        <f t="shared" si="103"/>
        <v/>
      </c>
      <c r="E1505" s="531"/>
      <c r="F1505" s="531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2" t="str">
        <f t="shared" si="103"/>
        <v/>
      </c>
      <c r="E1506" s="531"/>
      <c r="F1506" s="531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2" t="str">
        <f t="shared" si="103"/>
        <v/>
      </c>
      <c r="E1507" s="531"/>
      <c r="F1507" s="531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2" t="str">
        <f t="shared" si="103"/>
        <v/>
      </c>
      <c r="E1508" s="531"/>
      <c r="F1508" s="531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2" t="str">
        <f t="shared" si="103"/>
        <v/>
      </c>
      <c r="E1509" s="531"/>
      <c r="F1509" s="531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2" t="str">
        <f t="shared" si="103"/>
        <v/>
      </c>
      <c r="E1510" s="531"/>
      <c r="F1510" s="531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2" t="str">
        <f t="shared" si="103"/>
        <v/>
      </c>
      <c r="E1511" s="531"/>
      <c r="F1511" s="531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2" t="str">
        <f t="shared" si="103"/>
        <v/>
      </c>
      <c r="E1512" s="531"/>
      <c r="F1512" s="531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2" t="str">
        <f t="shared" si="103"/>
        <v/>
      </c>
      <c r="E1513" s="531"/>
      <c r="F1513" s="531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2" t="str">
        <f t="shared" si="103"/>
        <v/>
      </c>
      <c r="E1514" s="531"/>
      <c r="F1514" s="531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2" t="str">
        <f t="shared" si="103"/>
        <v/>
      </c>
      <c r="E1515" s="531"/>
      <c r="F1515" s="531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2" t="str">
        <f t="shared" si="103"/>
        <v/>
      </c>
      <c r="E1516" s="531"/>
      <c r="F1516" s="531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2" t="str">
        <f t="shared" si="103"/>
        <v/>
      </c>
      <c r="E1517" s="531"/>
      <c r="F1517" s="531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2" t="str">
        <f t="shared" si="103"/>
        <v/>
      </c>
      <c r="E1518" s="531"/>
      <c r="F1518" s="531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2" t="str">
        <f t="shared" si="103"/>
        <v/>
      </c>
      <c r="E1519" s="531"/>
      <c r="F1519" s="531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2" t="str">
        <f t="shared" si="103"/>
        <v/>
      </c>
      <c r="E1520" s="531"/>
      <c r="F1520" s="531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2" t="str">
        <f t="shared" si="103"/>
        <v/>
      </c>
      <c r="E1521" s="531"/>
      <c r="F1521" s="531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2" t="str">
        <f t="shared" si="103"/>
        <v/>
      </c>
      <c r="E1522" s="531"/>
      <c r="F1522" s="531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2" t="str">
        <f t="shared" si="103"/>
        <v/>
      </c>
      <c r="E1523" s="531"/>
      <c r="F1523" s="531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2" t="str">
        <f t="shared" si="103"/>
        <v/>
      </c>
      <c r="E1524" s="531"/>
      <c r="F1524" s="531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2" t="str">
        <f t="shared" si="103"/>
        <v/>
      </c>
      <c r="E1525" s="531"/>
      <c r="F1525" s="531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2" t="str">
        <f t="shared" si="103"/>
        <v/>
      </c>
      <c r="E1526" s="531"/>
      <c r="F1526" s="531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2" t="str">
        <f t="shared" si="103"/>
        <v/>
      </c>
      <c r="E1527" s="531"/>
      <c r="F1527" s="531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2" t="str">
        <f t="shared" si="103"/>
        <v/>
      </c>
      <c r="E1528" s="531"/>
      <c r="F1528" s="531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2" t="str">
        <f t="shared" si="103"/>
        <v/>
      </c>
      <c r="E1529" s="531"/>
      <c r="F1529" s="531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2" t="str">
        <f t="shared" si="103"/>
        <v/>
      </c>
      <c r="E1530" s="531"/>
      <c r="F1530" s="531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2" t="str">
        <f t="shared" si="103"/>
        <v/>
      </c>
      <c r="E1531" s="531"/>
      <c r="F1531" s="531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2" t="str">
        <f t="shared" si="103"/>
        <v/>
      </c>
      <c r="E1532" s="531"/>
      <c r="F1532" s="531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2" t="str">
        <f t="shared" si="103"/>
        <v/>
      </c>
      <c r="E1533" s="531"/>
      <c r="F1533" s="531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2" t="str">
        <f t="shared" si="103"/>
        <v/>
      </c>
      <c r="E1534" s="531"/>
      <c r="F1534" s="531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2" t="str">
        <f t="shared" si="103"/>
        <v/>
      </c>
      <c r="E1535" s="531"/>
      <c r="F1535" s="531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2" t="str">
        <f t="shared" si="103"/>
        <v/>
      </c>
      <c r="E1536" s="531"/>
      <c r="F1536" s="531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2" t="str">
        <f t="shared" si="103"/>
        <v/>
      </c>
      <c r="E1537" s="531"/>
      <c r="F1537" s="531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2" t="str">
        <f t="shared" si="103"/>
        <v/>
      </c>
      <c r="E1538" s="531"/>
      <c r="F1538" s="531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2" t="str">
        <f t="shared" si="103"/>
        <v/>
      </c>
      <c r="E1539" s="531"/>
      <c r="F1539" s="531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2" t="str">
        <f t="shared" si="103"/>
        <v/>
      </c>
      <c r="E1540" s="531"/>
      <c r="F1540" s="531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2" t="str">
        <f t="shared" si="103"/>
        <v/>
      </c>
      <c r="E1541" s="531"/>
      <c r="F1541" s="531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2" t="str">
        <f t="shared" si="103"/>
        <v/>
      </c>
      <c r="E1542" s="531"/>
      <c r="F1542" s="531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2" t="str">
        <f t="shared" si="103"/>
        <v/>
      </c>
      <c r="E1543" s="531"/>
      <c r="F1543" s="531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2" t="str">
        <f t="shared" si="103"/>
        <v/>
      </c>
      <c r="E1544" s="531"/>
      <c r="F1544" s="531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2" t="str">
        <f t="shared" ref="D1545:D1608" si="106">IF(A1545&lt;&gt;"",PROPER(TEXT(A1545,"Mmmm")),"")</f>
        <v/>
      </c>
      <c r="E1545" s="531"/>
      <c r="F1545" s="531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2" t="str">
        <f t="shared" si="106"/>
        <v/>
      </c>
      <c r="E1546" s="531"/>
      <c r="F1546" s="531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2" t="str">
        <f t="shared" si="106"/>
        <v/>
      </c>
      <c r="E1547" s="531"/>
      <c r="F1547" s="531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2" t="str">
        <f t="shared" si="106"/>
        <v/>
      </c>
      <c r="E1548" s="531"/>
      <c r="F1548" s="531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2" t="str">
        <f t="shared" si="106"/>
        <v/>
      </c>
      <c r="E1549" s="531"/>
      <c r="F1549" s="531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2" t="str">
        <f t="shared" si="106"/>
        <v/>
      </c>
      <c r="E1550" s="531"/>
      <c r="F1550" s="531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2" t="str">
        <f t="shared" si="106"/>
        <v/>
      </c>
      <c r="E1551" s="531"/>
      <c r="F1551" s="531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2" t="str">
        <f t="shared" si="106"/>
        <v/>
      </c>
      <c r="E1552" s="531"/>
      <c r="F1552" s="531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2" t="str">
        <f t="shared" si="106"/>
        <v/>
      </c>
      <c r="E1553" s="531"/>
      <c r="F1553" s="531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2" t="str">
        <f t="shared" si="106"/>
        <v/>
      </c>
      <c r="E1554" s="531"/>
      <c r="F1554" s="531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2" t="str">
        <f t="shared" si="106"/>
        <v/>
      </c>
      <c r="E1555" s="531"/>
      <c r="F1555" s="531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2" t="str">
        <f t="shared" si="106"/>
        <v/>
      </c>
      <c r="E1556" s="531"/>
      <c r="F1556" s="531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2" t="str">
        <f t="shared" si="106"/>
        <v/>
      </c>
      <c r="E1557" s="531"/>
      <c r="F1557" s="531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2" t="str">
        <f t="shared" si="106"/>
        <v/>
      </c>
      <c r="E1558" s="531"/>
      <c r="F1558" s="531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2" t="str">
        <f t="shared" si="106"/>
        <v/>
      </c>
      <c r="E1559" s="531"/>
      <c r="F1559" s="531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2" t="str">
        <f t="shared" si="106"/>
        <v/>
      </c>
      <c r="E1560" s="531"/>
      <c r="F1560" s="531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2" t="str">
        <f t="shared" si="106"/>
        <v/>
      </c>
      <c r="E1561" s="531"/>
      <c r="F1561" s="531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2" t="str">
        <f t="shared" si="106"/>
        <v/>
      </c>
      <c r="E1562" s="531"/>
      <c r="F1562" s="531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2" t="str">
        <f t="shared" si="106"/>
        <v/>
      </c>
      <c r="E1563" s="531"/>
      <c r="F1563" s="531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2" t="str">
        <f t="shared" si="106"/>
        <v/>
      </c>
      <c r="E1564" s="531"/>
      <c r="F1564" s="531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2" t="str">
        <f t="shared" si="106"/>
        <v/>
      </c>
      <c r="E1565" s="531"/>
      <c r="F1565" s="531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2" t="str">
        <f t="shared" si="106"/>
        <v/>
      </c>
      <c r="E1566" s="531"/>
      <c r="F1566" s="531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2" t="str">
        <f t="shared" si="106"/>
        <v/>
      </c>
      <c r="E1567" s="531"/>
      <c r="F1567" s="531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2" t="str">
        <f t="shared" si="106"/>
        <v/>
      </c>
      <c r="E1568" s="531"/>
      <c r="F1568" s="531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2" t="str">
        <f t="shared" si="106"/>
        <v/>
      </c>
      <c r="E1569" s="531"/>
      <c r="F1569" s="531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2" t="str">
        <f t="shared" si="106"/>
        <v/>
      </c>
      <c r="E1570" s="531"/>
      <c r="F1570" s="531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2" t="str">
        <f t="shared" si="106"/>
        <v/>
      </c>
      <c r="E1571" s="531"/>
      <c r="F1571" s="531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2" t="str">
        <f t="shared" si="106"/>
        <v/>
      </c>
      <c r="E1572" s="531"/>
      <c r="F1572" s="531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2" t="str">
        <f t="shared" si="106"/>
        <v/>
      </c>
      <c r="E1573" s="531"/>
      <c r="F1573" s="531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2" t="str">
        <f t="shared" si="106"/>
        <v/>
      </c>
      <c r="E1574" s="531"/>
      <c r="F1574" s="531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2" t="str">
        <f t="shared" si="106"/>
        <v/>
      </c>
      <c r="E1575" s="531"/>
      <c r="F1575" s="531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2" t="str">
        <f t="shared" si="106"/>
        <v/>
      </c>
      <c r="E1576" s="531"/>
      <c r="F1576" s="531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2" t="str">
        <f t="shared" si="106"/>
        <v/>
      </c>
      <c r="E1577" s="531"/>
      <c r="F1577" s="531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2" t="str">
        <f t="shared" si="106"/>
        <v/>
      </c>
      <c r="E1578" s="531"/>
      <c r="F1578" s="531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2" t="str">
        <f t="shared" si="106"/>
        <v/>
      </c>
      <c r="E1579" s="531"/>
      <c r="F1579" s="531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2" t="str">
        <f t="shared" si="106"/>
        <v/>
      </c>
      <c r="E1580" s="531"/>
      <c r="F1580" s="531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2" t="str">
        <f t="shared" si="106"/>
        <v/>
      </c>
      <c r="E1581" s="531"/>
      <c r="F1581" s="531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2" t="str">
        <f t="shared" si="106"/>
        <v/>
      </c>
      <c r="E1582" s="531"/>
      <c r="F1582" s="531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2" t="str">
        <f t="shared" si="106"/>
        <v/>
      </c>
      <c r="E1583" s="531"/>
      <c r="F1583" s="531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2" t="str">
        <f t="shared" si="106"/>
        <v/>
      </c>
      <c r="E1584" s="531"/>
      <c r="F1584" s="531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2" t="str">
        <f t="shared" si="106"/>
        <v/>
      </c>
      <c r="E1585" s="531"/>
      <c r="F1585" s="531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2" t="str">
        <f t="shared" si="106"/>
        <v/>
      </c>
      <c r="E1586" s="531"/>
      <c r="F1586" s="531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2" t="str">
        <f t="shared" si="106"/>
        <v/>
      </c>
      <c r="E1587" s="531"/>
      <c r="F1587" s="531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2" t="str">
        <f t="shared" si="106"/>
        <v/>
      </c>
      <c r="E1588" s="531"/>
      <c r="F1588" s="531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2" t="str">
        <f t="shared" si="106"/>
        <v/>
      </c>
      <c r="E1589" s="531"/>
      <c r="F1589" s="531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2" t="str">
        <f t="shared" si="106"/>
        <v/>
      </c>
      <c r="E1590" s="531"/>
      <c r="F1590" s="531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2" t="str">
        <f t="shared" si="106"/>
        <v/>
      </c>
      <c r="E1591" s="531"/>
      <c r="F1591" s="531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2" t="str">
        <f t="shared" si="106"/>
        <v/>
      </c>
      <c r="E1592" s="531"/>
      <c r="F1592" s="531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2" t="str">
        <f t="shared" si="106"/>
        <v/>
      </c>
      <c r="E1593" s="531"/>
      <c r="F1593" s="531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2" t="str">
        <f t="shared" si="106"/>
        <v/>
      </c>
      <c r="E1594" s="531"/>
      <c r="F1594" s="531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2" t="str">
        <f t="shared" si="106"/>
        <v/>
      </c>
      <c r="E1595" s="531"/>
      <c r="F1595" s="531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2" t="str">
        <f t="shared" si="106"/>
        <v/>
      </c>
      <c r="E1596" s="531"/>
      <c r="F1596" s="531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2" t="str">
        <f t="shared" si="106"/>
        <v/>
      </c>
      <c r="E1597" s="531"/>
      <c r="F1597" s="531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2" t="str">
        <f t="shared" si="106"/>
        <v/>
      </c>
      <c r="E1598" s="531"/>
      <c r="F1598" s="531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2" t="str">
        <f t="shared" si="106"/>
        <v/>
      </c>
      <c r="E1599" s="531"/>
      <c r="F1599" s="531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2" t="str">
        <f t="shared" si="106"/>
        <v/>
      </c>
      <c r="E1600" s="531"/>
      <c r="F1600" s="531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2" t="str">
        <f t="shared" si="106"/>
        <v/>
      </c>
      <c r="E1601" s="531"/>
      <c r="F1601" s="531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2" t="str">
        <f t="shared" si="106"/>
        <v/>
      </c>
      <c r="E1602" s="531"/>
      <c r="F1602" s="531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2" t="str">
        <f t="shared" si="106"/>
        <v/>
      </c>
      <c r="E1603" s="531"/>
      <c r="F1603" s="531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2" t="str">
        <f t="shared" si="106"/>
        <v/>
      </c>
      <c r="E1604" s="531"/>
      <c r="F1604" s="531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2" t="str">
        <f t="shared" si="106"/>
        <v/>
      </c>
      <c r="E1605" s="531"/>
      <c r="F1605" s="531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2" t="str">
        <f t="shared" si="106"/>
        <v/>
      </c>
      <c r="E1606" s="531"/>
      <c r="F1606" s="531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2" t="str">
        <f t="shared" si="106"/>
        <v/>
      </c>
      <c r="E1607" s="531"/>
      <c r="F1607" s="531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2" t="str">
        <f t="shared" si="106"/>
        <v/>
      </c>
      <c r="E1608" s="531"/>
      <c r="F1608" s="531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2" t="str">
        <f t="shared" ref="D1609:D1672" si="109">IF(A1609&lt;&gt;"",PROPER(TEXT(A1609,"Mmmm")),"")</f>
        <v/>
      </c>
      <c r="E1609" s="531"/>
      <c r="F1609" s="531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2" t="str">
        <f t="shared" si="109"/>
        <v/>
      </c>
      <c r="E1610" s="531"/>
      <c r="F1610" s="531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2" t="str">
        <f t="shared" si="109"/>
        <v/>
      </c>
      <c r="E1611" s="531"/>
      <c r="F1611" s="531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2" t="str">
        <f t="shared" si="109"/>
        <v/>
      </c>
      <c r="E1612" s="531"/>
      <c r="F1612" s="531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2" t="str">
        <f t="shared" si="109"/>
        <v/>
      </c>
      <c r="E1613" s="531"/>
      <c r="F1613" s="531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2" t="str">
        <f t="shared" si="109"/>
        <v/>
      </c>
      <c r="E1614" s="531"/>
      <c r="F1614" s="531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2" t="str">
        <f t="shared" si="109"/>
        <v/>
      </c>
      <c r="E1615" s="531"/>
      <c r="F1615" s="531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2" t="str">
        <f t="shared" si="109"/>
        <v/>
      </c>
      <c r="E1616" s="531"/>
      <c r="F1616" s="531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2" t="str">
        <f t="shared" si="109"/>
        <v/>
      </c>
      <c r="E1617" s="531"/>
      <c r="F1617" s="531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2" t="str">
        <f t="shared" si="109"/>
        <v/>
      </c>
      <c r="E1618" s="531"/>
      <c r="F1618" s="531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2" t="str">
        <f t="shared" si="109"/>
        <v/>
      </c>
      <c r="E1619" s="531"/>
      <c r="F1619" s="531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2" t="str">
        <f t="shared" si="109"/>
        <v/>
      </c>
      <c r="E1620" s="531"/>
      <c r="F1620" s="531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2" t="str">
        <f t="shared" si="109"/>
        <v/>
      </c>
      <c r="E1621" s="531"/>
      <c r="F1621" s="531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2" t="str">
        <f t="shared" si="109"/>
        <v/>
      </c>
      <c r="E1622" s="531"/>
      <c r="F1622" s="531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2" t="str">
        <f t="shared" si="109"/>
        <v/>
      </c>
      <c r="E1623" s="531"/>
      <c r="F1623" s="531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2" t="str">
        <f t="shared" si="109"/>
        <v/>
      </c>
      <c r="E1624" s="531"/>
      <c r="F1624" s="531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2" t="str">
        <f t="shared" si="109"/>
        <v/>
      </c>
      <c r="E1625" s="531"/>
      <c r="F1625" s="531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2" t="str">
        <f t="shared" si="109"/>
        <v/>
      </c>
      <c r="E1626" s="531"/>
      <c r="F1626" s="531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2" t="str">
        <f t="shared" si="109"/>
        <v/>
      </c>
      <c r="E1627" s="531"/>
      <c r="F1627" s="531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2" t="str">
        <f t="shared" si="109"/>
        <v/>
      </c>
      <c r="E1628" s="531"/>
      <c r="F1628" s="531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2" t="str">
        <f t="shared" si="109"/>
        <v/>
      </c>
      <c r="E1629" s="531"/>
      <c r="F1629" s="531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2" t="str">
        <f t="shared" si="109"/>
        <v/>
      </c>
      <c r="E1630" s="531"/>
      <c r="F1630" s="531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2" t="str">
        <f t="shared" si="109"/>
        <v/>
      </c>
      <c r="E1631" s="531"/>
      <c r="F1631" s="531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2" t="str">
        <f t="shared" si="109"/>
        <v/>
      </c>
      <c r="E1632" s="531"/>
      <c r="F1632" s="531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2" t="str">
        <f t="shared" si="109"/>
        <v/>
      </c>
      <c r="E1633" s="531"/>
      <c r="F1633" s="531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2" t="str">
        <f t="shared" si="109"/>
        <v/>
      </c>
      <c r="E1634" s="531"/>
      <c r="F1634" s="531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2" t="str">
        <f t="shared" si="109"/>
        <v/>
      </c>
      <c r="E1635" s="531"/>
      <c r="F1635" s="531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2" t="str">
        <f t="shared" si="109"/>
        <v/>
      </c>
      <c r="E1636" s="531"/>
      <c r="F1636" s="531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2" t="str">
        <f t="shared" si="109"/>
        <v/>
      </c>
      <c r="E1637" s="531"/>
      <c r="F1637" s="531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2" t="str">
        <f t="shared" si="109"/>
        <v/>
      </c>
      <c r="E1638" s="531"/>
      <c r="F1638" s="531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2" t="str">
        <f t="shared" si="109"/>
        <v/>
      </c>
      <c r="E1639" s="531"/>
      <c r="F1639" s="531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2" t="str">
        <f t="shared" si="109"/>
        <v/>
      </c>
      <c r="E1640" s="531"/>
      <c r="F1640" s="531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2" t="str">
        <f t="shared" si="109"/>
        <v/>
      </c>
      <c r="E1641" s="531"/>
      <c r="F1641" s="531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2" t="str">
        <f t="shared" si="109"/>
        <v/>
      </c>
      <c r="E1642" s="531"/>
      <c r="F1642" s="531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2" t="str">
        <f t="shared" si="109"/>
        <v/>
      </c>
      <c r="E1643" s="531"/>
      <c r="F1643" s="531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2" t="str">
        <f t="shared" si="109"/>
        <v/>
      </c>
      <c r="E1644" s="531"/>
      <c r="F1644" s="531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2" t="str">
        <f t="shared" si="109"/>
        <v/>
      </c>
      <c r="E1645" s="531"/>
      <c r="F1645" s="531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2" t="str">
        <f t="shared" si="109"/>
        <v/>
      </c>
      <c r="E1646" s="531"/>
      <c r="F1646" s="531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2" t="str">
        <f t="shared" si="109"/>
        <v/>
      </c>
      <c r="E1647" s="531"/>
      <c r="F1647" s="531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2" t="str">
        <f t="shared" si="109"/>
        <v/>
      </c>
      <c r="E1648" s="531"/>
      <c r="F1648" s="531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2" t="str">
        <f t="shared" si="109"/>
        <v/>
      </c>
      <c r="E1649" s="531"/>
      <c r="F1649" s="531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2" t="str">
        <f t="shared" si="109"/>
        <v/>
      </c>
      <c r="E1650" s="531"/>
      <c r="F1650" s="531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2" t="str">
        <f t="shared" si="109"/>
        <v/>
      </c>
      <c r="E1651" s="531"/>
      <c r="F1651" s="531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2" t="str">
        <f t="shared" si="109"/>
        <v/>
      </c>
      <c r="E1652" s="531"/>
      <c r="F1652" s="531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2" t="str">
        <f t="shared" si="109"/>
        <v/>
      </c>
      <c r="E1653" s="531"/>
      <c r="F1653" s="531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2" t="str">
        <f t="shared" si="109"/>
        <v/>
      </c>
      <c r="E1654" s="531"/>
      <c r="F1654" s="531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2" t="str">
        <f t="shared" si="109"/>
        <v/>
      </c>
      <c r="E1655" s="531"/>
      <c r="F1655" s="531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2" t="str">
        <f t="shared" si="109"/>
        <v/>
      </c>
      <c r="E1656" s="531"/>
      <c r="F1656" s="531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2" t="str">
        <f t="shared" si="109"/>
        <v/>
      </c>
      <c r="E1657" s="531"/>
      <c r="F1657" s="531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2" t="str">
        <f t="shared" si="109"/>
        <v/>
      </c>
      <c r="E1658" s="531"/>
      <c r="F1658" s="531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2" t="str">
        <f t="shared" si="109"/>
        <v/>
      </c>
      <c r="E1659" s="531"/>
      <c r="F1659" s="531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2" t="str">
        <f t="shared" si="109"/>
        <v/>
      </c>
      <c r="E1660" s="531"/>
      <c r="F1660" s="531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2" t="str">
        <f t="shared" si="109"/>
        <v/>
      </c>
      <c r="E1661" s="531"/>
      <c r="F1661" s="531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2" t="str">
        <f t="shared" si="109"/>
        <v/>
      </c>
      <c r="E1662" s="531"/>
      <c r="F1662" s="531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2" t="str">
        <f t="shared" si="109"/>
        <v/>
      </c>
      <c r="E1663" s="531"/>
      <c r="F1663" s="531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2" t="str">
        <f t="shared" si="109"/>
        <v/>
      </c>
      <c r="E1664" s="531"/>
      <c r="F1664" s="531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2" t="str">
        <f t="shared" si="109"/>
        <v/>
      </c>
      <c r="E1665" s="531"/>
      <c r="F1665" s="531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2" t="str">
        <f t="shared" si="109"/>
        <v/>
      </c>
      <c r="E1666" s="531"/>
      <c r="F1666" s="531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2" t="str">
        <f t="shared" si="109"/>
        <v/>
      </c>
      <c r="E1667" s="531"/>
      <c r="F1667" s="531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2" t="str">
        <f t="shared" si="109"/>
        <v/>
      </c>
      <c r="E1668" s="531"/>
      <c r="F1668" s="531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2" t="str">
        <f t="shared" si="109"/>
        <v/>
      </c>
      <c r="E1669" s="531"/>
      <c r="F1669" s="531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2" t="str">
        <f t="shared" si="109"/>
        <v/>
      </c>
      <c r="E1670" s="531"/>
      <c r="F1670" s="531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2" t="str">
        <f t="shared" si="109"/>
        <v/>
      </c>
      <c r="E1671" s="531"/>
      <c r="F1671" s="531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2" t="str">
        <f t="shared" si="109"/>
        <v/>
      </c>
      <c r="E1672" s="531"/>
      <c r="F1672" s="531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2" t="str">
        <f t="shared" ref="D1673:D1736" si="112">IF(A1673&lt;&gt;"",PROPER(TEXT(A1673,"Mmmm")),"")</f>
        <v/>
      </c>
      <c r="E1673" s="531"/>
      <c r="F1673" s="531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2" t="str">
        <f t="shared" si="112"/>
        <v/>
      </c>
      <c r="E1674" s="531"/>
      <c r="F1674" s="531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2" t="str">
        <f t="shared" si="112"/>
        <v/>
      </c>
      <c r="E1675" s="531"/>
      <c r="F1675" s="531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2" t="str">
        <f t="shared" si="112"/>
        <v/>
      </c>
      <c r="E1676" s="531"/>
      <c r="F1676" s="531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2" t="str">
        <f t="shared" si="112"/>
        <v/>
      </c>
      <c r="E1677" s="531"/>
      <c r="F1677" s="531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2" t="str">
        <f t="shared" si="112"/>
        <v/>
      </c>
      <c r="E1678" s="531"/>
      <c r="F1678" s="531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2" t="str">
        <f t="shared" si="112"/>
        <v/>
      </c>
      <c r="E1679" s="531"/>
      <c r="F1679" s="531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2" t="str">
        <f t="shared" si="112"/>
        <v/>
      </c>
      <c r="E1680" s="531"/>
      <c r="F1680" s="531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2" t="str">
        <f t="shared" si="112"/>
        <v/>
      </c>
      <c r="E1681" s="531"/>
      <c r="F1681" s="531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2" t="str">
        <f t="shared" si="112"/>
        <v/>
      </c>
      <c r="E1682" s="531"/>
      <c r="F1682" s="531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2" t="str">
        <f t="shared" si="112"/>
        <v/>
      </c>
      <c r="E1683" s="531"/>
      <c r="F1683" s="531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2" t="str">
        <f t="shared" si="112"/>
        <v/>
      </c>
      <c r="E1684" s="531"/>
      <c r="F1684" s="531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2" t="str">
        <f t="shared" si="112"/>
        <v/>
      </c>
      <c r="E1685" s="531"/>
      <c r="F1685" s="531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2" t="str">
        <f t="shared" si="112"/>
        <v/>
      </c>
      <c r="E1686" s="531"/>
      <c r="F1686" s="531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2" t="str">
        <f t="shared" si="112"/>
        <v/>
      </c>
      <c r="E1687" s="531"/>
      <c r="F1687" s="531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2" t="str">
        <f t="shared" si="112"/>
        <v/>
      </c>
      <c r="E1688" s="531"/>
      <c r="F1688" s="531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2" t="str">
        <f t="shared" si="112"/>
        <v/>
      </c>
      <c r="E1689" s="531"/>
      <c r="F1689" s="531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2" t="str">
        <f t="shared" si="112"/>
        <v/>
      </c>
      <c r="E1690" s="531"/>
      <c r="F1690" s="531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2" t="str">
        <f t="shared" si="112"/>
        <v/>
      </c>
      <c r="E1691" s="531"/>
      <c r="F1691" s="531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2" t="str">
        <f t="shared" si="112"/>
        <v/>
      </c>
      <c r="E1692" s="531"/>
      <c r="F1692" s="531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2" t="str">
        <f t="shared" si="112"/>
        <v/>
      </c>
      <c r="E1693" s="531"/>
      <c r="F1693" s="531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2" t="str">
        <f t="shared" si="112"/>
        <v/>
      </c>
      <c r="E1694" s="531"/>
      <c r="F1694" s="531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2" t="str">
        <f t="shared" si="112"/>
        <v/>
      </c>
      <c r="E1695" s="531"/>
      <c r="F1695" s="531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2" t="str">
        <f t="shared" si="112"/>
        <v/>
      </c>
      <c r="E1696" s="531"/>
      <c r="F1696" s="531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2" t="str">
        <f t="shared" si="112"/>
        <v/>
      </c>
      <c r="E1697" s="531"/>
      <c r="F1697" s="531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2" t="str">
        <f t="shared" si="112"/>
        <v/>
      </c>
      <c r="E1698" s="531"/>
      <c r="F1698" s="531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2" t="str">
        <f t="shared" si="112"/>
        <v/>
      </c>
      <c r="E1699" s="531"/>
      <c r="F1699" s="531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2" t="str">
        <f t="shared" si="112"/>
        <v/>
      </c>
      <c r="E1700" s="531"/>
      <c r="F1700" s="531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2" t="str">
        <f t="shared" si="112"/>
        <v/>
      </c>
      <c r="E1701" s="531"/>
      <c r="F1701" s="531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2" t="str">
        <f t="shared" si="112"/>
        <v/>
      </c>
      <c r="E1702" s="531"/>
      <c r="F1702" s="531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2" t="str">
        <f t="shared" si="112"/>
        <v/>
      </c>
      <c r="E1703" s="531"/>
      <c r="F1703" s="531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2" t="str">
        <f t="shared" si="112"/>
        <v/>
      </c>
      <c r="E1704" s="531"/>
      <c r="F1704" s="531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2" t="str">
        <f t="shared" si="112"/>
        <v/>
      </c>
      <c r="E1705" s="531"/>
      <c r="F1705" s="531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2" t="str">
        <f t="shared" si="112"/>
        <v/>
      </c>
      <c r="E1706" s="531"/>
      <c r="F1706" s="531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2" t="str">
        <f t="shared" si="112"/>
        <v/>
      </c>
      <c r="E1707" s="531"/>
      <c r="F1707" s="531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2" t="str">
        <f t="shared" si="112"/>
        <v/>
      </c>
      <c r="E1708" s="531"/>
      <c r="F1708" s="531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2" t="str">
        <f t="shared" si="112"/>
        <v/>
      </c>
      <c r="E1709" s="531"/>
      <c r="F1709" s="531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2" t="str">
        <f t="shared" si="112"/>
        <v/>
      </c>
      <c r="E1710" s="531"/>
      <c r="F1710" s="531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2" t="str">
        <f t="shared" si="112"/>
        <v/>
      </c>
      <c r="E1711" s="531"/>
      <c r="F1711" s="531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2" t="str">
        <f t="shared" si="112"/>
        <v/>
      </c>
      <c r="E1712" s="531"/>
      <c r="F1712" s="531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2" t="str">
        <f t="shared" si="112"/>
        <v/>
      </c>
      <c r="E1713" s="531"/>
      <c r="F1713" s="531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2" t="str">
        <f t="shared" si="112"/>
        <v/>
      </c>
      <c r="E1714" s="531"/>
      <c r="F1714" s="531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2" t="str">
        <f t="shared" si="112"/>
        <v/>
      </c>
      <c r="E1715" s="531"/>
      <c r="F1715" s="531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2" t="str">
        <f t="shared" si="112"/>
        <v/>
      </c>
      <c r="E1716" s="531"/>
      <c r="F1716" s="531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2" t="str">
        <f t="shared" si="112"/>
        <v/>
      </c>
      <c r="E1717" s="531"/>
      <c r="F1717" s="531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2" t="str">
        <f t="shared" si="112"/>
        <v/>
      </c>
      <c r="E1718" s="531"/>
      <c r="F1718" s="531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2" t="str">
        <f t="shared" si="112"/>
        <v/>
      </c>
      <c r="E1719" s="531"/>
      <c r="F1719" s="531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2" t="str">
        <f t="shared" si="112"/>
        <v/>
      </c>
      <c r="E1720" s="531"/>
      <c r="F1720" s="531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2" t="str">
        <f t="shared" si="112"/>
        <v/>
      </c>
      <c r="E1721" s="531"/>
      <c r="F1721" s="531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2" t="str">
        <f t="shared" si="112"/>
        <v/>
      </c>
      <c r="E1722" s="531"/>
      <c r="F1722" s="531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2" t="str">
        <f t="shared" si="112"/>
        <v/>
      </c>
      <c r="E1723" s="531"/>
      <c r="F1723" s="531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2" t="str">
        <f t="shared" si="112"/>
        <v/>
      </c>
      <c r="E1724" s="531"/>
      <c r="F1724" s="531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2" t="str">
        <f t="shared" si="112"/>
        <v/>
      </c>
      <c r="E1725" s="531"/>
      <c r="F1725" s="531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2" t="str">
        <f t="shared" si="112"/>
        <v/>
      </c>
      <c r="E1726" s="531"/>
      <c r="F1726" s="531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2" t="str">
        <f t="shared" si="112"/>
        <v/>
      </c>
      <c r="E1727" s="531"/>
      <c r="F1727" s="531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2" t="str">
        <f t="shared" si="112"/>
        <v/>
      </c>
      <c r="E1728" s="531"/>
      <c r="F1728" s="531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2" t="str">
        <f t="shared" si="112"/>
        <v/>
      </c>
      <c r="E1729" s="531"/>
      <c r="F1729" s="531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2" t="str">
        <f t="shared" si="112"/>
        <v/>
      </c>
      <c r="E1730" s="531"/>
      <c r="F1730" s="531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2" t="str">
        <f t="shared" si="112"/>
        <v/>
      </c>
      <c r="E1731" s="531"/>
      <c r="F1731" s="531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2" t="str">
        <f t="shared" si="112"/>
        <v/>
      </c>
      <c r="E1732" s="531"/>
      <c r="F1732" s="531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2" t="str">
        <f t="shared" si="112"/>
        <v/>
      </c>
      <c r="E1733" s="531"/>
      <c r="F1733" s="531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2" t="str">
        <f t="shared" si="112"/>
        <v/>
      </c>
      <c r="E1734" s="531"/>
      <c r="F1734" s="531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2" t="str">
        <f t="shared" si="112"/>
        <v/>
      </c>
      <c r="E1735" s="531"/>
      <c r="F1735" s="531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2" t="str">
        <f t="shared" si="112"/>
        <v/>
      </c>
      <c r="E1736" s="531"/>
      <c r="F1736" s="531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2" t="str">
        <f t="shared" ref="D1737:D1800" si="115">IF(A1737&lt;&gt;"",PROPER(TEXT(A1737,"Mmmm")),"")</f>
        <v/>
      </c>
      <c r="E1737" s="531"/>
      <c r="F1737" s="531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2" t="str">
        <f t="shared" si="115"/>
        <v/>
      </c>
      <c r="E1738" s="531"/>
      <c r="F1738" s="531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2" t="str">
        <f t="shared" si="115"/>
        <v/>
      </c>
      <c r="E1739" s="531"/>
      <c r="F1739" s="531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2" t="str">
        <f t="shared" si="115"/>
        <v/>
      </c>
      <c r="E1740" s="531"/>
      <c r="F1740" s="531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2" t="str">
        <f t="shared" si="115"/>
        <v/>
      </c>
      <c r="E1741" s="531"/>
      <c r="F1741" s="531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2" t="str">
        <f t="shared" si="115"/>
        <v/>
      </c>
      <c r="E1742" s="531"/>
      <c r="F1742" s="531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2" t="str">
        <f t="shared" si="115"/>
        <v/>
      </c>
      <c r="E1743" s="531"/>
      <c r="F1743" s="531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2" t="str">
        <f t="shared" si="115"/>
        <v/>
      </c>
      <c r="E1744" s="531"/>
      <c r="F1744" s="531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2" t="str">
        <f t="shared" si="115"/>
        <v/>
      </c>
      <c r="E1745" s="531"/>
      <c r="F1745" s="531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2" t="str">
        <f t="shared" si="115"/>
        <v/>
      </c>
      <c r="E1746" s="531"/>
      <c r="F1746" s="531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2" t="str">
        <f t="shared" si="115"/>
        <v/>
      </c>
      <c r="E1747" s="531"/>
      <c r="F1747" s="531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2" t="str">
        <f t="shared" si="115"/>
        <v/>
      </c>
      <c r="E1748" s="531"/>
      <c r="F1748" s="531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2" t="str">
        <f t="shared" si="115"/>
        <v/>
      </c>
      <c r="E1749" s="531"/>
      <c r="F1749" s="531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2" t="str">
        <f t="shared" si="115"/>
        <v/>
      </c>
      <c r="E1750" s="531"/>
      <c r="F1750" s="531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2" t="str">
        <f t="shared" si="115"/>
        <v/>
      </c>
      <c r="E1751" s="531"/>
      <c r="F1751" s="531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2" t="str">
        <f t="shared" si="115"/>
        <v/>
      </c>
      <c r="E1752" s="531"/>
      <c r="F1752" s="531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2" t="str">
        <f t="shared" si="115"/>
        <v/>
      </c>
      <c r="E1753" s="531"/>
      <c r="F1753" s="531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2" t="str">
        <f t="shared" si="115"/>
        <v/>
      </c>
      <c r="E1754" s="531"/>
      <c r="F1754" s="531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2" t="str">
        <f t="shared" si="115"/>
        <v/>
      </c>
      <c r="E1755" s="531"/>
      <c r="F1755" s="531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2" t="str">
        <f t="shared" si="115"/>
        <v/>
      </c>
      <c r="E1756" s="531"/>
      <c r="F1756" s="531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2" t="str">
        <f t="shared" si="115"/>
        <v/>
      </c>
      <c r="E1757" s="531"/>
      <c r="F1757" s="531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2" t="str">
        <f t="shared" si="115"/>
        <v/>
      </c>
      <c r="E1758" s="531"/>
      <c r="F1758" s="531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2" t="str">
        <f t="shared" si="115"/>
        <v/>
      </c>
      <c r="E1759" s="531"/>
      <c r="F1759" s="531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2" t="str">
        <f t="shared" si="115"/>
        <v/>
      </c>
      <c r="E1760" s="531"/>
      <c r="F1760" s="531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2" t="str">
        <f t="shared" si="115"/>
        <v/>
      </c>
      <c r="E1761" s="531"/>
      <c r="F1761" s="531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2" t="str">
        <f t="shared" si="115"/>
        <v/>
      </c>
      <c r="E1762" s="531"/>
      <c r="F1762" s="531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2" t="str">
        <f t="shared" si="115"/>
        <v/>
      </c>
      <c r="E1763" s="531"/>
      <c r="F1763" s="531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2" t="str">
        <f t="shared" si="115"/>
        <v/>
      </c>
      <c r="E1764" s="531"/>
      <c r="F1764" s="531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2" t="str">
        <f t="shared" si="115"/>
        <v/>
      </c>
      <c r="E1765" s="531"/>
      <c r="F1765" s="531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2" t="str">
        <f t="shared" si="115"/>
        <v/>
      </c>
      <c r="E1766" s="531"/>
      <c r="F1766" s="531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2" t="str">
        <f t="shared" si="115"/>
        <v/>
      </c>
      <c r="E1767" s="531"/>
      <c r="F1767" s="531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2" t="str">
        <f t="shared" si="115"/>
        <v/>
      </c>
      <c r="E1768" s="531"/>
      <c r="F1768" s="531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2" t="str">
        <f t="shared" si="115"/>
        <v/>
      </c>
      <c r="E1769" s="531"/>
      <c r="F1769" s="531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2" t="str">
        <f t="shared" si="115"/>
        <v/>
      </c>
      <c r="E1770" s="531"/>
      <c r="F1770" s="531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2" t="str">
        <f t="shared" si="115"/>
        <v/>
      </c>
      <c r="E1771" s="531"/>
      <c r="F1771" s="531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2" t="str">
        <f t="shared" si="115"/>
        <v/>
      </c>
      <c r="E1772" s="531"/>
      <c r="F1772" s="531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2" t="str">
        <f t="shared" si="115"/>
        <v/>
      </c>
      <c r="E1773" s="531"/>
      <c r="F1773" s="531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2" t="str">
        <f t="shared" si="115"/>
        <v/>
      </c>
      <c r="E1774" s="531"/>
      <c r="F1774" s="531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2" t="str">
        <f t="shared" si="115"/>
        <v/>
      </c>
      <c r="E1775" s="531"/>
      <c r="F1775" s="531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2" t="str">
        <f t="shared" si="115"/>
        <v/>
      </c>
      <c r="E1776" s="531"/>
      <c r="F1776" s="531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2" t="str">
        <f t="shared" si="115"/>
        <v/>
      </c>
      <c r="E1777" s="531"/>
      <c r="F1777" s="531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2" t="str">
        <f t="shared" si="115"/>
        <v/>
      </c>
      <c r="E1778" s="531"/>
      <c r="F1778" s="531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2" t="str">
        <f t="shared" si="115"/>
        <v/>
      </c>
      <c r="E1779" s="531"/>
      <c r="F1779" s="531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2" t="str">
        <f t="shared" si="115"/>
        <v/>
      </c>
      <c r="E1780" s="531"/>
      <c r="F1780" s="531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2" t="str">
        <f t="shared" si="115"/>
        <v/>
      </c>
      <c r="E1781" s="531"/>
      <c r="F1781" s="531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2" t="str">
        <f t="shared" si="115"/>
        <v/>
      </c>
      <c r="E1782" s="531"/>
      <c r="F1782" s="531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2" t="str">
        <f t="shared" si="115"/>
        <v/>
      </c>
      <c r="E1783" s="531"/>
      <c r="F1783" s="531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2" t="str">
        <f t="shared" si="115"/>
        <v/>
      </c>
      <c r="E1784" s="531"/>
      <c r="F1784" s="531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2" t="str">
        <f t="shared" si="115"/>
        <v/>
      </c>
      <c r="E1785" s="531"/>
      <c r="F1785" s="531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2" t="str">
        <f t="shared" si="115"/>
        <v/>
      </c>
      <c r="E1786" s="531"/>
      <c r="F1786" s="531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2" t="str">
        <f t="shared" si="115"/>
        <v/>
      </c>
      <c r="E1787" s="531"/>
      <c r="F1787" s="531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2" t="str">
        <f t="shared" si="115"/>
        <v/>
      </c>
      <c r="E1788" s="531"/>
      <c r="F1788" s="531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2" t="str">
        <f t="shared" si="115"/>
        <v/>
      </c>
      <c r="E1789" s="531"/>
      <c r="F1789" s="531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2" t="str">
        <f t="shared" si="115"/>
        <v/>
      </c>
      <c r="E1790" s="531"/>
      <c r="F1790" s="531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2" t="str">
        <f t="shared" si="115"/>
        <v/>
      </c>
      <c r="E1791" s="531"/>
      <c r="F1791" s="531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2" t="str">
        <f t="shared" si="115"/>
        <v/>
      </c>
      <c r="E1792" s="531"/>
      <c r="F1792" s="531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2" t="str">
        <f t="shared" si="115"/>
        <v/>
      </c>
      <c r="E1793" s="531"/>
      <c r="F1793" s="531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2" t="str">
        <f t="shared" si="115"/>
        <v/>
      </c>
      <c r="E1794" s="531"/>
      <c r="F1794" s="531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2" t="str">
        <f t="shared" si="115"/>
        <v/>
      </c>
      <c r="E1795" s="531"/>
      <c r="F1795" s="531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2" t="str">
        <f t="shared" si="115"/>
        <v/>
      </c>
      <c r="E1796" s="531"/>
      <c r="F1796" s="531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2" t="str">
        <f t="shared" si="115"/>
        <v/>
      </c>
      <c r="E1797" s="531"/>
      <c r="F1797" s="531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2" t="str">
        <f t="shared" si="115"/>
        <v/>
      </c>
      <c r="E1798" s="531"/>
      <c r="F1798" s="531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2" t="str">
        <f t="shared" si="115"/>
        <v/>
      </c>
      <c r="E1799" s="531"/>
      <c r="F1799" s="531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2" t="str">
        <f t="shared" si="115"/>
        <v/>
      </c>
      <c r="E1800" s="531"/>
      <c r="F1800" s="531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2" t="str">
        <f t="shared" ref="D1801:D1864" si="118">IF(A1801&lt;&gt;"",PROPER(TEXT(A1801,"Mmmm")),"")</f>
        <v/>
      </c>
      <c r="E1801" s="531"/>
      <c r="F1801" s="531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2" t="str">
        <f t="shared" si="118"/>
        <v/>
      </c>
      <c r="E1802" s="531"/>
      <c r="F1802" s="531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2" t="str">
        <f t="shared" si="118"/>
        <v/>
      </c>
      <c r="E1803" s="531"/>
      <c r="F1803" s="531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2" t="str">
        <f t="shared" si="118"/>
        <v/>
      </c>
      <c r="E1804" s="531"/>
      <c r="F1804" s="531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2" t="str">
        <f t="shared" si="118"/>
        <v/>
      </c>
      <c r="E1805" s="531"/>
      <c r="F1805" s="531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2" t="str">
        <f t="shared" si="118"/>
        <v/>
      </c>
      <c r="E1806" s="531"/>
      <c r="F1806" s="531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2" t="str">
        <f t="shared" si="118"/>
        <v/>
      </c>
      <c r="E1807" s="531"/>
      <c r="F1807" s="531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2" t="str">
        <f t="shared" si="118"/>
        <v/>
      </c>
      <c r="E1808" s="531"/>
      <c r="F1808" s="531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2" t="str">
        <f t="shared" si="118"/>
        <v/>
      </c>
      <c r="E1809" s="531"/>
      <c r="F1809" s="531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2" t="str">
        <f t="shared" si="118"/>
        <v/>
      </c>
      <c r="E1810" s="531"/>
      <c r="F1810" s="531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2" t="str">
        <f t="shared" si="118"/>
        <v/>
      </c>
      <c r="E1811" s="531"/>
      <c r="F1811" s="531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2" t="str">
        <f t="shared" si="118"/>
        <v/>
      </c>
      <c r="E1812" s="531"/>
      <c r="F1812" s="531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2" t="str">
        <f t="shared" si="118"/>
        <v/>
      </c>
      <c r="E1813" s="531"/>
      <c r="F1813" s="531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2" t="str">
        <f t="shared" si="118"/>
        <v/>
      </c>
      <c r="E1814" s="531"/>
      <c r="F1814" s="531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2" t="str">
        <f t="shared" si="118"/>
        <v/>
      </c>
      <c r="E1815" s="531"/>
      <c r="F1815" s="531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2" t="str">
        <f t="shared" si="118"/>
        <v/>
      </c>
      <c r="E1816" s="531"/>
      <c r="F1816" s="531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2" t="str">
        <f t="shared" si="118"/>
        <v/>
      </c>
      <c r="E1817" s="531"/>
      <c r="F1817" s="531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2" t="str">
        <f t="shared" si="118"/>
        <v/>
      </c>
      <c r="E1818" s="531"/>
      <c r="F1818" s="531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2" t="str">
        <f t="shared" si="118"/>
        <v/>
      </c>
      <c r="E1819" s="531"/>
      <c r="F1819" s="531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2" t="str">
        <f t="shared" si="118"/>
        <v/>
      </c>
      <c r="E1820" s="531"/>
      <c r="F1820" s="531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2" t="str">
        <f t="shared" si="118"/>
        <v/>
      </c>
      <c r="E1821" s="531"/>
      <c r="F1821" s="531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2" t="str">
        <f t="shared" si="118"/>
        <v/>
      </c>
      <c r="E1822" s="531"/>
      <c r="F1822" s="531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2" t="str">
        <f t="shared" si="118"/>
        <v/>
      </c>
      <c r="E1823" s="531"/>
      <c r="F1823" s="531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2" t="str">
        <f t="shared" si="118"/>
        <v/>
      </c>
      <c r="E1824" s="531"/>
      <c r="F1824" s="531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2" t="str">
        <f t="shared" si="118"/>
        <v/>
      </c>
      <c r="E1825" s="531"/>
      <c r="F1825" s="531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2" t="str">
        <f t="shared" si="118"/>
        <v/>
      </c>
      <c r="E1826" s="531"/>
      <c r="F1826" s="531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2" t="str">
        <f t="shared" si="118"/>
        <v/>
      </c>
      <c r="E1827" s="531"/>
      <c r="F1827" s="531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2" t="str">
        <f t="shared" si="118"/>
        <v/>
      </c>
      <c r="E1828" s="531"/>
      <c r="F1828" s="531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2" t="str">
        <f t="shared" si="118"/>
        <v/>
      </c>
      <c r="E1829" s="531"/>
      <c r="F1829" s="531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2" t="str">
        <f t="shared" si="118"/>
        <v/>
      </c>
      <c r="E1830" s="531"/>
      <c r="F1830" s="531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2" t="str">
        <f t="shared" si="118"/>
        <v/>
      </c>
      <c r="E1831" s="531"/>
      <c r="F1831" s="531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2" t="str">
        <f t="shared" si="118"/>
        <v/>
      </c>
      <c r="E1832" s="531"/>
      <c r="F1832" s="531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2" t="str">
        <f t="shared" si="118"/>
        <v/>
      </c>
      <c r="E1833" s="531"/>
      <c r="F1833" s="531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2" t="str">
        <f t="shared" si="118"/>
        <v/>
      </c>
      <c r="E1834" s="531"/>
      <c r="F1834" s="531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2" t="str">
        <f t="shared" si="118"/>
        <v/>
      </c>
      <c r="E1835" s="531"/>
      <c r="F1835" s="531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2" t="str">
        <f t="shared" si="118"/>
        <v/>
      </c>
      <c r="E1836" s="531"/>
      <c r="F1836" s="531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2" t="str">
        <f t="shared" si="118"/>
        <v/>
      </c>
      <c r="E1837" s="531"/>
      <c r="F1837" s="531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2" t="str">
        <f t="shared" si="118"/>
        <v/>
      </c>
      <c r="E1838" s="531"/>
      <c r="F1838" s="531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2" t="str">
        <f t="shared" si="118"/>
        <v/>
      </c>
      <c r="E1839" s="531"/>
      <c r="F1839" s="531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2" t="str">
        <f t="shared" si="118"/>
        <v/>
      </c>
      <c r="E1840" s="531"/>
      <c r="F1840" s="531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2" t="str">
        <f t="shared" si="118"/>
        <v/>
      </c>
      <c r="E1841" s="531"/>
      <c r="F1841" s="531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2" t="str">
        <f t="shared" si="118"/>
        <v/>
      </c>
      <c r="E1842" s="531"/>
      <c r="F1842" s="531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2" t="str">
        <f t="shared" si="118"/>
        <v/>
      </c>
      <c r="E1843" s="531"/>
      <c r="F1843" s="531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2" t="str">
        <f t="shared" si="118"/>
        <v/>
      </c>
      <c r="E1844" s="531"/>
      <c r="F1844" s="531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2" t="str">
        <f t="shared" si="118"/>
        <v/>
      </c>
      <c r="E1845" s="531"/>
      <c r="F1845" s="531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2" t="str">
        <f t="shared" si="118"/>
        <v/>
      </c>
      <c r="E1846" s="531"/>
      <c r="F1846" s="531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2" t="str">
        <f t="shared" si="118"/>
        <v/>
      </c>
      <c r="E1847" s="531"/>
      <c r="F1847" s="531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2" t="str">
        <f t="shared" si="118"/>
        <v/>
      </c>
      <c r="E1848" s="531"/>
      <c r="F1848" s="531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2" t="str">
        <f t="shared" si="118"/>
        <v/>
      </c>
      <c r="E1849" s="531"/>
      <c r="F1849" s="531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2" t="str">
        <f t="shared" si="118"/>
        <v/>
      </c>
      <c r="E1850" s="531"/>
      <c r="F1850" s="531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2" t="str">
        <f t="shared" si="118"/>
        <v/>
      </c>
      <c r="E1851" s="531"/>
      <c r="F1851" s="531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2" t="str">
        <f t="shared" si="118"/>
        <v/>
      </c>
      <c r="E1852" s="531"/>
      <c r="F1852" s="531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2" t="str">
        <f t="shared" si="118"/>
        <v/>
      </c>
      <c r="E1853" s="531"/>
      <c r="F1853" s="531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2" t="str">
        <f t="shared" si="118"/>
        <v/>
      </c>
      <c r="E1854" s="531"/>
      <c r="F1854" s="531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2" t="str">
        <f t="shared" si="118"/>
        <v/>
      </c>
      <c r="E1855" s="531"/>
      <c r="F1855" s="531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2" t="str">
        <f t="shared" si="118"/>
        <v/>
      </c>
      <c r="E1856" s="531"/>
      <c r="F1856" s="531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2" t="str">
        <f t="shared" si="118"/>
        <v/>
      </c>
      <c r="E1857" s="531"/>
      <c r="F1857" s="531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2" t="str">
        <f t="shared" si="118"/>
        <v/>
      </c>
      <c r="E1858" s="531"/>
      <c r="F1858" s="531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2" t="str">
        <f t="shared" si="118"/>
        <v/>
      </c>
      <c r="E1859" s="531"/>
      <c r="F1859" s="531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2" t="str">
        <f t="shared" si="118"/>
        <v/>
      </c>
      <c r="E1860" s="531"/>
      <c r="F1860" s="531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2" t="str">
        <f t="shared" si="118"/>
        <v/>
      </c>
      <c r="E1861" s="531"/>
      <c r="F1861" s="531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2" t="str">
        <f t="shared" si="118"/>
        <v/>
      </c>
      <c r="E1862" s="531"/>
      <c r="F1862" s="531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2" t="str">
        <f t="shared" si="118"/>
        <v/>
      </c>
      <c r="E1863" s="531"/>
      <c r="F1863" s="531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2" t="str">
        <f t="shared" si="118"/>
        <v/>
      </c>
      <c r="E1864" s="531"/>
      <c r="F1864" s="531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2" t="str">
        <f t="shared" ref="D1865:D1928" si="121">IF(A1865&lt;&gt;"",PROPER(TEXT(A1865,"Mmmm")),"")</f>
        <v/>
      </c>
      <c r="E1865" s="531"/>
      <c r="F1865" s="531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2" t="str">
        <f t="shared" si="121"/>
        <v/>
      </c>
      <c r="E1866" s="531"/>
      <c r="F1866" s="531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2" t="str">
        <f t="shared" si="121"/>
        <v/>
      </c>
      <c r="E1867" s="531"/>
      <c r="F1867" s="531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2" t="str">
        <f t="shared" si="121"/>
        <v/>
      </c>
      <c r="E1868" s="531"/>
      <c r="F1868" s="531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2" t="str">
        <f t="shared" si="121"/>
        <v/>
      </c>
      <c r="E1869" s="531"/>
      <c r="F1869" s="531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2" t="str">
        <f t="shared" si="121"/>
        <v/>
      </c>
      <c r="E1870" s="531"/>
      <c r="F1870" s="531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2" t="str">
        <f t="shared" si="121"/>
        <v/>
      </c>
      <c r="E1871" s="531"/>
      <c r="F1871" s="531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2" t="str">
        <f t="shared" si="121"/>
        <v/>
      </c>
      <c r="E1872" s="531"/>
      <c r="F1872" s="531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2" t="str">
        <f t="shared" si="121"/>
        <v/>
      </c>
      <c r="E1873" s="531"/>
      <c r="F1873" s="531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2" t="str">
        <f t="shared" si="121"/>
        <v/>
      </c>
      <c r="E1874" s="531"/>
      <c r="F1874" s="531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2" t="str">
        <f t="shared" si="121"/>
        <v/>
      </c>
      <c r="E1875" s="531"/>
      <c r="F1875" s="531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2" t="str">
        <f t="shared" si="121"/>
        <v/>
      </c>
      <c r="E1876" s="531"/>
      <c r="F1876" s="531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2" t="str">
        <f t="shared" si="121"/>
        <v/>
      </c>
      <c r="E1877" s="531"/>
      <c r="F1877" s="531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2" t="str">
        <f t="shared" si="121"/>
        <v/>
      </c>
      <c r="E1878" s="531"/>
      <c r="F1878" s="531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2" t="str">
        <f t="shared" si="121"/>
        <v/>
      </c>
      <c r="E1879" s="531"/>
      <c r="F1879" s="531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2" t="str">
        <f t="shared" si="121"/>
        <v/>
      </c>
      <c r="E1880" s="531"/>
      <c r="F1880" s="531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2" t="str">
        <f t="shared" si="121"/>
        <v/>
      </c>
      <c r="E1881" s="531"/>
      <c r="F1881" s="531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2" t="str">
        <f t="shared" si="121"/>
        <v/>
      </c>
      <c r="E1882" s="531"/>
      <c r="F1882" s="531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2" t="str">
        <f t="shared" si="121"/>
        <v/>
      </c>
      <c r="E1883" s="531"/>
      <c r="F1883" s="531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2" t="str">
        <f t="shared" si="121"/>
        <v/>
      </c>
      <c r="E1884" s="531"/>
      <c r="F1884" s="531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2" t="str">
        <f t="shared" si="121"/>
        <v/>
      </c>
      <c r="E1885" s="531"/>
      <c r="F1885" s="531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2" t="str">
        <f t="shared" si="121"/>
        <v/>
      </c>
      <c r="E1886" s="531"/>
      <c r="F1886" s="531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2" t="str">
        <f t="shared" si="121"/>
        <v/>
      </c>
      <c r="E1887" s="531"/>
      <c r="F1887" s="531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2" t="str">
        <f t="shared" si="121"/>
        <v/>
      </c>
      <c r="E1888" s="531"/>
      <c r="F1888" s="531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2" t="str">
        <f t="shared" si="121"/>
        <v/>
      </c>
      <c r="E1889" s="531"/>
      <c r="F1889" s="531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2" t="str">
        <f t="shared" si="121"/>
        <v/>
      </c>
      <c r="E1890" s="531"/>
      <c r="F1890" s="531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2" t="str">
        <f t="shared" si="121"/>
        <v/>
      </c>
      <c r="E1891" s="531"/>
      <c r="F1891" s="531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2" t="str">
        <f t="shared" si="121"/>
        <v/>
      </c>
      <c r="E1892" s="531"/>
      <c r="F1892" s="531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2" t="str">
        <f t="shared" si="121"/>
        <v/>
      </c>
      <c r="E1893" s="531"/>
      <c r="F1893" s="531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2" t="str">
        <f t="shared" si="121"/>
        <v/>
      </c>
      <c r="E1894" s="531"/>
      <c r="F1894" s="531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2" t="str">
        <f t="shared" si="121"/>
        <v/>
      </c>
      <c r="E1895" s="531"/>
      <c r="F1895" s="531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2" t="str">
        <f t="shared" si="121"/>
        <v/>
      </c>
      <c r="E1896" s="531"/>
      <c r="F1896" s="531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2" t="str">
        <f t="shared" si="121"/>
        <v/>
      </c>
      <c r="E1897" s="531"/>
      <c r="F1897" s="531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2" t="str">
        <f t="shared" si="121"/>
        <v/>
      </c>
      <c r="E1898" s="531"/>
      <c r="F1898" s="531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2" t="str">
        <f t="shared" si="121"/>
        <v/>
      </c>
      <c r="E1899" s="531"/>
      <c r="F1899" s="531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2" t="str">
        <f t="shared" si="121"/>
        <v/>
      </c>
      <c r="E1900" s="531"/>
      <c r="F1900" s="531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2" t="str">
        <f t="shared" si="121"/>
        <v/>
      </c>
      <c r="E1901" s="531"/>
      <c r="F1901" s="531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2" t="str">
        <f t="shared" si="121"/>
        <v/>
      </c>
      <c r="E1902" s="531"/>
      <c r="F1902" s="531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2" t="str">
        <f t="shared" si="121"/>
        <v/>
      </c>
      <c r="E1903" s="531"/>
      <c r="F1903" s="531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2" t="str">
        <f t="shared" si="121"/>
        <v/>
      </c>
      <c r="E1904" s="531"/>
      <c r="F1904" s="531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2" t="str">
        <f t="shared" si="121"/>
        <v/>
      </c>
      <c r="E1905" s="531"/>
      <c r="F1905" s="531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2" t="str">
        <f t="shared" si="121"/>
        <v/>
      </c>
      <c r="E1906" s="531"/>
      <c r="F1906" s="531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2" t="str">
        <f t="shared" si="121"/>
        <v/>
      </c>
      <c r="E1907" s="531"/>
      <c r="F1907" s="531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2" t="str">
        <f t="shared" si="121"/>
        <v/>
      </c>
      <c r="E1908" s="531"/>
      <c r="F1908" s="531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2" t="str">
        <f t="shared" si="121"/>
        <v/>
      </c>
      <c r="E1909" s="531"/>
      <c r="F1909" s="531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2" t="str">
        <f t="shared" si="121"/>
        <v/>
      </c>
      <c r="E1910" s="531"/>
      <c r="F1910" s="531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2" t="str">
        <f t="shared" si="121"/>
        <v/>
      </c>
      <c r="E1911" s="531"/>
      <c r="F1911" s="531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2" t="str">
        <f t="shared" si="121"/>
        <v/>
      </c>
      <c r="E1912" s="531"/>
      <c r="F1912" s="531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2" t="str">
        <f t="shared" si="121"/>
        <v/>
      </c>
      <c r="E1913" s="531"/>
      <c r="F1913" s="531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2" t="str">
        <f t="shared" si="121"/>
        <v/>
      </c>
      <c r="E1914" s="531"/>
      <c r="F1914" s="531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2" t="str">
        <f t="shared" si="121"/>
        <v/>
      </c>
      <c r="E1915" s="531"/>
      <c r="F1915" s="531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2" t="str">
        <f t="shared" si="121"/>
        <v/>
      </c>
      <c r="E1916" s="531"/>
      <c r="F1916" s="531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2" t="str">
        <f t="shared" si="121"/>
        <v/>
      </c>
      <c r="E1917" s="531"/>
      <c r="F1917" s="531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2" t="str">
        <f t="shared" si="121"/>
        <v/>
      </c>
      <c r="E1918" s="531"/>
      <c r="F1918" s="531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2" t="str">
        <f t="shared" si="121"/>
        <v/>
      </c>
      <c r="E1919" s="531"/>
      <c r="F1919" s="531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2" t="str">
        <f t="shared" si="121"/>
        <v/>
      </c>
      <c r="E1920" s="531"/>
      <c r="F1920" s="531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2" t="str">
        <f t="shared" si="121"/>
        <v/>
      </c>
      <c r="E1921" s="531"/>
      <c r="F1921" s="531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2" t="str">
        <f t="shared" si="121"/>
        <v/>
      </c>
      <c r="E1922" s="531"/>
      <c r="F1922" s="531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2" t="str">
        <f t="shared" si="121"/>
        <v/>
      </c>
      <c r="E1923" s="531"/>
      <c r="F1923" s="531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2" t="str">
        <f t="shared" si="121"/>
        <v/>
      </c>
      <c r="E1924" s="531"/>
      <c r="F1924" s="531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2" t="str">
        <f t="shared" si="121"/>
        <v/>
      </c>
      <c r="E1925" s="531"/>
      <c r="F1925" s="531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2" t="str">
        <f t="shared" si="121"/>
        <v/>
      </c>
      <c r="E1926" s="531"/>
      <c r="F1926" s="531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2" t="str">
        <f t="shared" si="121"/>
        <v/>
      </c>
      <c r="E1927" s="531"/>
      <c r="F1927" s="531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2" t="str">
        <f t="shared" si="121"/>
        <v/>
      </c>
      <c r="E1928" s="531"/>
      <c r="F1928" s="531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2" t="str">
        <f t="shared" ref="D1929:D1992" si="124">IF(A1929&lt;&gt;"",PROPER(TEXT(A1929,"Mmmm")),"")</f>
        <v/>
      </c>
      <c r="E1929" s="531"/>
      <c r="F1929" s="531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2" t="str">
        <f t="shared" si="124"/>
        <v/>
      </c>
      <c r="E1930" s="531"/>
      <c r="F1930" s="531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2" t="str">
        <f t="shared" si="124"/>
        <v/>
      </c>
      <c r="E1931" s="531"/>
      <c r="F1931" s="531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2" t="str">
        <f t="shared" si="124"/>
        <v/>
      </c>
      <c r="E1932" s="531"/>
      <c r="F1932" s="531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2" t="str">
        <f t="shared" si="124"/>
        <v/>
      </c>
      <c r="E1933" s="531"/>
      <c r="F1933" s="531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2" t="str">
        <f t="shared" si="124"/>
        <v/>
      </c>
      <c r="E1934" s="531"/>
      <c r="F1934" s="531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2" t="str">
        <f t="shared" si="124"/>
        <v/>
      </c>
      <c r="E1935" s="531"/>
      <c r="F1935" s="531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2" t="str">
        <f t="shared" si="124"/>
        <v/>
      </c>
      <c r="E1936" s="531"/>
      <c r="F1936" s="531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2" t="str">
        <f t="shared" si="124"/>
        <v/>
      </c>
      <c r="E1937" s="531"/>
      <c r="F1937" s="531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2" t="str">
        <f t="shared" si="124"/>
        <v/>
      </c>
      <c r="E1938" s="531"/>
      <c r="F1938" s="531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2" t="str">
        <f t="shared" si="124"/>
        <v/>
      </c>
      <c r="E1939" s="531"/>
      <c r="F1939" s="531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2" t="str">
        <f t="shared" si="124"/>
        <v/>
      </c>
      <c r="E1940" s="531"/>
      <c r="F1940" s="531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2" t="str">
        <f t="shared" si="124"/>
        <v/>
      </c>
      <c r="E1941" s="531"/>
      <c r="F1941" s="531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2" t="str">
        <f t="shared" si="124"/>
        <v/>
      </c>
      <c r="E1942" s="531"/>
      <c r="F1942" s="531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2" t="str">
        <f t="shared" si="124"/>
        <v/>
      </c>
      <c r="E1943" s="531"/>
      <c r="F1943" s="531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2" t="str">
        <f t="shared" si="124"/>
        <v/>
      </c>
      <c r="E1944" s="531"/>
      <c r="F1944" s="531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2" t="str">
        <f t="shared" si="124"/>
        <v/>
      </c>
      <c r="E1945" s="531"/>
      <c r="F1945" s="531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2" t="str">
        <f t="shared" si="124"/>
        <v/>
      </c>
      <c r="E1946" s="531"/>
      <c r="F1946" s="531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2" t="str">
        <f t="shared" si="124"/>
        <v/>
      </c>
      <c r="E1947" s="531"/>
      <c r="F1947" s="531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2" t="str">
        <f t="shared" si="124"/>
        <v/>
      </c>
      <c r="E1948" s="531"/>
      <c r="F1948" s="531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2" t="str">
        <f t="shared" si="124"/>
        <v/>
      </c>
      <c r="E1949" s="531"/>
      <c r="F1949" s="531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2" t="str">
        <f t="shared" si="124"/>
        <v/>
      </c>
      <c r="E1950" s="531"/>
      <c r="F1950" s="531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2" t="str">
        <f t="shared" si="124"/>
        <v/>
      </c>
      <c r="E1951" s="531"/>
      <c r="F1951" s="531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2" t="str">
        <f t="shared" si="124"/>
        <v/>
      </c>
      <c r="E1952" s="531"/>
      <c r="F1952" s="531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2" t="str">
        <f t="shared" si="124"/>
        <v/>
      </c>
      <c r="E1953" s="531"/>
      <c r="F1953" s="531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2" t="str">
        <f t="shared" si="124"/>
        <v/>
      </c>
      <c r="E1954" s="531"/>
      <c r="F1954" s="531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2" t="str">
        <f t="shared" si="124"/>
        <v/>
      </c>
      <c r="E1955" s="531"/>
      <c r="F1955" s="531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2" t="str">
        <f t="shared" si="124"/>
        <v/>
      </c>
      <c r="E1956" s="531"/>
      <c r="F1956" s="531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2" t="str">
        <f t="shared" si="124"/>
        <v/>
      </c>
      <c r="E1957" s="531"/>
      <c r="F1957" s="531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2" t="str">
        <f t="shared" si="124"/>
        <v/>
      </c>
      <c r="E1958" s="531"/>
      <c r="F1958" s="531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2" t="str">
        <f t="shared" si="124"/>
        <v/>
      </c>
      <c r="E1959" s="531"/>
      <c r="F1959" s="531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2" t="str">
        <f t="shared" si="124"/>
        <v/>
      </c>
      <c r="E1960" s="531"/>
      <c r="F1960" s="531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2" t="str">
        <f t="shared" si="124"/>
        <v/>
      </c>
      <c r="E1961" s="531"/>
      <c r="F1961" s="531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2" t="str">
        <f t="shared" si="124"/>
        <v/>
      </c>
      <c r="E1962" s="531"/>
      <c r="F1962" s="531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2" t="str">
        <f t="shared" si="124"/>
        <v/>
      </c>
      <c r="E1963" s="531"/>
      <c r="F1963" s="531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2" t="str">
        <f t="shared" si="124"/>
        <v/>
      </c>
      <c r="E1964" s="531"/>
      <c r="F1964" s="531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2" t="str">
        <f t="shared" si="124"/>
        <v/>
      </c>
      <c r="E1965" s="531"/>
      <c r="F1965" s="531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2" t="str">
        <f t="shared" si="124"/>
        <v/>
      </c>
      <c r="E1966" s="531"/>
      <c r="F1966" s="531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2" t="str">
        <f t="shared" si="124"/>
        <v/>
      </c>
      <c r="E1967" s="531"/>
      <c r="F1967" s="531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2" t="str">
        <f t="shared" si="124"/>
        <v/>
      </c>
      <c r="E1968" s="531"/>
      <c r="F1968" s="531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2" t="str">
        <f t="shared" si="124"/>
        <v/>
      </c>
      <c r="E1969" s="531"/>
      <c r="F1969" s="531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2" t="str">
        <f t="shared" si="124"/>
        <v/>
      </c>
      <c r="E1970" s="531"/>
      <c r="F1970" s="531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2" t="str">
        <f t="shared" si="124"/>
        <v/>
      </c>
      <c r="E1971" s="531"/>
      <c r="F1971" s="531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2" t="str">
        <f t="shared" si="124"/>
        <v/>
      </c>
      <c r="E1972" s="531"/>
      <c r="F1972" s="531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2" t="str">
        <f t="shared" si="124"/>
        <v/>
      </c>
      <c r="E1973" s="531"/>
      <c r="F1973" s="531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2" t="str">
        <f t="shared" si="124"/>
        <v/>
      </c>
      <c r="E1974" s="531"/>
      <c r="F1974" s="531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2" t="str">
        <f t="shared" si="124"/>
        <v/>
      </c>
      <c r="E1975" s="531"/>
      <c r="F1975" s="531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2" t="str">
        <f t="shared" si="124"/>
        <v/>
      </c>
      <c r="E1976" s="531"/>
      <c r="F1976" s="531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2" t="str">
        <f t="shared" si="124"/>
        <v/>
      </c>
      <c r="E1977" s="531"/>
      <c r="F1977" s="531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2" t="str">
        <f t="shared" si="124"/>
        <v/>
      </c>
      <c r="E1978" s="531"/>
      <c r="F1978" s="531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2" t="str">
        <f t="shared" si="124"/>
        <v/>
      </c>
      <c r="E1979" s="531"/>
      <c r="F1979" s="531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2" t="str">
        <f t="shared" si="124"/>
        <v/>
      </c>
      <c r="E1980" s="531"/>
      <c r="F1980" s="531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2" t="str">
        <f t="shared" si="124"/>
        <v/>
      </c>
      <c r="E1981" s="531"/>
      <c r="F1981" s="531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2" t="str">
        <f t="shared" si="124"/>
        <v/>
      </c>
      <c r="E1982" s="531"/>
      <c r="F1982" s="531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2" t="str">
        <f t="shared" si="124"/>
        <v/>
      </c>
      <c r="E1983" s="531"/>
      <c r="F1983" s="531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2" t="str">
        <f t="shared" si="124"/>
        <v/>
      </c>
      <c r="E1984" s="531"/>
      <c r="F1984" s="531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2" t="str">
        <f t="shared" si="124"/>
        <v/>
      </c>
      <c r="E1985" s="531"/>
      <c r="F1985" s="531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2" t="str">
        <f t="shared" si="124"/>
        <v/>
      </c>
      <c r="E1986" s="531"/>
      <c r="F1986" s="531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2" t="str">
        <f t="shared" si="124"/>
        <v/>
      </c>
      <c r="E1987" s="531"/>
      <c r="F1987" s="531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2" t="str">
        <f t="shared" si="124"/>
        <v/>
      </c>
      <c r="E1988" s="531"/>
      <c r="F1988" s="531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2" t="str">
        <f t="shared" si="124"/>
        <v/>
      </c>
      <c r="E1989" s="531"/>
      <c r="F1989" s="531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2" t="str">
        <f t="shared" si="124"/>
        <v/>
      </c>
      <c r="E1990" s="531"/>
      <c r="F1990" s="531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2" t="str">
        <f t="shared" si="124"/>
        <v/>
      </c>
      <c r="E1991" s="531"/>
      <c r="F1991" s="531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2" t="str">
        <f t="shared" si="124"/>
        <v/>
      </c>
      <c r="E1992" s="531"/>
      <c r="F1992" s="531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2" t="str">
        <f t="shared" ref="D1993:D2056" si="127">IF(A1993&lt;&gt;"",PROPER(TEXT(A1993,"Mmmm")),"")</f>
        <v/>
      </c>
      <c r="E1993" s="531"/>
      <c r="F1993" s="531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2" t="str">
        <f t="shared" si="127"/>
        <v/>
      </c>
      <c r="E1994" s="531"/>
      <c r="F1994" s="531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2" t="str">
        <f t="shared" si="127"/>
        <v/>
      </c>
      <c r="E1995" s="531"/>
      <c r="F1995" s="531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2" t="str">
        <f t="shared" si="127"/>
        <v/>
      </c>
      <c r="E1996" s="531"/>
      <c r="F1996" s="531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2" t="str">
        <f t="shared" si="127"/>
        <v/>
      </c>
      <c r="E1997" s="531"/>
      <c r="F1997" s="531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2" t="str">
        <f t="shared" si="127"/>
        <v/>
      </c>
      <c r="E1998" s="531"/>
      <c r="F1998" s="531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2" t="str">
        <f t="shared" si="127"/>
        <v/>
      </c>
      <c r="E1999" s="531"/>
      <c r="F1999" s="531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2" t="str">
        <f t="shared" si="127"/>
        <v/>
      </c>
      <c r="E2000" s="531"/>
      <c r="F2000" s="531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2" t="str">
        <f t="shared" si="127"/>
        <v/>
      </c>
      <c r="E2001" s="531"/>
      <c r="F2001" s="531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2" t="str">
        <f t="shared" si="127"/>
        <v/>
      </c>
      <c r="E2002" s="531"/>
      <c r="F2002" s="531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2" t="str">
        <f t="shared" si="127"/>
        <v/>
      </c>
      <c r="E2003" s="531"/>
      <c r="F2003" s="531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2" t="str">
        <f t="shared" si="127"/>
        <v/>
      </c>
      <c r="E2004" s="531"/>
      <c r="F2004" s="531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2" t="str">
        <f t="shared" si="127"/>
        <v/>
      </c>
      <c r="E2005" s="531"/>
      <c r="F2005" s="531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2" t="str">
        <f t="shared" si="127"/>
        <v/>
      </c>
      <c r="E2006" s="531"/>
      <c r="F2006" s="531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2" t="str">
        <f t="shared" si="127"/>
        <v/>
      </c>
      <c r="E2007" s="531"/>
      <c r="F2007" s="531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2" t="str">
        <f t="shared" si="127"/>
        <v/>
      </c>
      <c r="E2008" s="531"/>
      <c r="F2008" s="531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2" t="str">
        <f t="shared" si="127"/>
        <v/>
      </c>
      <c r="E2009" s="531"/>
      <c r="F2009" s="531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2" t="str">
        <f t="shared" si="127"/>
        <v/>
      </c>
      <c r="E2010" s="531"/>
      <c r="F2010" s="531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2" t="str">
        <f t="shared" si="127"/>
        <v/>
      </c>
      <c r="E2011" s="531"/>
      <c r="F2011" s="531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2" t="str">
        <f t="shared" si="127"/>
        <v/>
      </c>
      <c r="E2012" s="531"/>
      <c r="F2012" s="531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2" t="str">
        <f t="shared" si="127"/>
        <v/>
      </c>
      <c r="E2013" s="531"/>
      <c r="F2013" s="531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2" t="str">
        <f t="shared" si="127"/>
        <v/>
      </c>
      <c r="E2014" s="531"/>
      <c r="F2014" s="531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2" t="str">
        <f t="shared" si="127"/>
        <v/>
      </c>
      <c r="E2015" s="531"/>
      <c r="F2015" s="531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2" t="str">
        <f t="shared" si="127"/>
        <v/>
      </c>
      <c r="E2016" s="531"/>
      <c r="F2016" s="531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2" t="str">
        <f t="shared" si="127"/>
        <v/>
      </c>
      <c r="E2017" s="531"/>
      <c r="F2017" s="531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2" t="str">
        <f t="shared" si="127"/>
        <v/>
      </c>
      <c r="E2018" s="531"/>
      <c r="F2018" s="531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2" t="str">
        <f t="shared" si="127"/>
        <v/>
      </c>
      <c r="E2019" s="531"/>
      <c r="F2019" s="531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2" t="str">
        <f t="shared" si="127"/>
        <v/>
      </c>
      <c r="E2020" s="531"/>
      <c r="F2020" s="531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2" t="str">
        <f t="shared" si="127"/>
        <v/>
      </c>
      <c r="E2021" s="531"/>
      <c r="F2021" s="531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2" t="str">
        <f t="shared" si="127"/>
        <v/>
      </c>
      <c r="E2022" s="531"/>
      <c r="F2022" s="531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2" t="str">
        <f t="shared" si="127"/>
        <v/>
      </c>
      <c r="E2023" s="531"/>
      <c r="F2023" s="531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2" t="str">
        <f t="shared" si="127"/>
        <v/>
      </c>
      <c r="E2024" s="531"/>
      <c r="F2024" s="531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2" t="str">
        <f t="shared" si="127"/>
        <v/>
      </c>
      <c r="E2025" s="531"/>
      <c r="F2025" s="531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2" t="str">
        <f t="shared" si="127"/>
        <v/>
      </c>
      <c r="E2026" s="531"/>
      <c r="F2026" s="531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2" t="str">
        <f t="shared" si="127"/>
        <v/>
      </c>
      <c r="E2027" s="531"/>
      <c r="F2027" s="531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2" t="str">
        <f t="shared" si="127"/>
        <v/>
      </c>
      <c r="E2028" s="531"/>
      <c r="F2028" s="531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2" t="str">
        <f t="shared" si="127"/>
        <v/>
      </c>
      <c r="E2029" s="531"/>
      <c r="F2029" s="531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2" t="str">
        <f t="shared" si="127"/>
        <v/>
      </c>
      <c r="E2030" s="531"/>
      <c r="F2030" s="531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2" t="str">
        <f t="shared" si="127"/>
        <v/>
      </c>
      <c r="E2031" s="531"/>
      <c r="F2031" s="531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2" t="str">
        <f t="shared" si="127"/>
        <v/>
      </c>
      <c r="E2032" s="531"/>
      <c r="F2032" s="531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2" t="str">
        <f t="shared" si="127"/>
        <v/>
      </c>
      <c r="E2033" s="531"/>
      <c r="F2033" s="531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2" t="str">
        <f t="shared" si="127"/>
        <v/>
      </c>
      <c r="E2034" s="531"/>
      <c r="F2034" s="531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2" t="str">
        <f t="shared" si="127"/>
        <v/>
      </c>
      <c r="E2035" s="531"/>
      <c r="F2035" s="531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2" t="str">
        <f t="shared" si="127"/>
        <v/>
      </c>
      <c r="E2036" s="531"/>
      <c r="F2036" s="531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2" t="str">
        <f t="shared" si="127"/>
        <v/>
      </c>
      <c r="E2037" s="531"/>
      <c r="F2037" s="531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2" t="str">
        <f t="shared" si="127"/>
        <v/>
      </c>
      <c r="E2038" s="531"/>
      <c r="F2038" s="531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2" t="str">
        <f t="shared" si="127"/>
        <v/>
      </c>
      <c r="E2039" s="531"/>
      <c r="F2039" s="531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2" t="str">
        <f t="shared" si="127"/>
        <v/>
      </c>
      <c r="E2040" s="531"/>
      <c r="F2040" s="531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2" t="str">
        <f t="shared" si="127"/>
        <v/>
      </c>
      <c r="E2041" s="531"/>
      <c r="F2041" s="531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2" t="str">
        <f t="shared" si="127"/>
        <v/>
      </c>
      <c r="E2042" s="531"/>
      <c r="F2042" s="531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2" t="str">
        <f t="shared" si="127"/>
        <v/>
      </c>
      <c r="E2043" s="531"/>
      <c r="F2043" s="531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2" t="str">
        <f t="shared" si="127"/>
        <v/>
      </c>
      <c r="E2044" s="531"/>
      <c r="F2044" s="531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2" t="str">
        <f t="shared" si="127"/>
        <v/>
      </c>
      <c r="E2045" s="531"/>
      <c r="F2045" s="531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2" t="str">
        <f t="shared" si="127"/>
        <v/>
      </c>
      <c r="E2046" s="531"/>
      <c r="F2046" s="531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2" t="str">
        <f t="shared" si="127"/>
        <v/>
      </c>
      <c r="E2047" s="531"/>
      <c r="F2047" s="531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2" t="str">
        <f t="shared" si="127"/>
        <v/>
      </c>
      <c r="E2048" s="531"/>
      <c r="F2048" s="531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2" t="str">
        <f t="shared" si="127"/>
        <v/>
      </c>
      <c r="E2049" s="531"/>
      <c r="F2049" s="531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2" t="str">
        <f t="shared" si="127"/>
        <v/>
      </c>
      <c r="E2050" s="531"/>
      <c r="F2050" s="531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2" t="str">
        <f t="shared" si="127"/>
        <v/>
      </c>
      <c r="E2051" s="531"/>
      <c r="F2051" s="531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2" t="str">
        <f t="shared" si="127"/>
        <v/>
      </c>
      <c r="E2052" s="531"/>
      <c r="F2052" s="531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2" t="str">
        <f t="shared" si="127"/>
        <v/>
      </c>
      <c r="E2053" s="531"/>
      <c r="F2053" s="531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2" t="str">
        <f t="shared" si="127"/>
        <v/>
      </c>
      <c r="E2054" s="531"/>
      <c r="F2054" s="531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2" t="str">
        <f t="shared" si="127"/>
        <v/>
      </c>
      <c r="E2055" s="531"/>
      <c r="F2055" s="531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2" t="str">
        <f t="shared" si="127"/>
        <v/>
      </c>
      <c r="E2056" s="531"/>
      <c r="F2056" s="531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2" t="str">
        <f t="shared" ref="D2057:D2120" si="130">IF(A2057&lt;&gt;"",PROPER(TEXT(A2057,"Mmmm")),"")</f>
        <v/>
      </c>
      <c r="E2057" s="531"/>
      <c r="F2057" s="531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2" t="str">
        <f t="shared" si="130"/>
        <v/>
      </c>
      <c r="E2058" s="531"/>
      <c r="F2058" s="531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2" t="str">
        <f t="shared" si="130"/>
        <v/>
      </c>
      <c r="E2059" s="531"/>
      <c r="F2059" s="531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2" t="str">
        <f t="shared" si="130"/>
        <v/>
      </c>
      <c r="E2060" s="531"/>
      <c r="F2060" s="531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2" t="str">
        <f t="shared" si="130"/>
        <v/>
      </c>
      <c r="E2061" s="531"/>
      <c r="F2061" s="531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2" t="str">
        <f t="shared" si="130"/>
        <v/>
      </c>
      <c r="E2062" s="531"/>
      <c r="F2062" s="531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2" t="str">
        <f t="shared" si="130"/>
        <v/>
      </c>
      <c r="E2063" s="531"/>
      <c r="F2063" s="531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2" t="str">
        <f t="shared" si="130"/>
        <v/>
      </c>
      <c r="E2064" s="531"/>
      <c r="F2064" s="531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2" t="str">
        <f t="shared" si="130"/>
        <v/>
      </c>
      <c r="E2065" s="531"/>
      <c r="F2065" s="531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2" t="str">
        <f t="shared" si="130"/>
        <v/>
      </c>
      <c r="E2066" s="531"/>
      <c r="F2066" s="531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2" t="str">
        <f t="shared" si="130"/>
        <v/>
      </c>
      <c r="E2067" s="531"/>
      <c r="F2067" s="531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2" t="str">
        <f t="shared" si="130"/>
        <v/>
      </c>
      <c r="E2068" s="531"/>
      <c r="F2068" s="531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2" t="str">
        <f t="shared" si="130"/>
        <v/>
      </c>
      <c r="E2069" s="531"/>
      <c r="F2069" s="531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2" t="str">
        <f t="shared" si="130"/>
        <v/>
      </c>
      <c r="E2070" s="531"/>
      <c r="F2070" s="531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2" t="str">
        <f t="shared" si="130"/>
        <v/>
      </c>
      <c r="E2071" s="531"/>
      <c r="F2071" s="531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2" t="str">
        <f t="shared" si="130"/>
        <v/>
      </c>
      <c r="E2072" s="531"/>
      <c r="F2072" s="531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2" t="str">
        <f t="shared" si="130"/>
        <v/>
      </c>
      <c r="E2073" s="531"/>
      <c r="F2073" s="531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2" t="str">
        <f t="shared" si="130"/>
        <v/>
      </c>
      <c r="E2074" s="531"/>
      <c r="F2074" s="531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2" t="str">
        <f t="shared" si="130"/>
        <v/>
      </c>
      <c r="E2075" s="531"/>
      <c r="F2075" s="531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2" t="str">
        <f t="shared" si="130"/>
        <v/>
      </c>
      <c r="E2076" s="531"/>
      <c r="F2076" s="531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2" t="str">
        <f t="shared" si="130"/>
        <v/>
      </c>
      <c r="E2077" s="531"/>
      <c r="F2077" s="531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2" t="str">
        <f t="shared" si="130"/>
        <v/>
      </c>
      <c r="E2078" s="531"/>
      <c r="F2078" s="531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2" t="str">
        <f t="shared" si="130"/>
        <v/>
      </c>
      <c r="E2079" s="531"/>
      <c r="F2079" s="531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2" t="str">
        <f t="shared" si="130"/>
        <v/>
      </c>
      <c r="E2080" s="531"/>
      <c r="F2080" s="531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2" t="str">
        <f t="shared" si="130"/>
        <v/>
      </c>
      <c r="E2081" s="531"/>
      <c r="F2081" s="531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2" t="str">
        <f t="shared" si="130"/>
        <v/>
      </c>
      <c r="E2082" s="531"/>
      <c r="F2082" s="531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2" t="str">
        <f t="shared" si="130"/>
        <v/>
      </c>
      <c r="E2083" s="531"/>
      <c r="F2083" s="531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2" t="str">
        <f t="shared" si="130"/>
        <v/>
      </c>
      <c r="E2084" s="531"/>
      <c r="F2084" s="531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2" t="str">
        <f t="shared" si="130"/>
        <v/>
      </c>
      <c r="E2085" s="531"/>
      <c r="F2085" s="531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2" t="str">
        <f t="shared" si="130"/>
        <v/>
      </c>
      <c r="E2086" s="531"/>
      <c r="F2086" s="531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2" t="str">
        <f t="shared" si="130"/>
        <v/>
      </c>
      <c r="E2087" s="531"/>
      <c r="F2087" s="531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2" t="str">
        <f t="shared" si="130"/>
        <v/>
      </c>
      <c r="E2088" s="531"/>
      <c r="F2088" s="531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2" t="str">
        <f t="shared" si="130"/>
        <v/>
      </c>
      <c r="E2089" s="531"/>
      <c r="F2089" s="531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2" t="str">
        <f t="shared" si="130"/>
        <v/>
      </c>
      <c r="E2090" s="531"/>
      <c r="F2090" s="531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2" t="str">
        <f t="shared" si="130"/>
        <v/>
      </c>
      <c r="E2091" s="531"/>
      <c r="F2091" s="531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2" t="str">
        <f t="shared" si="130"/>
        <v/>
      </c>
      <c r="E2092" s="531"/>
      <c r="F2092" s="531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2" t="str">
        <f t="shared" si="130"/>
        <v/>
      </c>
      <c r="E2093" s="531"/>
      <c r="F2093" s="531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2" t="str">
        <f t="shared" si="130"/>
        <v/>
      </c>
      <c r="E2094" s="531"/>
      <c r="F2094" s="531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2" t="str">
        <f t="shared" si="130"/>
        <v/>
      </c>
      <c r="E2095" s="531"/>
      <c r="F2095" s="531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2" t="str">
        <f t="shared" si="130"/>
        <v/>
      </c>
      <c r="E2096" s="531"/>
      <c r="F2096" s="531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2" t="str">
        <f t="shared" si="130"/>
        <v/>
      </c>
      <c r="E2097" s="531"/>
      <c r="F2097" s="531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2" t="str">
        <f t="shared" si="130"/>
        <v/>
      </c>
      <c r="E2098" s="531"/>
      <c r="F2098" s="531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2" t="str">
        <f t="shared" si="130"/>
        <v/>
      </c>
      <c r="E2099" s="531"/>
      <c r="F2099" s="531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2" t="str">
        <f t="shared" si="130"/>
        <v/>
      </c>
      <c r="E2100" s="531"/>
      <c r="F2100" s="531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2" t="str">
        <f t="shared" si="130"/>
        <v/>
      </c>
      <c r="E2101" s="531"/>
      <c r="F2101" s="531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2" t="str">
        <f t="shared" si="130"/>
        <v/>
      </c>
      <c r="E2102" s="531"/>
      <c r="F2102" s="531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2" t="str">
        <f t="shared" si="130"/>
        <v/>
      </c>
      <c r="E2103" s="531"/>
      <c r="F2103" s="531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2" t="str">
        <f t="shared" si="130"/>
        <v/>
      </c>
      <c r="E2104" s="531"/>
      <c r="F2104" s="531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2" t="str">
        <f t="shared" si="130"/>
        <v/>
      </c>
      <c r="E2105" s="531"/>
      <c r="F2105" s="531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2" t="str">
        <f t="shared" si="130"/>
        <v/>
      </c>
      <c r="E2106" s="531"/>
      <c r="F2106" s="531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2" t="str">
        <f t="shared" si="130"/>
        <v/>
      </c>
      <c r="E2107" s="531"/>
      <c r="F2107" s="531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2" t="str">
        <f t="shared" si="130"/>
        <v/>
      </c>
      <c r="E2108" s="531"/>
      <c r="F2108" s="531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2" t="str">
        <f t="shared" si="130"/>
        <v/>
      </c>
      <c r="E2109" s="531"/>
      <c r="F2109" s="531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2" t="str">
        <f t="shared" si="130"/>
        <v/>
      </c>
      <c r="E2110" s="531"/>
      <c r="F2110" s="531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2" t="str">
        <f t="shared" si="130"/>
        <v/>
      </c>
      <c r="E2111" s="531"/>
      <c r="F2111" s="531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2" t="str">
        <f t="shared" si="130"/>
        <v/>
      </c>
      <c r="E2112" s="531"/>
      <c r="F2112" s="531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2" t="str">
        <f t="shared" si="130"/>
        <v/>
      </c>
      <c r="E2113" s="531"/>
      <c r="F2113" s="531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2" t="str">
        <f t="shared" si="130"/>
        <v/>
      </c>
      <c r="E2114" s="531"/>
      <c r="F2114" s="531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2" t="str">
        <f t="shared" si="130"/>
        <v/>
      </c>
      <c r="E2115" s="531"/>
      <c r="F2115" s="531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2" t="str">
        <f t="shared" si="130"/>
        <v/>
      </c>
      <c r="E2116" s="531"/>
      <c r="F2116" s="531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2" t="str">
        <f t="shared" si="130"/>
        <v/>
      </c>
      <c r="E2117" s="531"/>
      <c r="F2117" s="531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2" t="str">
        <f t="shared" si="130"/>
        <v/>
      </c>
      <c r="E2118" s="531"/>
      <c r="F2118" s="531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2" t="str">
        <f t="shared" si="130"/>
        <v/>
      </c>
      <c r="E2119" s="531"/>
      <c r="F2119" s="531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2" t="str">
        <f t="shared" si="130"/>
        <v/>
      </c>
      <c r="E2120" s="531"/>
      <c r="F2120" s="531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2" t="str">
        <f t="shared" ref="D2121:D2184" si="133">IF(A2121&lt;&gt;"",PROPER(TEXT(A2121,"Mmmm")),"")</f>
        <v/>
      </c>
      <c r="E2121" s="531"/>
      <c r="F2121" s="531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2" t="str">
        <f t="shared" si="133"/>
        <v/>
      </c>
      <c r="E2122" s="531"/>
      <c r="F2122" s="531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2" t="str">
        <f t="shared" si="133"/>
        <v/>
      </c>
      <c r="E2123" s="531"/>
      <c r="F2123" s="531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2" t="str">
        <f t="shared" si="133"/>
        <v/>
      </c>
      <c r="E2124" s="531"/>
      <c r="F2124" s="531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2" t="str">
        <f t="shared" si="133"/>
        <v/>
      </c>
      <c r="E2125" s="531"/>
      <c r="F2125" s="531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2" t="str">
        <f t="shared" si="133"/>
        <v/>
      </c>
      <c r="E2126" s="531"/>
      <c r="F2126" s="531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2" t="str">
        <f t="shared" si="133"/>
        <v/>
      </c>
      <c r="E2127" s="531"/>
      <c r="F2127" s="531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2" t="str">
        <f t="shared" si="133"/>
        <v/>
      </c>
      <c r="E2128" s="531"/>
      <c r="F2128" s="531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2" t="str">
        <f t="shared" si="133"/>
        <v/>
      </c>
      <c r="E2129" s="531"/>
      <c r="F2129" s="531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2" t="str">
        <f t="shared" si="133"/>
        <v/>
      </c>
      <c r="E2130" s="531"/>
      <c r="F2130" s="531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2" t="str">
        <f t="shared" si="133"/>
        <v/>
      </c>
      <c r="E2131" s="531"/>
      <c r="F2131" s="531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2" t="str">
        <f t="shared" si="133"/>
        <v/>
      </c>
      <c r="E2132" s="531"/>
      <c r="F2132" s="531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2" t="str">
        <f t="shared" si="133"/>
        <v/>
      </c>
      <c r="E2133" s="531"/>
      <c r="F2133" s="531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2" t="str">
        <f t="shared" si="133"/>
        <v/>
      </c>
      <c r="E2134" s="531"/>
      <c r="F2134" s="531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2" t="str">
        <f t="shared" si="133"/>
        <v/>
      </c>
      <c r="E2135" s="531"/>
      <c r="F2135" s="531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2" t="str">
        <f t="shared" si="133"/>
        <v/>
      </c>
      <c r="E2136" s="531"/>
      <c r="F2136" s="531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2" t="str">
        <f t="shared" si="133"/>
        <v/>
      </c>
      <c r="E2137" s="531"/>
      <c r="F2137" s="531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2" t="str">
        <f t="shared" si="133"/>
        <v/>
      </c>
      <c r="E2138" s="531"/>
      <c r="F2138" s="531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2" t="str">
        <f t="shared" si="133"/>
        <v/>
      </c>
      <c r="E2139" s="531"/>
      <c r="F2139" s="531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2" t="str">
        <f t="shared" si="133"/>
        <v/>
      </c>
      <c r="E2140" s="531"/>
      <c r="F2140" s="531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2" t="str">
        <f t="shared" si="133"/>
        <v/>
      </c>
      <c r="E2141" s="531"/>
      <c r="F2141" s="531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2" t="str">
        <f t="shared" si="133"/>
        <v/>
      </c>
      <c r="E2142" s="531"/>
      <c r="F2142" s="531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2" t="str">
        <f t="shared" si="133"/>
        <v/>
      </c>
      <c r="E2143" s="531"/>
      <c r="F2143" s="531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2" t="str">
        <f t="shared" si="133"/>
        <v/>
      </c>
      <c r="E2144" s="531"/>
      <c r="F2144" s="531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2" t="str">
        <f t="shared" si="133"/>
        <v/>
      </c>
      <c r="E2145" s="531"/>
      <c r="F2145" s="531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2" t="str">
        <f t="shared" si="133"/>
        <v/>
      </c>
      <c r="E2146" s="531"/>
      <c r="F2146" s="531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2" t="str">
        <f t="shared" si="133"/>
        <v/>
      </c>
      <c r="E2147" s="531"/>
      <c r="F2147" s="531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2" t="str">
        <f t="shared" si="133"/>
        <v/>
      </c>
      <c r="E2148" s="531"/>
      <c r="F2148" s="531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2" t="str">
        <f t="shared" si="133"/>
        <v/>
      </c>
      <c r="E2149" s="531"/>
      <c r="F2149" s="531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2" t="str">
        <f t="shared" si="133"/>
        <v/>
      </c>
      <c r="E2150" s="531"/>
      <c r="F2150" s="531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2" t="str">
        <f t="shared" si="133"/>
        <v/>
      </c>
      <c r="E2151" s="531"/>
      <c r="F2151" s="531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2" t="str">
        <f t="shared" si="133"/>
        <v/>
      </c>
      <c r="E2152" s="531"/>
      <c r="F2152" s="531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2" t="str">
        <f t="shared" si="133"/>
        <v/>
      </c>
      <c r="E2153" s="531"/>
      <c r="F2153" s="531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2" t="str">
        <f t="shared" si="133"/>
        <v/>
      </c>
      <c r="E2154" s="531"/>
      <c r="F2154" s="531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2" t="str">
        <f t="shared" si="133"/>
        <v/>
      </c>
      <c r="E2155" s="531"/>
      <c r="F2155" s="531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2" t="str">
        <f t="shared" si="133"/>
        <v/>
      </c>
      <c r="E2156" s="531"/>
      <c r="F2156" s="531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2" t="str">
        <f t="shared" si="133"/>
        <v/>
      </c>
      <c r="E2157" s="531"/>
      <c r="F2157" s="531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2" t="str">
        <f t="shared" si="133"/>
        <v/>
      </c>
      <c r="E2158" s="531"/>
      <c r="F2158" s="531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2" t="str">
        <f t="shared" si="133"/>
        <v/>
      </c>
      <c r="E2159" s="531"/>
      <c r="F2159" s="531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2" t="str">
        <f t="shared" si="133"/>
        <v/>
      </c>
      <c r="E2160" s="531"/>
      <c r="F2160" s="531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2" t="str">
        <f t="shared" si="133"/>
        <v/>
      </c>
      <c r="E2161" s="531"/>
      <c r="F2161" s="531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2" t="str">
        <f t="shared" si="133"/>
        <v/>
      </c>
      <c r="E2162" s="531"/>
      <c r="F2162" s="531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2" t="str">
        <f t="shared" si="133"/>
        <v/>
      </c>
      <c r="E2163" s="531"/>
      <c r="F2163" s="531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2" t="str">
        <f t="shared" si="133"/>
        <v/>
      </c>
      <c r="E2164" s="531"/>
      <c r="F2164" s="531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2" t="str">
        <f t="shared" si="133"/>
        <v/>
      </c>
      <c r="E2165" s="531"/>
      <c r="F2165" s="531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2" t="str">
        <f t="shared" si="133"/>
        <v/>
      </c>
      <c r="E2166" s="531"/>
      <c r="F2166" s="531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2" t="str">
        <f t="shared" si="133"/>
        <v/>
      </c>
      <c r="E2167" s="531"/>
      <c r="F2167" s="531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2" t="str">
        <f t="shared" si="133"/>
        <v/>
      </c>
      <c r="E2168" s="531"/>
      <c r="F2168" s="531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2" t="str">
        <f t="shared" si="133"/>
        <v/>
      </c>
      <c r="E2169" s="531"/>
      <c r="F2169" s="531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2" t="str">
        <f t="shared" si="133"/>
        <v/>
      </c>
      <c r="E2170" s="531"/>
      <c r="F2170" s="531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2" t="str">
        <f t="shared" si="133"/>
        <v/>
      </c>
      <c r="E2171" s="531"/>
      <c r="F2171" s="531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2" t="str">
        <f t="shared" si="133"/>
        <v/>
      </c>
      <c r="E2172" s="531"/>
      <c r="F2172" s="531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2" t="str">
        <f t="shared" si="133"/>
        <v/>
      </c>
      <c r="E2173" s="531"/>
      <c r="F2173" s="531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2" t="str">
        <f t="shared" si="133"/>
        <v/>
      </c>
      <c r="E2174" s="531"/>
      <c r="F2174" s="531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2" t="str">
        <f t="shared" si="133"/>
        <v/>
      </c>
      <c r="E2175" s="531"/>
      <c r="F2175" s="531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2" t="str">
        <f t="shared" si="133"/>
        <v/>
      </c>
      <c r="E2176" s="531"/>
      <c r="F2176" s="531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2" t="str">
        <f t="shared" si="133"/>
        <v/>
      </c>
      <c r="E2177" s="531"/>
      <c r="F2177" s="531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2" t="str">
        <f t="shared" si="133"/>
        <v/>
      </c>
      <c r="E2178" s="531"/>
      <c r="F2178" s="531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2" t="str">
        <f t="shared" si="133"/>
        <v/>
      </c>
      <c r="E2179" s="531"/>
      <c r="F2179" s="531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2" t="str">
        <f t="shared" si="133"/>
        <v/>
      </c>
      <c r="E2180" s="531"/>
      <c r="F2180" s="531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2" t="str">
        <f t="shared" si="133"/>
        <v/>
      </c>
      <c r="E2181" s="531"/>
      <c r="F2181" s="531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2" t="str">
        <f t="shared" si="133"/>
        <v/>
      </c>
      <c r="E2182" s="531"/>
      <c r="F2182" s="531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2" t="str">
        <f t="shared" si="133"/>
        <v/>
      </c>
      <c r="E2183" s="531"/>
      <c r="F2183" s="531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2" t="str">
        <f t="shared" si="133"/>
        <v/>
      </c>
      <c r="E2184" s="531"/>
      <c r="F2184" s="531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2" t="str">
        <f t="shared" ref="D2185:D2248" si="136">IF(A2185&lt;&gt;"",PROPER(TEXT(A2185,"Mmmm")),"")</f>
        <v/>
      </c>
      <c r="E2185" s="531"/>
      <c r="F2185" s="531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2" t="str">
        <f t="shared" si="136"/>
        <v/>
      </c>
      <c r="E2186" s="531"/>
      <c r="F2186" s="531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2" t="str">
        <f t="shared" si="136"/>
        <v/>
      </c>
      <c r="E2187" s="531"/>
      <c r="F2187" s="531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2" t="str">
        <f t="shared" si="136"/>
        <v/>
      </c>
      <c r="E2188" s="531"/>
      <c r="F2188" s="531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2" t="str">
        <f t="shared" si="136"/>
        <v/>
      </c>
      <c r="E2189" s="531"/>
      <c r="F2189" s="531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2" t="str">
        <f t="shared" si="136"/>
        <v/>
      </c>
      <c r="E2190" s="531"/>
      <c r="F2190" s="531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2" t="str">
        <f t="shared" si="136"/>
        <v/>
      </c>
      <c r="E2191" s="531"/>
      <c r="F2191" s="531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2" t="str">
        <f t="shared" si="136"/>
        <v/>
      </c>
      <c r="E2192" s="531"/>
      <c r="F2192" s="531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2" t="str">
        <f t="shared" si="136"/>
        <v/>
      </c>
      <c r="E2193" s="531"/>
      <c r="F2193" s="531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2" t="str">
        <f t="shared" si="136"/>
        <v/>
      </c>
      <c r="E2194" s="531"/>
      <c r="F2194" s="531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2" t="str">
        <f t="shared" si="136"/>
        <v/>
      </c>
      <c r="E2195" s="531"/>
      <c r="F2195" s="531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2" t="str">
        <f t="shared" si="136"/>
        <v/>
      </c>
      <c r="E2196" s="531"/>
      <c r="F2196" s="531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2" t="str">
        <f t="shared" si="136"/>
        <v/>
      </c>
      <c r="E2197" s="531"/>
      <c r="F2197" s="531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2" t="str">
        <f t="shared" si="136"/>
        <v/>
      </c>
      <c r="E2198" s="531"/>
      <c r="F2198" s="531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2" t="str">
        <f t="shared" si="136"/>
        <v/>
      </c>
      <c r="E2199" s="531"/>
      <c r="F2199" s="531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2" t="str">
        <f t="shared" si="136"/>
        <v/>
      </c>
      <c r="E2200" s="531"/>
      <c r="F2200" s="531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2" t="str">
        <f t="shared" si="136"/>
        <v/>
      </c>
      <c r="E2201" s="531"/>
      <c r="F2201" s="531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2" t="str">
        <f t="shared" si="136"/>
        <v/>
      </c>
      <c r="E2202" s="531"/>
      <c r="F2202" s="531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2" t="str">
        <f t="shared" si="136"/>
        <v/>
      </c>
      <c r="E2203" s="531"/>
      <c r="F2203" s="531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2" t="str">
        <f t="shared" si="136"/>
        <v/>
      </c>
      <c r="E2204" s="531"/>
      <c r="F2204" s="531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2" t="str">
        <f t="shared" si="136"/>
        <v/>
      </c>
      <c r="E2205" s="531"/>
      <c r="F2205" s="531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2" t="str">
        <f t="shared" si="136"/>
        <v/>
      </c>
      <c r="E2206" s="531"/>
      <c r="F2206" s="531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2" t="str">
        <f t="shared" si="136"/>
        <v/>
      </c>
      <c r="E2207" s="531"/>
      <c r="F2207" s="531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2" t="str">
        <f t="shared" si="136"/>
        <v/>
      </c>
      <c r="E2208" s="531"/>
      <c r="F2208" s="531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2" t="str">
        <f t="shared" si="136"/>
        <v/>
      </c>
      <c r="E2209" s="531"/>
      <c r="F2209" s="531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2" t="str">
        <f t="shared" si="136"/>
        <v/>
      </c>
      <c r="E2210" s="531"/>
      <c r="F2210" s="531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2" t="str">
        <f t="shared" si="136"/>
        <v/>
      </c>
      <c r="E2211" s="531"/>
      <c r="F2211" s="531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2" t="str">
        <f t="shared" si="136"/>
        <v/>
      </c>
      <c r="E2212" s="531"/>
      <c r="F2212" s="531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2" t="str">
        <f t="shared" si="136"/>
        <v/>
      </c>
      <c r="E2213" s="531"/>
      <c r="F2213" s="531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2" t="str">
        <f t="shared" si="136"/>
        <v/>
      </c>
      <c r="E2214" s="531"/>
      <c r="F2214" s="531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2" t="str">
        <f t="shared" si="136"/>
        <v/>
      </c>
      <c r="E2215" s="531"/>
      <c r="F2215" s="531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2" t="str">
        <f t="shared" si="136"/>
        <v/>
      </c>
      <c r="E2216" s="531"/>
      <c r="F2216" s="531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2" t="str">
        <f t="shared" si="136"/>
        <v/>
      </c>
      <c r="E2217" s="531"/>
      <c r="F2217" s="531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2" t="str">
        <f t="shared" si="136"/>
        <v/>
      </c>
      <c r="E2218" s="531"/>
      <c r="F2218" s="531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2" t="str">
        <f t="shared" si="136"/>
        <v/>
      </c>
      <c r="E2219" s="531"/>
      <c r="F2219" s="531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2" t="str">
        <f t="shared" si="136"/>
        <v/>
      </c>
      <c r="E2220" s="531"/>
      <c r="F2220" s="531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2" t="str">
        <f t="shared" si="136"/>
        <v/>
      </c>
      <c r="E2221" s="531"/>
      <c r="F2221" s="531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2" t="str">
        <f t="shared" si="136"/>
        <v/>
      </c>
      <c r="E2222" s="531"/>
      <c r="F2222" s="531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2" t="str">
        <f t="shared" si="136"/>
        <v/>
      </c>
      <c r="E2223" s="531"/>
      <c r="F2223" s="531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2" t="str">
        <f t="shared" si="136"/>
        <v/>
      </c>
      <c r="E2224" s="531"/>
      <c r="F2224" s="531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2" t="str">
        <f t="shared" si="136"/>
        <v/>
      </c>
      <c r="E2225" s="531"/>
      <c r="F2225" s="531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2" t="str">
        <f t="shared" si="136"/>
        <v/>
      </c>
      <c r="E2226" s="531"/>
      <c r="F2226" s="531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2" t="str">
        <f t="shared" si="136"/>
        <v/>
      </c>
      <c r="E2227" s="531"/>
      <c r="F2227" s="531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2" t="str">
        <f t="shared" si="136"/>
        <v/>
      </c>
      <c r="E2228" s="531"/>
      <c r="F2228" s="531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2" t="str">
        <f t="shared" si="136"/>
        <v/>
      </c>
      <c r="E2229" s="531"/>
      <c r="F2229" s="531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2" t="str">
        <f t="shared" si="136"/>
        <v/>
      </c>
      <c r="E2230" s="531"/>
      <c r="F2230" s="531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2" t="str">
        <f t="shared" si="136"/>
        <v/>
      </c>
      <c r="E2231" s="531"/>
      <c r="F2231" s="531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2" t="str">
        <f t="shared" si="136"/>
        <v/>
      </c>
      <c r="E2232" s="531"/>
      <c r="F2232" s="531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2" t="str">
        <f t="shared" si="136"/>
        <v/>
      </c>
      <c r="E2233" s="531"/>
      <c r="F2233" s="531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2" t="str">
        <f t="shared" si="136"/>
        <v/>
      </c>
      <c r="E2234" s="531"/>
      <c r="F2234" s="531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2" t="str">
        <f t="shared" si="136"/>
        <v/>
      </c>
      <c r="E2235" s="531"/>
      <c r="F2235" s="531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2" t="str">
        <f t="shared" si="136"/>
        <v/>
      </c>
      <c r="E2236" s="531"/>
      <c r="F2236" s="531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2" t="str">
        <f t="shared" si="136"/>
        <v/>
      </c>
      <c r="E2237" s="531"/>
      <c r="F2237" s="531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2" t="str">
        <f t="shared" si="136"/>
        <v/>
      </c>
      <c r="E2238" s="531"/>
      <c r="F2238" s="531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2" t="str">
        <f t="shared" si="136"/>
        <v/>
      </c>
      <c r="E2239" s="531"/>
      <c r="F2239" s="531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2" t="str">
        <f t="shared" si="136"/>
        <v/>
      </c>
      <c r="E2240" s="531"/>
      <c r="F2240" s="531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2" t="str">
        <f t="shared" si="136"/>
        <v/>
      </c>
      <c r="E2241" s="531"/>
      <c r="F2241" s="531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2" t="str">
        <f t="shared" si="136"/>
        <v/>
      </c>
      <c r="E2242" s="531"/>
      <c r="F2242" s="531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2" t="str">
        <f t="shared" si="136"/>
        <v/>
      </c>
      <c r="E2243" s="531"/>
      <c r="F2243" s="531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2" t="str">
        <f t="shared" si="136"/>
        <v/>
      </c>
      <c r="E2244" s="531"/>
      <c r="F2244" s="531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2" t="str">
        <f t="shared" si="136"/>
        <v/>
      </c>
      <c r="E2245" s="531"/>
      <c r="F2245" s="531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2" t="str">
        <f t="shared" si="136"/>
        <v/>
      </c>
      <c r="E2246" s="531"/>
      <c r="F2246" s="531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2" t="str">
        <f t="shared" si="136"/>
        <v/>
      </c>
      <c r="E2247" s="531"/>
      <c r="F2247" s="531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2" t="str">
        <f t="shared" si="136"/>
        <v/>
      </c>
      <c r="E2248" s="531"/>
      <c r="F2248" s="531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2" t="str">
        <f t="shared" ref="D2249:D2312" si="139">IF(A2249&lt;&gt;"",PROPER(TEXT(A2249,"Mmmm")),"")</f>
        <v/>
      </c>
      <c r="E2249" s="531"/>
      <c r="F2249" s="531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2" t="str">
        <f t="shared" si="139"/>
        <v/>
      </c>
      <c r="E2250" s="531"/>
      <c r="F2250" s="531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2" t="str">
        <f t="shared" si="139"/>
        <v/>
      </c>
      <c r="E2251" s="531"/>
      <c r="F2251" s="531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2" t="str">
        <f t="shared" si="139"/>
        <v/>
      </c>
      <c r="E2252" s="531"/>
      <c r="F2252" s="531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2" t="str">
        <f t="shared" si="139"/>
        <v/>
      </c>
      <c r="E2253" s="531"/>
      <c r="F2253" s="531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2" t="str">
        <f t="shared" si="139"/>
        <v/>
      </c>
      <c r="E2254" s="531"/>
      <c r="F2254" s="531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2" t="str">
        <f t="shared" si="139"/>
        <v/>
      </c>
      <c r="E2255" s="531"/>
      <c r="F2255" s="531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2" t="str">
        <f t="shared" si="139"/>
        <v/>
      </c>
      <c r="E2256" s="531"/>
      <c r="F2256" s="531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2" t="str">
        <f t="shared" si="139"/>
        <v/>
      </c>
      <c r="E2257" s="531"/>
      <c r="F2257" s="531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2" t="str">
        <f t="shared" si="139"/>
        <v/>
      </c>
      <c r="E2258" s="531"/>
      <c r="F2258" s="531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2" t="str">
        <f t="shared" si="139"/>
        <v/>
      </c>
      <c r="E2259" s="531"/>
      <c r="F2259" s="531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2" t="str">
        <f t="shared" si="139"/>
        <v/>
      </c>
      <c r="E2260" s="531"/>
      <c r="F2260" s="531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2" t="str">
        <f t="shared" si="139"/>
        <v/>
      </c>
      <c r="E2261" s="531"/>
      <c r="F2261" s="531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2" t="str">
        <f t="shared" si="139"/>
        <v/>
      </c>
      <c r="E2262" s="531"/>
      <c r="F2262" s="531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2" t="str">
        <f t="shared" si="139"/>
        <v/>
      </c>
      <c r="E2263" s="531"/>
      <c r="F2263" s="531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2" t="str">
        <f t="shared" si="139"/>
        <v/>
      </c>
      <c r="E2264" s="531"/>
      <c r="F2264" s="531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2" t="str">
        <f t="shared" si="139"/>
        <v/>
      </c>
      <c r="E2265" s="531"/>
      <c r="F2265" s="531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2" t="str">
        <f t="shared" si="139"/>
        <v/>
      </c>
      <c r="E2266" s="531"/>
      <c r="F2266" s="531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2" t="str">
        <f t="shared" si="139"/>
        <v/>
      </c>
      <c r="E2267" s="531"/>
      <c r="F2267" s="531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2" t="str">
        <f t="shared" si="139"/>
        <v/>
      </c>
      <c r="E2268" s="531"/>
      <c r="F2268" s="531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2" t="str">
        <f t="shared" si="139"/>
        <v/>
      </c>
      <c r="E2269" s="531"/>
      <c r="F2269" s="531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2" t="str">
        <f t="shared" si="139"/>
        <v/>
      </c>
      <c r="E2270" s="531"/>
      <c r="F2270" s="531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2" t="str">
        <f t="shared" si="139"/>
        <v/>
      </c>
      <c r="E2271" s="531"/>
      <c r="F2271" s="531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2" t="str">
        <f t="shared" si="139"/>
        <v/>
      </c>
      <c r="E2272" s="531"/>
      <c r="F2272" s="531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2" t="str">
        <f t="shared" si="139"/>
        <v/>
      </c>
      <c r="E2273" s="531"/>
      <c r="F2273" s="531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2" t="str">
        <f t="shared" si="139"/>
        <v/>
      </c>
      <c r="E2274" s="531"/>
      <c r="F2274" s="531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2" t="str">
        <f t="shared" si="139"/>
        <v/>
      </c>
      <c r="E2275" s="531"/>
      <c r="F2275" s="531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2" t="str">
        <f t="shared" si="139"/>
        <v/>
      </c>
      <c r="E2276" s="531"/>
      <c r="F2276" s="531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2" t="str">
        <f t="shared" si="139"/>
        <v/>
      </c>
      <c r="E2277" s="531"/>
      <c r="F2277" s="531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2" t="str">
        <f t="shared" si="139"/>
        <v/>
      </c>
      <c r="E2278" s="531"/>
      <c r="F2278" s="531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2" t="str">
        <f t="shared" si="139"/>
        <v/>
      </c>
      <c r="E2279" s="531"/>
      <c r="F2279" s="531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2" t="str">
        <f t="shared" si="139"/>
        <v/>
      </c>
      <c r="E2280" s="531"/>
      <c r="F2280" s="531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2" t="str">
        <f t="shared" si="139"/>
        <v/>
      </c>
      <c r="E2281" s="531"/>
      <c r="F2281" s="531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2" t="str">
        <f t="shared" si="139"/>
        <v/>
      </c>
      <c r="E2282" s="531"/>
      <c r="F2282" s="531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2" t="str">
        <f t="shared" si="139"/>
        <v/>
      </c>
      <c r="E2283" s="531"/>
      <c r="F2283" s="531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2" t="str">
        <f t="shared" si="139"/>
        <v/>
      </c>
      <c r="E2284" s="531"/>
      <c r="F2284" s="531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2" t="str">
        <f t="shared" si="139"/>
        <v/>
      </c>
      <c r="E2285" s="531"/>
      <c r="F2285" s="531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2" t="str">
        <f t="shared" si="139"/>
        <v/>
      </c>
      <c r="E2286" s="531"/>
      <c r="F2286" s="531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2" t="str">
        <f t="shared" si="139"/>
        <v/>
      </c>
      <c r="E2287" s="531"/>
      <c r="F2287" s="531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2" t="str">
        <f t="shared" si="139"/>
        <v/>
      </c>
      <c r="E2288" s="531"/>
      <c r="F2288" s="531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2" t="str">
        <f t="shared" si="139"/>
        <v/>
      </c>
      <c r="E2289" s="531"/>
      <c r="F2289" s="531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2" t="str">
        <f t="shared" si="139"/>
        <v/>
      </c>
      <c r="E2290" s="531"/>
      <c r="F2290" s="531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2" t="str">
        <f t="shared" si="139"/>
        <v/>
      </c>
      <c r="E2291" s="531"/>
      <c r="F2291" s="531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2" t="str">
        <f t="shared" si="139"/>
        <v/>
      </c>
      <c r="E2292" s="531"/>
      <c r="F2292" s="531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2" t="str">
        <f t="shared" si="139"/>
        <v/>
      </c>
      <c r="E2293" s="531"/>
      <c r="F2293" s="531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2" t="str">
        <f t="shared" si="139"/>
        <v/>
      </c>
      <c r="E2294" s="531"/>
      <c r="F2294" s="531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2" t="str">
        <f t="shared" si="139"/>
        <v/>
      </c>
      <c r="E2295" s="531"/>
      <c r="F2295" s="531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2" t="str">
        <f t="shared" si="139"/>
        <v/>
      </c>
      <c r="E2296" s="531"/>
      <c r="F2296" s="531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2" t="str">
        <f t="shared" si="139"/>
        <v/>
      </c>
      <c r="E2297" s="531"/>
      <c r="F2297" s="531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2" t="str">
        <f t="shared" si="139"/>
        <v/>
      </c>
      <c r="E2298" s="531"/>
      <c r="F2298" s="531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2" t="str">
        <f t="shared" si="139"/>
        <v/>
      </c>
      <c r="E2299" s="531"/>
      <c r="F2299" s="531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2" t="str">
        <f t="shared" si="139"/>
        <v/>
      </c>
      <c r="E2300" s="531"/>
      <c r="F2300" s="531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2" t="str">
        <f t="shared" si="139"/>
        <v/>
      </c>
      <c r="E2301" s="531"/>
      <c r="F2301" s="531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2" t="str">
        <f t="shared" si="139"/>
        <v/>
      </c>
      <c r="E2302" s="531"/>
      <c r="F2302" s="531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2" t="str">
        <f t="shared" si="139"/>
        <v/>
      </c>
      <c r="E2303" s="531"/>
      <c r="F2303" s="531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2" t="str">
        <f t="shared" si="139"/>
        <v/>
      </c>
      <c r="E2304" s="531"/>
      <c r="F2304" s="531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2" t="str">
        <f t="shared" si="139"/>
        <v/>
      </c>
      <c r="E2305" s="531"/>
      <c r="F2305" s="531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2" t="str">
        <f t="shared" si="139"/>
        <v/>
      </c>
      <c r="E2306" s="531"/>
      <c r="F2306" s="531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2" t="str">
        <f t="shared" si="139"/>
        <v/>
      </c>
      <c r="E2307" s="531"/>
      <c r="F2307" s="531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2" t="str">
        <f t="shared" si="139"/>
        <v/>
      </c>
      <c r="E2308" s="531"/>
      <c r="F2308" s="531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2" t="str">
        <f t="shared" si="139"/>
        <v/>
      </c>
      <c r="E2309" s="531"/>
      <c r="F2309" s="531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2" t="str">
        <f t="shared" si="139"/>
        <v/>
      </c>
      <c r="E2310" s="531"/>
      <c r="F2310" s="531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2" t="str">
        <f t="shared" si="139"/>
        <v/>
      </c>
      <c r="E2311" s="531"/>
      <c r="F2311" s="531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2" t="str">
        <f t="shared" si="139"/>
        <v/>
      </c>
      <c r="E2312" s="531"/>
      <c r="F2312" s="531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2" t="str">
        <f t="shared" ref="D2313:D2376" si="142">IF(A2313&lt;&gt;"",PROPER(TEXT(A2313,"Mmmm")),"")</f>
        <v/>
      </c>
      <c r="E2313" s="531"/>
      <c r="F2313" s="531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2" t="str">
        <f t="shared" si="142"/>
        <v/>
      </c>
      <c r="E2314" s="531"/>
      <c r="F2314" s="531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2" t="str">
        <f t="shared" si="142"/>
        <v/>
      </c>
      <c r="E2315" s="531"/>
      <c r="F2315" s="531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2" t="str">
        <f t="shared" si="142"/>
        <v/>
      </c>
      <c r="E2316" s="531"/>
      <c r="F2316" s="531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2" t="str">
        <f t="shared" si="142"/>
        <v/>
      </c>
      <c r="E2317" s="531"/>
      <c r="F2317" s="531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2" t="str">
        <f t="shared" si="142"/>
        <v/>
      </c>
      <c r="E2318" s="531"/>
      <c r="F2318" s="531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2" t="str">
        <f t="shared" si="142"/>
        <v/>
      </c>
      <c r="E2319" s="531"/>
      <c r="F2319" s="531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2" t="str">
        <f t="shared" si="142"/>
        <v/>
      </c>
      <c r="E2320" s="531"/>
      <c r="F2320" s="531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2" t="str">
        <f t="shared" si="142"/>
        <v/>
      </c>
      <c r="E2321" s="531"/>
      <c r="F2321" s="531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2" t="str">
        <f t="shared" si="142"/>
        <v/>
      </c>
      <c r="E2322" s="531"/>
      <c r="F2322" s="531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2" t="str">
        <f t="shared" si="142"/>
        <v/>
      </c>
      <c r="E2323" s="531"/>
      <c r="F2323" s="531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2" t="str">
        <f t="shared" si="142"/>
        <v/>
      </c>
      <c r="E2324" s="531"/>
      <c r="F2324" s="531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2" t="str">
        <f t="shared" si="142"/>
        <v/>
      </c>
      <c r="E2325" s="531"/>
      <c r="F2325" s="531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2" t="str">
        <f t="shared" si="142"/>
        <v/>
      </c>
      <c r="E2326" s="531"/>
      <c r="F2326" s="531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2" t="str">
        <f t="shared" si="142"/>
        <v/>
      </c>
      <c r="E2327" s="531"/>
      <c r="F2327" s="531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2" t="str">
        <f t="shared" si="142"/>
        <v/>
      </c>
      <c r="E2328" s="531"/>
      <c r="F2328" s="531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2" t="str">
        <f t="shared" si="142"/>
        <v/>
      </c>
      <c r="E2329" s="531"/>
      <c r="F2329" s="531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2" t="str">
        <f t="shared" si="142"/>
        <v/>
      </c>
      <c r="E2330" s="531"/>
      <c r="F2330" s="531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2" t="str">
        <f t="shared" si="142"/>
        <v/>
      </c>
      <c r="E2331" s="531"/>
      <c r="F2331" s="531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2" t="str">
        <f t="shared" si="142"/>
        <v/>
      </c>
      <c r="E2332" s="531"/>
      <c r="F2332" s="531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2" t="str">
        <f t="shared" si="142"/>
        <v/>
      </c>
      <c r="E2333" s="531"/>
      <c r="F2333" s="531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2" t="str">
        <f t="shared" si="142"/>
        <v/>
      </c>
      <c r="E2334" s="531"/>
      <c r="F2334" s="531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2" t="str">
        <f t="shared" si="142"/>
        <v/>
      </c>
      <c r="E2335" s="531"/>
      <c r="F2335" s="531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2" t="str">
        <f t="shared" si="142"/>
        <v/>
      </c>
      <c r="E2336" s="531"/>
      <c r="F2336" s="531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2" t="str">
        <f t="shared" si="142"/>
        <v/>
      </c>
      <c r="E2337" s="531"/>
      <c r="F2337" s="531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2" t="str">
        <f t="shared" si="142"/>
        <v/>
      </c>
      <c r="E2338" s="531"/>
      <c r="F2338" s="531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2" t="str">
        <f t="shared" si="142"/>
        <v/>
      </c>
      <c r="E2339" s="531"/>
      <c r="F2339" s="531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2" t="str">
        <f t="shared" si="142"/>
        <v/>
      </c>
      <c r="E2340" s="531"/>
      <c r="F2340" s="531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2" t="str">
        <f t="shared" si="142"/>
        <v/>
      </c>
      <c r="E2341" s="531"/>
      <c r="F2341" s="531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2" t="str">
        <f t="shared" si="142"/>
        <v/>
      </c>
      <c r="E2342" s="531"/>
      <c r="F2342" s="531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2" t="str">
        <f t="shared" si="142"/>
        <v/>
      </c>
      <c r="E2343" s="531"/>
      <c r="F2343" s="531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2" t="str">
        <f t="shared" si="142"/>
        <v/>
      </c>
      <c r="E2344" s="531"/>
      <c r="F2344" s="531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2" t="str">
        <f t="shared" si="142"/>
        <v/>
      </c>
      <c r="E2345" s="531"/>
      <c r="F2345" s="531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2" t="str">
        <f t="shared" si="142"/>
        <v/>
      </c>
      <c r="E2346" s="531"/>
      <c r="F2346" s="531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2" t="str">
        <f t="shared" si="142"/>
        <v/>
      </c>
      <c r="E2347" s="531"/>
      <c r="F2347" s="531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2" t="str">
        <f t="shared" si="142"/>
        <v/>
      </c>
      <c r="E2348" s="531"/>
      <c r="F2348" s="531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2" t="str">
        <f t="shared" si="142"/>
        <v/>
      </c>
      <c r="E2349" s="531"/>
      <c r="F2349" s="531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2" t="str">
        <f t="shared" si="142"/>
        <v/>
      </c>
      <c r="E2350" s="531"/>
      <c r="F2350" s="531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2" t="str">
        <f t="shared" si="142"/>
        <v/>
      </c>
      <c r="E2351" s="531"/>
      <c r="F2351" s="531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2" t="str">
        <f t="shared" si="142"/>
        <v/>
      </c>
      <c r="E2352" s="531"/>
      <c r="F2352" s="531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2" t="str">
        <f t="shared" si="142"/>
        <v/>
      </c>
      <c r="E2353" s="531"/>
      <c r="F2353" s="531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2" t="str">
        <f t="shared" si="142"/>
        <v/>
      </c>
      <c r="E2354" s="531"/>
      <c r="F2354" s="531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2" t="str">
        <f t="shared" si="142"/>
        <v/>
      </c>
      <c r="E2355" s="531"/>
      <c r="F2355" s="531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2" t="str">
        <f t="shared" si="142"/>
        <v/>
      </c>
      <c r="E2356" s="531"/>
      <c r="F2356" s="531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2" t="str">
        <f t="shared" si="142"/>
        <v/>
      </c>
      <c r="E2357" s="531"/>
      <c r="F2357" s="531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2" t="str">
        <f t="shared" si="142"/>
        <v/>
      </c>
      <c r="E2358" s="531"/>
      <c r="F2358" s="531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2" t="str">
        <f t="shared" si="142"/>
        <v/>
      </c>
      <c r="E2359" s="531"/>
      <c r="F2359" s="531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2" t="str">
        <f t="shared" si="142"/>
        <v/>
      </c>
      <c r="E2360" s="531"/>
      <c r="F2360" s="531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2" t="str">
        <f t="shared" si="142"/>
        <v/>
      </c>
      <c r="E2361" s="531"/>
      <c r="F2361" s="531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2" t="str">
        <f t="shared" si="142"/>
        <v/>
      </c>
      <c r="E2362" s="531"/>
      <c r="F2362" s="531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2" t="str">
        <f t="shared" si="142"/>
        <v/>
      </c>
      <c r="E2363" s="531"/>
      <c r="F2363" s="531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2" t="str">
        <f t="shared" si="142"/>
        <v/>
      </c>
      <c r="E2364" s="531"/>
      <c r="F2364" s="531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2" t="str">
        <f t="shared" si="142"/>
        <v/>
      </c>
      <c r="E2365" s="531"/>
      <c r="F2365" s="531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2" t="str">
        <f t="shared" si="142"/>
        <v/>
      </c>
      <c r="E2366" s="531"/>
      <c r="F2366" s="531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2" t="str">
        <f t="shared" si="142"/>
        <v/>
      </c>
      <c r="E2367" s="531"/>
      <c r="F2367" s="531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2" t="str">
        <f t="shared" si="142"/>
        <v/>
      </c>
      <c r="E2368" s="531"/>
      <c r="F2368" s="531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2" t="str">
        <f t="shared" si="142"/>
        <v/>
      </c>
      <c r="E2369" s="531"/>
      <c r="F2369" s="531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2" t="str">
        <f t="shared" si="142"/>
        <v/>
      </c>
      <c r="E2370" s="531"/>
      <c r="F2370" s="531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2" t="str">
        <f t="shared" si="142"/>
        <v/>
      </c>
      <c r="E2371" s="531"/>
      <c r="F2371" s="531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2" t="str">
        <f t="shared" si="142"/>
        <v/>
      </c>
      <c r="E2372" s="531"/>
      <c r="F2372" s="531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2" t="str">
        <f t="shared" si="142"/>
        <v/>
      </c>
      <c r="E2373" s="531"/>
      <c r="F2373" s="531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2" t="str">
        <f t="shared" si="142"/>
        <v/>
      </c>
      <c r="E2374" s="531"/>
      <c r="F2374" s="531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2" t="str">
        <f t="shared" si="142"/>
        <v/>
      </c>
      <c r="E2375" s="531"/>
      <c r="F2375" s="531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2" t="str">
        <f t="shared" si="142"/>
        <v/>
      </c>
      <c r="E2376" s="531"/>
      <c r="F2376" s="531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2" t="str">
        <f t="shared" ref="D2377:D2440" si="145">IF(A2377&lt;&gt;"",PROPER(TEXT(A2377,"Mmmm")),"")</f>
        <v/>
      </c>
      <c r="E2377" s="531"/>
      <c r="F2377" s="531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2" t="str">
        <f t="shared" si="145"/>
        <v/>
      </c>
      <c r="E2378" s="531"/>
      <c r="F2378" s="531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2" t="str">
        <f t="shared" si="145"/>
        <v/>
      </c>
      <c r="E2379" s="531"/>
      <c r="F2379" s="531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2" t="str">
        <f t="shared" si="145"/>
        <v/>
      </c>
      <c r="E2380" s="531"/>
      <c r="F2380" s="531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2" t="str">
        <f t="shared" si="145"/>
        <v/>
      </c>
      <c r="E2381" s="531"/>
      <c r="F2381" s="531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2" t="str">
        <f t="shared" si="145"/>
        <v/>
      </c>
      <c r="E2382" s="531"/>
      <c r="F2382" s="531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2" t="str">
        <f t="shared" si="145"/>
        <v/>
      </c>
      <c r="E2383" s="531"/>
      <c r="F2383" s="531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2" t="str">
        <f t="shared" si="145"/>
        <v/>
      </c>
      <c r="E2384" s="531"/>
      <c r="F2384" s="531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2" t="str">
        <f t="shared" si="145"/>
        <v/>
      </c>
      <c r="E2385" s="531"/>
      <c r="F2385" s="531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2" t="str">
        <f t="shared" si="145"/>
        <v/>
      </c>
      <c r="E2386" s="531"/>
      <c r="F2386" s="531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2" t="str">
        <f t="shared" si="145"/>
        <v/>
      </c>
      <c r="E2387" s="531"/>
      <c r="F2387" s="531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2" t="str">
        <f t="shared" si="145"/>
        <v/>
      </c>
      <c r="E2388" s="531"/>
      <c r="F2388" s="531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2" t="str">
        <f t="shared" si="145"/>
        <v/>
      </c>
      <c r="E2389" s="531"/>
      <c r="F2389" s="531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2" t="str">
        <f t="shared" si="145"/>
        <v/>
      </c>
      <c r="E2390" s="531"/>
      <c r="F2390" s="531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2" t="str">
        <f t="shared" si="145"/>
        <v/>
      </c>
      <c r="E2391" s="531"/>
      <c r="F2391" s="531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2" t="str">
        <f t="shared" si="145"/>
        <v/>
      </c>
      <c r="E2392" s="531"/>
      <c r="F2392" s="531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2" t="str">
        <f t="shared" si="145"/>
        <v/>
      </c>
      <c r="E2393" s="531"/>
      <c r="F2393" s="531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2" t="str">
        <f t="shared" si="145"/>
        <v/>
      </c>
      <c r="E2394" s="531"/>
      <c r="F2394" s="531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2" t="str">
        <f t="shared" si="145"/>
        <v/>
      </c>
      <c r="E2395" s="531"/>
      <c r="F2395" s="531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2" t="str">
        <f t="shared" si="145"/>
        <v/>
      </c>
      <c r="E2396" s="531"/>
      <c r="F2396" s="531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2" t="str">
        <f t="shared" si="145"/>
        <v/>
      </c>
      <c r="E2397" s="531"/>
      <c r="F2397" s="531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2" t="str">
        <f t="shared" si="145"/>
        <v/>
      </c>
      <c r="E2398" s="531"/>
      <c r="F2398" s="531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2" t="str">
        <f t="shared" si="145"/>
        <v/>
      </c>
      <c r="E2399" s="531"/>
      <c r="F2399" s="531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2" t="str">
        <f t="shared" si="145"/>
        <v/>
      </c>
      <c r="E2400" s="531"/>
      <c r="F2400" s="531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2" t="str">
        <f t="shared" si="145"/>
        <v/>
      </c>
      <c r="E2401" s="531"/>
      <c r="F2401" s="531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2" t="str">
        <f t="shared" si="145"/>
        <v/>
      </c>
      <c r="E2402" s="531"/>
      <c r="F2402" s="531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2" t="str">
        <f t="shared" si="145"/>
        <v/>
      </c>
      <c r="E2403" s="531"/>
      <c r="F2403" s="531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2" t="str">
        <f t="shared" si="145"/>
        <v/>
      </c>
      <c r="E2404" s="531"/>
      <c r="F2404" s="531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2" t="str">
        <f t="shared" si="145"/>
        <v/>
      </c>
      <c r="E2405" s="531"/>
      <c r="F2405" s="531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2" t="str">
        <f t="shared" si="145"/>
        <v/>
      </c>
      <c r="E2406" s="531"/>
      <c r="F2406" s="531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2" t="str">
        <f t="shared" si="145"/>
        <v/>
      </c>
      <c r="E2407" s="531"/>
      <c r="F2407" s="531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2" t="str">
        <f t="shared" si="145"/>
        <v/>
      </c>
      <c r="E2408" s="531"/>
      <c r="F2408" s="531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2" t="str">
        <f t="shared" si="145"/>
        <v/>
      </c>
      <c r="E2409" s="531"/>
      <c r="F2409" s="531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2" t="str">
        <f t="shared" si="145"/>
        <v/>
      </c>
      <c r="E2410" s="531"/>
      <c r="F2410" s="531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2" t="str">
        <f t="shared" si="145"/>
        <v/>
      </c>
      <c r="E2411" s="531"/>
      <c r="F2411" s="531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2" t="str">
        <f t="shared" si="145"/>
        <v/>
      </c>
      <c r="E2412" s="531"/>
      <c r="F2412" s="531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2" t="str">
        <f t="shared" si="145"/>
        <v/>
      </c>
      <c r="E2413" s="531"/>
      <c r="F2413" s="531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2" t="str">
        <f t="shared" si="145"/>
        <v/>
      </c>
      <c r="E2414" s="531"/>
      <c r="F2414" s="531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2" t="str">
        <f t="shared" si="145"/>
        <v/>
      </c>
      <c r="E2415" s="531"/>
      <c r="F2415" s="531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2" t="str">
        <f t="shared" si="145"/>
        <v/>
      </c>
      <c r="E2416" s="531"/>
      <c r="F2416" s="531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2" t="str">
        <f t="shared" si="145"/>
        <v/>
      </c>
      <c r="E2417" s="531"/>
      <c r="F2417" s="531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2" t="str">
        <f t="shared" si="145"/>
        <v/>
      </c>
      <c r="E2418" s="531"/>
      <c r="F2418" s="531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2" t="str">
        <f t="shared" si="145"/>
        <v/>
      </c>
      <c r="E2419" s="531"/>
      <c r="F2419" s="531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2" t="str">
        <f t="shared" si="145"/>
        <v/>
      </c>
      <c r="E2420" s="531"/>
      <c r="F2420" s="531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2" t="str">
        <f t="shared" si="145"/>
        <v/>
      </c>
      <c r="E2421" s="531"/>
      <c r="F2421" s="531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2" t="str">
        <f t="shared" si="145"/>
        <v/>
      </c>
      <c r="E2422" s="531"/>
      <c r="F2422" s="531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2" t="str">
        <f t="shared" si="145"/>
        <v/>
      </c>
      <c r="E2423" s="531"/>
      <c r="F2423" s="531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2" t="str">
        <f t="shared" si="145"/>
        <v/>
      </c>
      <c r="E2424" s="531"/>
      <c r="F2424" s="531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2" t="str">
        <f t="shared" si="145"/>
        <v/>
      </c>
      <c r="E2425" s="531"/>
      <c r="F2425" s="531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2" t="str">
        <f t="shared" si="145"/>
        <v/>
      </c>
      <c r="E2426" s="531"/>
      <c r="F2426" s="531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2" t="str">
        <f t="shared" si="145"/>
        <v/>
      </c>
      <c r="E2427" s="531"/>
      <c r="F2427" s="531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2" t="str">
        <f t="shared" si="145"/>
        <v/>
      </c>
      <c r="E2428" s="531"/>
      <c r="F2428" s="531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2" t="str">
        <f t="shared" si="145"/>
        <v/>
      </c>
      <c r="E2429" s="531"/>
      <c r="F2429" s="531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2" t="str">
        <f t="shared" si="145"/>
        <v/>
      </c>
      <c r="E2430" s="531"/>
      <c r="F2430" s="531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2" t="str">
        <f t="shared" si="145"/>
        <v/>
      </c>
      <c r="E2431" s="531"/>
      <c r="F2431" s="531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2" t="str">
        <f t="shared" si="145"/>
        <v/>
      </c>
      <c r="E2432" s="531"/>
      <c r="F2432" s="531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2" t="str">
        <f t="shared" si="145"/>
        <v/>
      </c>
      <c r="E2433" s="531"/>
      <c r="F2433" s="531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2" t="str">
        <f t="shared" si="145"/>
        <v/>
      </c>
      <c r="E2434" s="531"/>
      <c r="F2434" s="531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2" t="str">
        <f t="shared" si="145"/>
        <v/>
      </c>
      <c r="E2435" s="531"/>
      <c r="F2435" s="531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2" t="str">
        <f t="shared" si="145"/>
        <v/>
      </c>
      <c r="E2436" s="531"/>
      <c r="F2436" s="531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2" t="str">
        <f t="shared" si="145"/>
        <v/>
      </c>
      <c r="E2437" s="531"/>
      <c r="F2437" s="531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2" t="str">
        <f t="shared" si="145"/>
        <v/>
      </c>
      <c r="E2438" s="531"/>
      <c r="F2438" s="531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2" t="str">
        <f t="shared" si="145"/>
        <v/>
      </c>
      <c r="E2439" s="531"/>
      <c r="F2439" s="531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2" t="str">
        <f t="shared" si="145"/>
        <v/>
      </c>
      <c r="E2440" s="531"/>
      <c r="F2440" s="531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2" t="str">
        <f t="shared" ref="D2441:D2504" si="148">IF(A2441&lt;&gt;"",PROPER(TEXT(A2441,"Mmmm")),"")</f>
        <v/>
      </c>
      <c r="E2441" s="531"/>
      <c r="F2441" s="531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2" t="str">
        <f t="shared" si="148"/>
        <v/>
      </c>
      <c r="E2442" s="531"/>
      <c r="F2442" s="531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2" t="str">
        <f t="shared" si="148"/>
        <v/>
      </c>
      <c r="E2443" s="531"/>
      <c r="F2443" s="531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2" t="str">
        <f t="shared" si="148"/>
        <v/>
      </c>
      <c r="E2444" s="531"/>
      <c r="F2444" s="531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2" t="str">
        <f t="shared" si="148"/>
        <v/>
      </c>
      <c r="E2445" s="531"/>
      <c r="F2445" s="531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2" t="str">
        <f t="shared" si="148"/>
        <v/>
      </c>
      <c r="E2446" s="531"/>
      <c r="F2446" s="531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2" t="str">
        <f t="shared" si="148"/>
        <v/>
      </c>
      <c r="E2447" s="531"/>
      <c r="F2447" s="531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2" t="str">
        <f t="shared" si="148"/>
        <v/>
      </c>
      <c r="E2448" s="531"/>
      <c r="F2448" s="531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2" t="str">
        <f t="shared" si="148"/>
        <v/>
      </c>
      <c r="E2449" s="531"/>
      <c r="F2449" s="531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2" t="str">
        <f t="shared" si="148"/>
        <v/>
      </c>
      <c r="E2450" s="531"/>
      <c r="F2450" s="531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2" t="str">
        <f t="shared" si="148"/>
        <v/>
      </c>
      <c r="E2451" s="531"/>
      <c r="F2451" s="531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2" t="str">
        <f t="shared" si="148"/>
        <v/>
      </c>
      <c r="E2452" s="531"/>
      <c r="F2452" s="531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2" t="str">
        <f t="shared" si="148"/>
        <v/>
      </c>
      <c r="E2453" s="531"/>
      <c r="F2453" s="531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2" t="str">
        <f t="shared" si="148"/>
        <v/>
      </c>
      <c r="E2454" s="531"/>
      <c r="F2454" s="531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2" t="str">
        <f t="shared" si="148"/>
        <v/>
      </c>
      <c r="E2455" s="531"/>
      <c r="F2455" s="531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2" t="str">
        <f t="shared" si="148"/>
        <v/>
      </c>
      <c r="E2456" s="531"/>
      <c r="F2456" s="531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2" t="str">
        <f t="shared" si="148"/>
        <v/>
      </c>
      <c r="E2457" s="531"/>
      <c r="F2457" s="531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2" t="str">
        <f t="shared" si="148"/>
        <v/>
      </c>
      <c r="E2458" s="531"/>
      <c r="F2458" s="531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2" t="str">
        <f t="shared" si="148"/>
        <v/>
      </c>
      <c r="E2459" s="531"/>
      <c r="F2459" s="531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2" t="str">
        <f t="shared" si="148"/>
        <v/>
      </c>
      <c r="E2460" s="531"/>
      <c r="F2460" s="531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2" t="str">
        <f t="shared" si="148"/>
        <v/>
      </c>
      <c r="E2461" s="531"/>
      <c r="F2461" s="531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2" t="str">
        <f t="shared" si="148"/>
        <v/>
      </c>
      <c r="E2462" s="531"/>
      <c r="F2462" s="531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2" t="str">
        <f t="shared" si="148"/>
        <v/>
      </c>
      <c r="E2463" s="531"/>
      <c r="F2463" s="531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2" t="str">
        <f t="shared" si="148"/>
        <v/>
      </c>
      <c r="E2464" s="531"/>
      <c r="F2464" s="531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2" t="str">
        <f t="shared" si="148"/>
        <v/>
      </c>
      <c r="E2465" s="531"/>
      <c r="F2465" s="531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2" t="str">
        <f t="shared" si="148"/>
        <v/>
      </c>
      <c r="E2466" s="531"/>
      <c r="F2466" s="531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2" t="str">
        <f t="shared" si="148"/>
        <v/>
      </c>
      <c r="E2467" s="531"/>
      <c r="F2467" s="531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2" t="str">
        <f t="shared" si="148"/>
        <v/>
      </c>
      <c r="E2468" s="531"/>
      <c r="F2468" s="531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2" t="str">
        <f t="shared" si="148"/>
        <v/>
      </c>
      <c r="E2469" s="531"/>
      <c r="F2469" s="531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2" t="str">
        <f t="shared" si="148"/>
        <v/>
      </c>
      <c r="E2470" s="531"/>
      <c r="F2470" s="531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2" t="str">
        <f t="shared" si="148"/>
        <v/>
      </c>
      <c r="E2471" s="531"/>
      <c r="F2471" s="531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2" t="str">
        <f t="shared" si="148"/>
        <v/>
      </c>
      <c r="E2472" s="531"/>
      <c r="F2472" s="531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2" t="str">
        <f t="shared" si="148"/>
        <v/>
      </c>
      <c r="E2473" s="531"/>
      <c r="F2473" s="531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2" t="str">
        <f t="shared" si="148"/>
        <v/>
      </c>
      <c r="E2474" s="531"/>
      <c r="F2474" s="531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2" t="str">
        <f t="shared" si="148"/>
        <v/>
      </c>
      <c r="E2475" s="531"/>
      <c r="F2475" s="531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2" t="str">
        <f t="shared" si="148"/>
        <v/>
      </c>
      <c r="E2476" s="531"/>
      <c r="F2476" s="531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2" t="str">
        <f t="shared" si="148"/>
        <v/>
      </c>
      <c r="E2477" s="531"/>
      <c r="F2477" s="531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2" t="str">
        <f t="shared" si="148"/>
        <v/>
      </c>
      <c r="E2478" s="531"/>
      <c r="F2478" s="531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2" t="str">
        <f t="shared" si="148"/>
        <v/>
      </c>
      <c r="E2479" s="531"/>
      <c r="F2479" s="531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2" t="str">
        <f t="shared" si="148"/>
        <v/>
      </c>
      <c r="E2480" s="531"/>
      <c r="F2480" s="531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2" t="str">
        <f t="shared" si="148"/>
        <v/>
      </c>
      <c r="E2481" s="531"/>
      <c r="F2481" s="531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2" t="str">
        <f t="shared" si="148"/>
        <v/>
      </c>
      <c r="E2482" s="531"/>
      <c r="F2482" s="531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2" t="str">
        <f t="shared" si="148"/>
        <v/>
      </c>
      <c r="E2483" s="531"/>
      <c r="F2483" s="531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2" t="str">
        <f t="shared" si="148"/>
        <v/>
      </c>
      <c r="E2484" s="531"/>
      <c r="F2484" s="531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2" t="str">
        <f t="shared" si="148"/>
        <v/>
      </c>
      <c r="E2485" s="531"/>
      <c r="F2485" s="531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2" t="str">
        <f t="shared" si="148"/>
        <v/>
      </c>
      <c r="E2486" s="531"/>
      <c r="F2486" s="531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2" t="str">
        <f t="shared" si="148"/>
        <v/>
      </c>
      <c r="E2487" s="531"/>
      <c r="F2487" s="531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2" t="str">
        <f t="shared" si="148"/>
        <v/>
      </c>
      <c r="E2488" s="531"/>
      <c r="F2488" s="531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2" t="str">
        <f t="shared" si="148"/>
        <v/>
      </c>
      <c r="E2489" s="531"/>
      <c r="F2489" s="531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2" t="str">
        <f t="shared" si="148"/>
        <v/>
      </c>
      <c r="E2490" s="531"/>
      <c r="F2490" s="531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2" t="str">
        <f t="shared" si="148"/>
        <v/>
      </c>
      <c r="E2491" s="531"/>
      <c r="F2491" s="531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2" t="str">
        <f t="shared" si="148"/>
        <v/>
      </c>
      <c r="E2492" s="531"/>
      <c r="F2492" s="531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2" t="str">
        <f t="shared" si="148"/>
        <v/>
      </c>
      <c r="E2493" s="531"/>
      <c r="F2493" s="531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2" t="str">
        <f t="shared" si="148"/>
        <v/>
      </c>
      <c r="E2494" s="531"/>
      <c r="F2494" s="531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2" t="str">
        <f t="shared" si="148"/>
        <v/>
      </c>
      <c r="E2495" s="531"/>
      <c r="F2495" s="531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2" t="str">
        <f t="shared" si="148"/>
        <v/>
      </c>
      <c r="E2496" s="531"/>
      <c r="F2496" s="531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2" t="str">
        <f t="shared" si="148"/>
        <v/>
      </c>
      <c r="E2497" s="531"/>
      <c r="F2497" s="531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2" t="str">
        <f t="shared" si="148"/>
        <v/>
      </c>
      <c r="E2498" s="531"/>
      <c r="F2498" s="531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2" t="str">
        <f t="shared" si="148"/>
        <v/>
      </c>
      <c r="E2499" s="531"/>
      <c r="F2499" s="531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2" t="str">
        <f t="shared" si="148"/>
        <v/>
      </c>
      <c r="E2500" s="531"/>
      <c r="F2500" s="531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2" t="str">
        <f t="shared" si="148"/>
        <v/>
      </c>
      <c r="E2501" s="531"/>
      <c r="F2501" s="531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2" t="str">
        <f t="shared" si="148"/>
        <v/>
      </c>
      <c r="E2502" s="531"/>
      <c r="F2502" s="531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2" t="str">
        <f t="shared" si="148"/>
        <v/>
      </c>
      <c r="E2503" s="531"/>
      <c r="F2503" s="531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2" t="str">
        <f t="shared" si="148"/>
        <v/>
      </c>
      <c r="E2504" s="531"/>
      <c r="F2504" s="531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2" t="str">
        <f t="shared" ref="D2505:D2568" si="151">IF(A2505&lt;&gt;"",PROPER(TEXT(A2505,"Mmmm")),"")</f>
        <v/>
      </c>
      <c r="E2505" s="531"/>
      <c r="F2505" s="531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2" t="str">
        <f t="shared" si="151"/>
        <v/>
      </c>
      <c r="E2506" s="531"/>
      <c r="F2506" s="531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2" t="str">
        <f t="shared" si="151"/>
        <v/>
      </c>
      <c r="E2507" s="531"/>
      <c r="F2507" s="531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2" t="str">
        <f t="shared" si="151"/>
        <v/>
      </c>
      <c r="E2508" s="531"/>
      <c r="F2508" s="531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2" t="str">
        <f t="shared" si="151"/>
        <v/>
      </c>
      <c r="E2509" s="531"/>
      <c r="F2509" s="531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2" t="str">
        <f t="shared" si="151"/>
        <v/>
      </c>
      <c r="E2510" s="531"/>
      <c r="F2510" s="531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2" t="str">
        <f t="shared" si="151"/>
        <v/>
      </c>
      <c r="E2511" s="531"/>
      <c r="F2511" s="531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2" t="str">
        <f t="shared" si="151"/>
        <v/>
      </c>
      <c r="E2512" s="531"/>
      <c r="F2512" s="531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2" t="str">
        <f t="shared" si="151"/>
        <v/>
      </c>
      <c r="E2513" s="531"/>
      <c r="F2513" s="531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2" t="str">
        <f t="shared" si="151"/>
        <v/>
      </c>
      <c r="E2514" s="531"/>
      <c r="F2514" s="531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2" t="str">
        <f t="shared" si="151"/>
        <v/>
      </c>
      <c r="E2515" s="531"/>
      <c r="F2515" s="531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2" t="str">
        <f t="shared" si="151"/>
        <v/>
      </c>
      <c r="E2516" s="531"/>
      <c r="F2516" s="531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2" t="str">
        <f t="shared" si="151"/>
        <v/>
      </c>
      <c r="E2517" s="531"/>
      <c r="F2517" s="531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2" t="str">
        <f t="shared" si="151"/>
        <v/>
      </c>
      <c r="E2518" s="531"/>
      <c r="F2518" s="531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2" t="str">
        <f t="shared" si="151"/>
        <v/>
      </c>
      <c r="E2519" s="531"/>
      <c r="F2519" s="531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2" t="str">
        <f t="shared" si="151"/>
        <v/>
      </c>
      <c r="E2520" s="531"/>
      <c r="F2520" s="531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2" t="str">
        <f t="shared" si="151"/>
        <v/>
      </c>
      <c r="E2521" s="531"/>
      <c r="F2521" s="531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2" t="str">
        <f t="shared" si="151"/>
        <v/>
      </c>
      <c r="E2522" s="531"/>
      <c r="F2522" s="531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2" t="str">
        <f t="shared" si="151"/>
        <v/>
      </c>
      <c r="E2523" s="531"/>
      <c r="F2523" s="531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2" t="str">
        <f t="shared" si="151"/>
        <v/>
      </c>
      <c r="E2524" s="531"/>
      <c r="F2524" s="531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2" t="str">
        <f t="shared" si="151"/>
        <v/>
      </c>
      <c r="E2525" s="531"/>
      <c r="F2525" s="531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2" t="str">
        <f t="shared" si="151"/>
        <v/>
      </c>
      <c r="E2526" s="531"/>
      <c r="F2526" s="531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2" t="str">
        <f t="shared" si="151"/>
        <v/>
      </c>
      <c r="E2527" s="531"/>
      <c r="F2527" s="531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2" t="str">
        <f t="shared" si="151"/>
        <v/>
      </c>
      <c r="E2528" s="531"/>
      <c r="F2528" s="531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2" t="str">
        <f t="shared" si="151"/>
        <v/>
      </c>
      <c r="E2529" s="531"/>
      <c r="F2529" s="531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2" t="str">
        <f t="shared" si="151"/>
        <v/>
      </c>
      <c r="E2530" s="531"/>
      <c r="F2530" s="531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2" t="str">
        <f t="shared" si="151"/>
        <v/>
      </c>
      <c r="E2531" s="531"/>
      <c r="F2531" s="531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2" t="str">
        <f t="shared" si="151"/>
        <v/>
      </c>
      <c r="E2532" s="531"/>
      <c r="F2532" s="531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2" t="str">
        <f t="shared" si="151"/>
        <v/>
      </c>
      <c r="E2533" s="531"/>
      <c r="F2533" s="531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2" t="str">
        <f t="shared" si="151"/>
        <v/>
      </c>
      <c r="E2534" s="531"/>
      <c r="F2534" s="531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2" t="str">
        <f t="shared" si="151"/>
        <v/>
      </c>
      <c r="E2535" s="531"/>
      <c r="F2535" s="531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2" t="str">
        <f t="shared" si="151"/>
        <v/>
      </c>
      <c r="E2536" s="531"/>
      <c r="F2536" s="531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2" t="str">
        <f t="shared" si="151"/>
        <v/>
      </c>
      <c r="E2537" s="531"/>
      <c r="F2537" s="531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2" t="str">
        <f t="shared" si="151"/>
        <v/>
      </c>
      <c r="E2538" s="531"/>
      <c r="F2538" s="531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2" t="str">
        <f t="shared" si="151"/>
        <v/>
      </c>
      <c r="E2539" s="531"/>
      <c r="F2539" s="531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2" t="str">
        <f t="shared" si="151"/>
        <v/>
      </c>
      <c r="E2540" s="531"/>
      <c r="F2540" s="531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2" t="str">
        <f t="shared" si="151"/>
        <v/>
      </c>
      <c r="E2541" s="531"/>
      <c r="F2541" s="531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2" t="str">
        <f t="shared" si="151"/>
        <v/>
      </c>
      <c r="E2542" s="531"/>
      <c r="F2542" s="531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2" t="str">
        <f t="shared" si="151"/>
        <v/>
      </c>
      <c r="E2543" s="531"/>
      <c r="F2543" s="531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2" t="str">
        <f t="shared" si="151"/>
        <v/>
      </c>
      <c r="E2544" s="531"/>
      <c r="F2544" s="531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2" t="str">
        <f t="shared" si="151"/>
        <v/>
      </c>
      <c r="E2545" s="531"/>
      <c r="F2545" s="531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2" t="str">
        <f t="shared" si="151"/>
        <v/>
      </c>
      <c r="E2546" s="531"/>
      <c r="F2546" s="531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2" t="str">
        <f t="shared" si="151"/>
        <v/>
      </c>
      <c r="E2547" s="531"/>
      <c r="F2547" s="531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2" t="str">
        <f t="shared" si="151"/>
        <v/>
      </c>
      <c r="E2548" s="531"/>
      <c r="F2548" s="531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2" t="str">
        <f t="shared" si="151"/>
        <v/>
      </c>
      <c r="E2549" s="531"/>
      <c r="F2549" s="531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2" t="str">
        <f t="shared" si="151"/>
        <v/>
      </c>
      <c r="E2550" s="531"/>
      <c r="F2550" s="531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2" t="str">
        <f t="shared" si="151"/>
        <v/>
      </c>
      <c r="E2551" s="531"/>
      <c r="F2551" s="531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2" t="str">
        <f t="shared" si="151"/>
        <v/>
      </c>
      <c r="E2552" s="531"/>
      <c r="F2552" s="531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2" t="str">
        <f t="shared" si="151"/>
        <v/>
      </c>
      <c r="E2553" s="531"/>
      <c r="F2553" s="531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2" t="str">
        <f t="shared" si="151"/>
        <v/>
      </c>
      <c r="E2554" s="531"/>
      <c r="F2554" s="531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2" t="str">
        <f t="shared" si="151"/>
        <v/>
      </c>
      <c r="E2555" s="531"/>
      <c r="F2555" s="531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2" t="str">
        <f t="shared" si="151"/>
        <v/>
      </c>
      <c r="E2556" s="531"/>
      <c r="F2556" s="531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2" t="str">
        <f t="shared" si="151"/>
        <v/>
      </c>
      <c r="E2557" s="531"/>
      <c r="F2557" s="531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2" t="str">
        <f t="shared" si="151"/>
        <v/>
      </c>
      <c r="E2558" s="531"/>
      <c r="F2558" s="531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2" t="str">
        <f t="shared" si="151"/>
        <v/>
      </c>
      <c r="E2559" s="531"/>
      <c r="F2559" s="531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2" t="str">
        <f t="shared" si="151"/>
        <v/>
      </c>
      <c r="E2560" s="531"/>
      <c r="F2560" s="531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2" t="str">
        <f t="shared" si="151"/>
        <v/>
      </c>
      <c r="E2561" s="531"/>
      <c r="F2561" s="531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2" t="str">
        <f t="shared" si="151"/>
        <v/>
      </c>
      <c r="E2562" s="531"/>
      <c r="F2562" s="531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2" t="str">
        <f t="shared" si="151"/>
        <v/>
      </c>
      <c r="E2563" s="531"/>
      <c r="F2563" s="531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2" t="str">
        <f t="shared" si="151"/>
        <v/>
      </c>
      <c r="E2564" s="531"/>
      <c r="F2564" s="531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2" t="str">
        <f t="shared" si="151"/>
        <v/>
      </c>
      <c r="E2565" s="531"/>
      <c r="F2565" s="531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2" t="str">
        <f t="shared" si="151"/>
        <v/>
      </c>
      <c r="E2566" s="531"/>
      <c r="F2566" s="531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2" t="str">
        <f t="shared" si="151"/>
        <v/>
      </c>
      <c r="E2567" s="531"/>
      <c r="F2567" s="531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2" t="str">
        <f t="shared" si="151"/>
        <v/>
      </c>
      <c r="E2568" s="531"/>
      <c r="F2568" s="531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2" t="str">
        <f t="shared" ref="D2569:D2632" si="154">IF(A2569&lt;&gt;"",PROPER(TEXT(A2569,"Mmmm")),"")</f>
        <v/>
      </c>
      <c r="E2569" s="531"/>
      <c r="F2569" s="531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2" t="str">
        <f t="shared" si="154"/>
        <v/>
      </c>
      <c r="E2570" s="531"/>
      <c r="F2570" s="531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2" t="str">
        <f t="shared" si="154"/>
        <v/>
      </c>
      <c r="E2571" s="531"/>
      <c r="F2571" s="531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2" t="str">
        <f t="shared" si="154"/>
        <v/>
      </c>
      <c r="E2572" s="531"/>
      <c r="F2572" s="531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2" t="str">
        <f t="shared" si="154"/>
        <v/>
      </c>
      <c r="E2573" s="531"/>
      <c r="F2573" s="531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2" t="str">
        <f t="shared" si="154"/>
        <v/>
      </c>
      <c r="E2574" s="531"/>
      <c r="F2574" s="531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2" t="str">
        <f t="shared" si="154"/>
        <v/>
      </c>
      <c r="E2575" s="531"/>
      <c r="F2575" s="531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2" t="str">
        <f t="shared" si="154"/>
        <v/>
      </c>
      <c r="E2576" s="531"/>
      <c r="F2576" s="531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2" t="str">
        <f t="shared" si="154"/>
        <v/>
      </c>
      <c r="E2577" s="531"/>
      <c r="F2577" s="531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2" t="str">
        <f t="shared" si="154"/>
        <v/>
      </c>
      <c r="E2578" s="531"/>
      <c r="F2578" s="531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2" t="str">
        <f t="shared" si="154"/>
        <v/>
      </c>
      <c r="E2579" s="531"/>
      <c r="F2579" s="531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2" t="str">
        <f t="shared" si="154"/>
        <v/>
      </c>
      <c r="E2580" s="531"/>
      <c r="F2580" s="531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2" t="str">
        <f t="shared" si="154"/>
        <v/>
      </c>
      <c r="E2581" s="531"/>
      <c r="F2581" s="531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2" t="str">
        <f t="shared" si="154"/>
        <v/>
      </c>
      <c r="E2582" s="531"/>
      <c r="F2582" s="531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2" t="str">
        <f t="shared" si="154"/>
        <v/>
      </c>
      <c r="E2583" s="531"/>
      <c r="F2583" s="531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2" t="str">
        <f t="shared" si="154"/>
        <v/>
      </c>
      <c r="E2584" s="531"/>
      <c r="F2584" s="531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2" t="str">
        <f t="shared" si="154"/>
        <v/>
      </c>
      <c r="E2585" s="531"/>
      <c r="F2585" s="531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2" t="str">
        <f t="shared" si="154"/>
        <v/>
      </c>
      <c r="E2586" s="531"/>
      <c r="F2586" s="531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2" t="str">
        <f t="shared" si="154"/>
        <v/>
      </c>
      <c r="E2587" s="531"/>
      <c r="F2587" s="531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2" t="str">
        <f t="shared" si="154"/>
        <v/>
      </c>
      <c r="E2588" s="531"/>
      <c r="F2588" s="531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2" t="str">
        <f t="shared" si="154"/>
        <v/>
      </c>
      <c r="E2589" s="531"/>
      <c r="F2589" s="531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2" t="str">
        <f t="shared" si="154"/>
        <v/>
      </c>
      <c r="E2590" s="531"/>
      <c r="F2590" s="531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2" t="str">
        <f t="shared" si="154"/>
        <v/>
      </c>
      <c r="E2591" s="531"/>
      <c r="F2591" s="531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2" t="str">
        <f t="shared" si="154"/>
        <v/>
      </c>
      <c r="E2592" s="531"/>
      <c r="F2592" s="531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2" t="str">
        <f t="shared" si="154"/>
        <v/>
      </c>
      <c r="E2593" s="531"/>
      <c r="F2593" s="531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2" t="str">
        <f t="shared" si="154"/>
        <v/>
      </c>
      <c r="E2594" s="531"/>
      <c r="F2594" s="531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2" t="str">
        <f t="shared" si="154"/>
        <v/>
      </c>
      <c r="E2595" s="531"/>
      <c r="F2595" s="531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2" t="str">
        <f t="shared" si="154"/>
        <v/>
      </c>
      <c r="E2596" s="531"/>
      <c r="F2596" s="531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2" t="str">
        <f t="shared" si="154"/>
        <v/>
      </c>
      <c r="E2597" s="531"/>
      <c r="F2597" s="531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2" t="str">
        <f t="shared" si="154"/>
        <v/>
      </c>
      <c r="E2598" s="531"/>
      <c r="F2598" s="531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2" t="str">
        <f t="shared" si="154"/>
        <v/>
      </c>
      <c r="E2599" s="531"/>
      <c r="F2599" s="531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2" t="str">
        <f t="shared" si="154"/>
        <v/>
      </c>
      <c r="E2600" s="531"/>
      <c r="F2600" s="531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2" t="str">
        <f t="shared" si="154"/>
        <v/>
      </c>
      <c r="E2601" s="531"/>
      <c r="F2601" s="531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2" t="str">
        <f t="shared" si="154"/>
        <v/>
      </c>
      <c r="E2602" s="531"/>
      <c r="F2602" s="531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2" t="str">
        <f t="shared" si="154"/>
        <v/>
      </c>
      <c r="E2603" s="531"/>
      <c r="F2603" s="531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2" t="str">
        <f t="shared" si="154"/>
        <v/>
      </c>
      <c r="E2604" s="531"/>
      <c r="F2604" s="531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2" t="str">
        <f t="shared" si="154"/>
        <v/>
      </c>
      <c r="E2605" s="531"/>
      <c r="F2605" s="531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2" t="str">
        <f t="shared" si="154"/>
        <v/>
      </c>
      <c r="E2606" s="531"/>
      <c r="F2606" s="531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2" t="str">
        <f t="shared" si="154"/>
        <v/>
      </c>
      <c r="E2607" s="531"/>
      <c r="F2607" s="531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2" t="str">
        <f t="shared" si="154"/>
        <v/>
      </c>
      <c r="E2608" s="531"/>
      <c r="F2608" s="531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2" t="str">
        <f t="shared" si="154"/>
        <v/>
      </c>
      <c r="E2609" s="531"/>
      <c r="F2609" s="531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2" t="str">
        <f t="shared" si="154"/>
        <v/>
      </c>
      <c r="E2610" s="531"/>
      <c r="F2610" s="531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2" t="str">
        <f t="shared" si="154"/>
        <v/>
      </c>
      <c r="E2611" s="531"/>
      <c r="F2611" s="531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2" t="str">
        <f t="shared" si="154"/>
        <v/>
      </c>
      <c r="E2612" s="531"/>
      <c r="F2612" s="531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2" t="str">
        <f t="shared" si="154"/>
        <v/>
      </c>
      <c r="E2613" s="531"/>
      <c r="F2613" s="531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2" t="str">
        <f t="shared" si="154"/>
        <v/>
      </c>
      <c r="E2614" s="531"/>
      <c r="F2614" s="531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2" t="str">
        <f t="shared" si="154"/>
        <v/>
      </c>
      <c r="E2615" s="531"/>
      <c r="F2615" s="531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2" t="str">
        <f t="shared" si="154"/>
        <v/>
      </c>
      <c r="E2616" s="531"/>
      <c r="F2616" s="531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2" t="str">
        <f t="shared" si="154"/>
        <v/>
      </c>
      <c r="E2617" s="531"/>
      <c r="F2617" s="531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2" t="str">
        <f t="shared" si="154"/>
        <v/>
      </c>
      <c r="E2618" s="531"/>
      <c r="F2618" s="531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2" t="str">
        <f t="shared" si="154"/>
        <v/>
      </c>
      <c r="E2619" s="531"/>
      <c r="F2619" s="531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2" t="str">
        <f t="shared" si="154"/>
        <v/>
      </c>
      <c r="E2620" s="531"/>
      <c r="F2620" s="531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2" t="str">
        <f t="shared" si="154"/>
        <v/>
      </c>
      <c r="E2621" s="531"/>
      <c r="F2621" s="531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2" t="str">
        <f t="shared" si="154"/>
        <v/>
      </c>
      <c r="E2622" s="531"/>
      <c r="F2622" s="531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2" t="str">
        <f t="shared" si="154"/>
        <v/>
      </c>
      <c r="E2623" s="531"/>
      <c r="F2623" s="531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2" t="str">
        <f t="shared" si="154"/>
        <v/>
      </c>
      <c r="E2624" s="531"/>
      <c r="F2624" s="531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2" t="str">
        <f t="shared" si="154"/>
        <v/>
      </c>
      <c r="E2625" s="531"/>
      <c r="F2625" s="531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2" t="str">
        <f t="shared" si="154"/>
        <v/>
      </c>
      <c r="E2626" s="531"/>
      <c r="F2626" s="531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2" t="str">
        <f t="shared" si="154"/>
        <v/>
      </c>
      <c r="E2627" s="531"/>
      <c r="F2627" s="531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2" t="str">
        <f t="shared" si="154"/>
        <v/>
      </c>
      <c r="E2628" s="531"/>
      <c r="F2628" s="531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2" t="str">
        <f t="shared" si="154"/>
        <v/>
      </c>
      <c r="E2629" s="531"/>
      <c r="F2629" s="531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2" t="str">
        <f t="shared" si="154"/>
        <v/>
      </c>
      <c r="E2630" s="531"/>
      <c r="F2630" s="531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2" t="str">
        <f t="shared" si="154"/>
        <v/>
      </c>
      <c r="E2631" s="531"/>
      <c r="F2631" s="531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2" t="str">
        <f t="shared" si="154"/>
        <v/>
      </c>
      <c r="E2632" s="531"/>
      <c r="F2632" s="531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2" t="str">
        <f t="shared" ref="D2633:D2696" si="157">IF(A2633&lt;&gt;"",PROPER(TEXT(A2633,"Mmmm")),"")</f>
        <v/>
      </c>
      <c r="E2633" s="531"/>
      <c r="F2633" s="531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2" t="str">
        <f t="shared" si="157"/>
        <v/>
      </c>
      <c r="E2634" s="531"/>
      <c r="F2634" s="531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2" t="str">
        <f t="shared" si="157"/>
        <v/>
      </c>
      <c r="E2635" s="531"/>
      <c r="F2635" s="531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2" t="str">
        <f t="shared" si="157"/>
        <v/>
      </c>
      <c r="E2636" s="531"/>
      <c r="F2636" s="531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2" t="str">
        <f t="shared" si="157"/>
        <v/>
      </c>
      <c r="E2637" s="531"/>
      <c r="F2637" s="531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2" t="str">
        <f t="shared" si="157"/>
        <v/>
      </c>
      <c r="E2638" s="531"/>
      <c r="F2638" s="531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2" t="str">
        <f t="shared" si="157"/>
        <v/>
      </c>
      <c r="E2639" s="531"/>
      <c r="F2639" s="531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2" t="str">
        <f t="shared" si="157"/>
        <v/>
      </c>
      <c r="E2640" s="531"/>
      <c r="F2640" s="531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2" t="str">
        <f t="shared" si="157"/>
        <v/>
      </c>
      <c r="E2641" s="531"/>
      <c r="F2641" s="531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2" t="str">
        <f t="shared" si="157"/>
        <v/>
      </c>
      <c r="E2642" s="531"/>
      <c r="F2642" s="531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2" t="str">
        <f t="shared" si="157"/>
        <v/>
      </c>
      <c r="E2643" s="531"/>
      <c r="F2643" s="531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2" t="str">
        <f t="shared" si="157"/>
        <v/>
      </c>
      <c r="E2644" s="531"/>
      <c r="F2644" s="531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2" t="str">
        <f t="shared" si="157"/>
        <v/>
      </c>
      <c r="E2645" s="531"/>
      <c r="F2645" s="531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2" t="str">
        <f t="shared" si="157"/>
        <v/>
      </c>
      <c r="E2646" s="531"/>
      <c r="F2646" s="531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2" t="str">
        <f t="shared" si="157"/>
        <v/>
      </c>
      <c r="E2647" s="531"/>
      <c r="F2647" s="531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2" t="str">
        <f t="shared" si="157"/>
        <v/>
      </c>
      <c r="E2648" s="531"/>
      <c r="F2648" s="531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2" t="str">
        <f t="shared" si="157"/>
        <v/>
      </c>
      <c r="E2649" s="531"/>
      <c r="F2649" s="531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2" t="str">
        <f t="shared" si="157"/>
        <v/>
      </c>
      <c r="E2650" s="531"/>
      <c r="F2650" s="531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2" t="str">
        <f t="shared" si="157"/>
        <v/>
      </c>
      <c r="E2651" s="531"/>
      <c r="F2651" s="531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2" t="str">
        <f t="shared" si="157"/>
        <v/>
      </c>
      <c r="E2652" s="531"/>
      <c r="F2652" s="531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2" t="str">
        <f t="shared" si="157"/>
        <v/>
      </c>
      <c r="E2653" s="531"/>
      <c r="F2653" s="531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2" t="str">
        <f t="shared" si="157"/>
        <v/>
      </c>
      <c r="E2654" s="531"/>
      <c r="F2654" s="531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2" t="str">
        <f t="shared" si="157"/>
        <v/>
      </c>
      <c r="E2655" s="531"/>
      <c r="F2655" s="531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2" t="str">
        <f t="shared" si="157"/>
        <v/>
      </c>
      <c r="E2656" s="531"/>
      <c r="F2656" s="531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2" t="str">
        <f t="shared" si="157"/>
        <v/>
      </c>
      <c r="E2657" s="531"/>
      <c r="F2657" s="531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2" t="str">
        <f t="shared" si="157"/>
        <v/>
      </c>
      <c r="E2658" s="531"/>
      <c r="F2658" s="531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2" t="str">
        <f t="shared" si="157"/>
        <v/>
      </c>
      <c r="E2659" s="531"/>
      <c r="F2659" s="531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2" t="str">
        <f t="shared" si="157"/>
        <v/>
      </c>
      <c r="E2660" s="531"/>
      <c r="F2660" s="531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2" t="str">
        <f t="shared" si="157"/>
        <v/>
      </c>
      <c r="E2661" s="531"/>
      <c r="F2661" s="531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2" t="str">
        <f t="shared" si="157"/>
        <v/>
      </c>
      <c r="E2662" s="531"/>
      <c r="F2662" s="531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2" t="str">
        <f t="shared" si="157"/>
        <v/>
      </c>
      <c r="E2663" s="531"/>
      <c r="F2663" s="531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2" t="str">
        <f t="shared" si="157"/>
        <v/>
      </c>
      <c r="E2664" s="531"/>
      <c r="F2664" s="531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2" t="str">
        <f t="shared" si="157"/>
        <v/>
      </c>
      <c r="E2665" s="531"/>
      <c r="F2665" s="531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2" t="str">
        <f t="shared" si="157"/>
        <v/>
      </c>
      <c r="E2666" s="531"/>
      <c r="F2666" s="531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2" t="str">
        <f t="shared" si="157"/>
        <v/>
      </c>
      <c r="E2667" s="531"/>
      <c r="F2667" s="531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2" t="str">
        <f t="shared" si="157"/>
        <v/>
      </c>
      <c r="E2668" s="531"/>
      <c r="F2668" s="531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2" t="str">
        <f t="shared" si="157"/>
        <v/>
      </c>
      <c r="E2669" s="531"/>
      <c r="F2669" s="531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2" t="str">
        <f t="shared" si="157"/>
        <v/>
      </c>
      <c r="E2670" s="531"/>
      <c r="F2670" s="531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2" t="str">
        <f t="shared" si="157"/>
        <v/>
      </c>
      <c r="E2671" s="531"/>
      <c r="F2671" s="531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2" t="str">
        <f t="shared" si="157"/>
        <v/>
      </c>
      <c r="E2672" s="531"/>
      <c r="F2672" s="531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2" t="str">
        <f t="shared" si="157"/>
        <v/>
      </c>
      <c r="E2673" s="531"/>
      <c r="F2673" s="531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2" t="str">
        <f t="shared" si="157"/>
        <v/>
      </c>
      <c r="E2674" s="531"/>
      <c r="F2674" s="531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2" t="str">
        <f t="shared" si="157"/>
        <v/>
      </c>
      <c r="E2675" s="531"/>
      <c r="F2675" s="531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2" t="str">
        <f t="shared" si="157"/>
        <v/>
      </c>
      <c r="E2676" s="531"/>
      <c r="F2676" s="531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2" t="str">
        <f t="shared" si="157"/>
        <v/>
      </c>
      <c r="E2677" s="531"/>
      <c r="F2677" s="531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2" t="str">
        <f t="shared" si="157"/>
        <v/>
      </c>
      <c r="E2678" s="531"/>
      <c r="F2678" s="531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2" t="str">
        <f t="shared" si="157"/>
        <v/>
      </c>
      <c r="E2679" s="531"/>
      <c r="F2679" s="531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2" t="str">
        <f t="shared" si="157"/>
        <v/>
      </c>
      <c r="E2680" s="531"/>
      <c r="F2680" s="531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2" t="str">
        <f t="shared" si="157"/>
        <v/>
      </c>
      <c r="E2681" s="531"/>
      <c r="F2681" s="531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2" t="str">
        <f t="shared" si="157"/>
        <v/>
      </c>
      <c r="E2682" s="531"/>
      <c r="F2682" s="531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2" t="str">
        <f t="shared" si="157"/>
        <v/>
      </c>
      <c r="E2683" s="531"/>
      <c r="F2683" s="531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2" t="str">
        <f t="shared" si="157"/>
        <v/>
      </c>
      <c r="E2684" s="531"/>
      <c r="F2684" s="531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2" t="str">
        <f t="shared" si="157"/>
        <v/>
      </c>
      <c r="E2685" s="531"/>
      <c r="F2685" s="531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2" t="str">
        <f t="shared" si="157"/>
        <v/>
      </c>
      <c r="E2686" s="531"/>
      <c r="F2686" s="531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2" t="str">
        <f t="shared" si="157"/>
        <v/>
      </c>
      <c r="E2687" s="531"/>
      <c r="F2687" s="531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2" t="str">
        <f t="shared" si="157"/>
        <v/>
      </c>
      <c r="E2688" s="531"/>
      <c r="F2688" s="531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2" t="str">
        <f t="shared" si="157"/>
        <v/>
      </c>
      <c r="E2689" s="531"/>
      <c r="F2689" s="531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2" t="str">
        <f t="shared" si="157"/>
        <v/>
      </c>
      <c r="E2690" s="531"/>
      <c r="F2690" s="531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2" t="str">
        <f t="shared" si="157"/>
        <v/>
      </c>
      <c r="E2691" s="531"/>
      <c r="F2691" s="531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2" t="str">
        <f t="shared" si="157"/>
        <v/>
      </c>
      <c r="E2692" s="531"/>
      <c r="F2692" s="531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2" t="str">
        <f t="shared" si="157"/>
        <v/>
      </c>
      <c r="E2693" s="531"/>
      <c r="F2693" s="531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2" t="str">
        <f t="shared" si="157"/>
        <v/>
      </c>
      <c r="E2694" s="531"/>
      <c r="F2694" s="531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2" t="str">
        <f t="shared" si="157"/>
        <v/>
      </c>
      <c r="E2695" s="531"/>
      <c r="F2695" s="531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2" t="str">
        <f t="shared" si="157"/>
        <v/>
      </c>
      <c r="E2696" s="531"/>
      <c r="F2696" s="531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2" t="str">
        <f t="shared" ref="D2697:D2760" si="160">IF(A2697&lt;&gt;"",PROPER(TEXT(A2697,"Mmmm")),"")</f>
        <v/>
      </c>
      <c r="E2697" s="531"/>
      <c r="F2697" s="531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2" t="str">
        <f t="shared" si="160"/>
        <v/>
      </c>
      <c r="E2698" s="531"/>
      <c r="F2698" s="531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2" t="str">
        <f t="shared" si="160"/>
        <v/>
      </c>
      <c r="E2699" s="531"/>
      <c r="F2699" s="531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2" t="str">
        <f t="shared" si="160"/>
        <v/>
      </c>
      <c r="E2700" s="531"/>
      <c r="F2700" s="531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2" t="str">
        <f t="shared" si="160"/>
        <v/>
      </c>
      <c r="E2701" s="531"/>
      <c r="F2701" s="531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2" t="str">
        <f t="shared" si="160"/>
        <v/>
      </c>
      <c r="E2702" s="531"/>
      <c r="F2702" s="531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2" t="str">
        <f t="shared" si="160"/>
        <v/>
      </c>
      <c r="E2703" s="531"/>
      <c r="F2703" s="531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2" t="str">
        <f t="shared" si="160"/>
        <v/>
      </c>
      <c r="E2704" s="531"/>
      <c r="F2704" s="531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2" t="str">
        <f t="shared" si="160"/>
        <v/>
      </c>
      <c r="E2705" s="531"/>
      <c r="F2705" s="531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2" t="str">
        <f t="shared" si="160"/>
        <v/>
      </c>
      <c r="E2706" s="531"/>
      <c r="F2706" s="531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2" t="str">
        <f t="shared" si="160"/>
        <v/>
      </c>
      <c r="E2707" s="531"/>
      <c r="F2707" s="531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2" t="str">
        <f t="shared" si="160"/>
        <v/>
      </c>
      <c r="E2708" s="531"/>
      <c r="F2708" s="531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2" t="str">
        <f t="shared" si="160"/>
        <v/>
      </c>
      <c r="E2709" s="531"/>
      <c r="F2709" s="531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2" t="str">
        <f t="shared" si="160"/>
        <v/>
      </c>
      <c r="E2710" s="531"/>
      <c r="F2710" s="531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2" t="str">
        <f t="shared" si="160"/>
        <v/>
      </c>
      <c r="E2711" s="531"/>
      <c r="F2711" s="531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2" t="str">
        <f t="shared" si="160"/>
        <v/>
      </c>
      <c r="E2712" s="531"/>
      <c r="F2712" s="531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2" t="str">
        <f t="shared" si="160"/>
        <v/>
      </c>
      <c r="E2713" s="531"/>
      <c r="F2713" s="531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2" t="str">
        <f t="shared" si="160"/>
        <v/>
      </c>
      <c r="E2714" s="531"/>
      <c r="F2714" s="531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2" t="str">
        <f t="shared" si="160"/>
        <v/>
      </c>
      <c r="E2715" s="531"/>
      <c r="F2715" s="531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2" t="str">
        <f t="shared" si="160"/>
        <v/>
      </c>
      <c r="E2716" s="531"/>
      <c r="F2716" s="531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2" t="str">
        <f t="shared" si="160"/>
        <v/>
      </c>
      <c r="E2717" s="531"/>
      <c r="F2717" s="531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2" t="str">
        <f t="shared" si="160"/>
        <v/>
      </c>
      <c r="E2718" s="531"/>
      <c r="F2718" s="531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2" t="str">
        <f t="shared" si="160"/>
        <v/>
      </c>
      <c r="E2719" s="531"/>
      <c r="F2719" s="531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2" t="str">
        <f t="shared" si="160"/>
        <v/>
      </c>
      <c r="E2720" s="531"/>
      <c r="F2720" s="531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2" t="str">
        <f t="shared" si="160"/>
        <v/>
      </c>
      <c r="E2721" s="531"/>
      <c r="F2721" s="531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2" t="str">
        <f t="shared" si="160"/>
        <v/>
      </c>
      <c r="E2722" s="531"/>
      <c r="F2722" s="531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2" t="str">
        <f t="shared" si="160"/>
        <v/>
      </c>
      <c r="E2723" s="531"/>
      <c r="F2723" s="531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2" t="str">
        <f t="shared" si="160"/>
        <v/>
      </c>
      <c r="E2724" s="531"/>
      <c r="F2724" s="531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2" t="str">
        <f t="shared" si="160"/>
        <v/>
      </c>
      <c r="E2725" s="531"/>
      <c r="F2725" s="531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2" t="str">
        <f t="shared" si="160"/>
        <v/>
      </c>
      <c r="E2726" s="531"/>
      <c r="F2726" s="531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2" t="str">
        <f t="shared" si="160"/>
        <v/>
      </c>
      <c r="E2727" s="531"/>
      <c r="F2727" s="531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2" t="str">
        <f t="shared" si="160"/>
        <v/>
      </c>
      <c r="E2728" s="531"/>
      <c r="F2728" s="531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2" t="str">
        <f t="shared" si="160"/>
        <v/>
      </c>
      <c r="E2729" s="531"/>
      <c r="F2729" s="531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2" t="str">
        <f t="shared" si="160"/>
        <v/>
      </c>
      <c r="E2730" s="531"/>
      <c r="F2730" s="531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2" t="str">
        <f t="shared" si="160"/>
        <v/>
      </c>
      <c r="E2731" s="531"/>
      <c r="F2731" s="531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2" t="str">
        <f t="shared" si="160"/>
        <v/>
      </c>
      <c r="E2732" s="531"/>
      <c r="F2732" s="531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2" t="str">
        <f t="shared" si="160"/>
        <v/>
      </c>
      <c r="E2733" s="531"/>
      <c r="F2733" s="531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2" t="str">
        <f t="shared" si="160"/>
        <v/>
      </c>
      <c r="E2734" s="531"/>
      <c r="F2734" s="531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2" t="str">
        <f t="shared" si="160"/>
        <v/>
      </c>
      <c r="E2735" s="531"/>
      <c r="F2735" s="531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2" t="str">
        <f t="shared" si="160"/>
        <v/>
      </c>
      <c r="E2736" s="531"/>
      <c r="F2736" s="531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2" t="str">
        <f t="shared" si="160"/>
        <v/>
      </c>
      <c r="E2737" s="531"/>
      <c r="F2737" s="531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2" t="str">
        <f t="shared" si="160"/>
        <v/>
      </c>
      <c r="E2738" s="531"/>
      <c r="F2738" s="531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2" t="str">
        <f t="shared" si="160"/>
        <v/>
      </c>
      <c r="E2739" s="531"/>
      <c r="F2739" s="531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2" t="str">
        <f t="shared" si="160"/>
        <v/>
      </c>
      <c r="E2740" s="531"/>
      <c r="F2740" s="531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2" t="str">
        <f t="shared" si="160"/>
        <v/>
      </c>
      <c r="E2741" s="531"/>
      <c r="F2741" s="531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2" t="str">
        <f t="shared" si="160"/>
        <v/>
      </c>
      <c r="E2742" s="531"/>
      <c r="F2742" s="531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2" t="str">
        <f t="shared" si="160"/>
        <v/>
      </c>
      <c r="E2743" s="531"/>
      <c r="F2743" s="531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2" t="str">
        <f t="shared" si="160"/>
        <v/>
      </c>
      <c r="E2744" s="531"/>
      <c r="F2744" s="531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2" t="str">
        <f t="shared" si="160"/>
        <v/>
      </c>
      <c r="E2745" s="531"/>
      <c r="F2745" s="531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2" t="str">
        <f t="shared" si="160"/>
        <v/>
      </c>
      <c r="E2746" s="531"/>
      <c r="F2746" s="531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2" t="str">
        <f t="shared" si="160"/>
        <v/>
      </c>
      <c r="E2747" s="531"/>
      <c r="F2747" s="531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2" t="str">
        <f t="shared" si="160"/>
        <v/>
      </c>
      <c r="E2748" s="531"/>
      <c r="F2748" s="531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2" t="str">
        <f t="shared" si="160"/>
        <v/>
      </c>
      <c r="E2749" s="531"/>
      <c r="F2749" s="531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2" t="str">
        <f t="shared" si="160"/>
        <v/>
      </c>
      <c r="E2750" s="531"/>
      <c r="F2750" s="531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2" t="str">
        <f t="shared" si="160"/>
        <v/>
      </c>
      <c r="E2751" s="531"/>
      <c r="F2751" s="531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2" t="str">
        <f t="shared" si="160"/>
        <v/>
      </c>
      <c r="E2752" s="531"/>
      <c r="F2752" s="531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2" t="str">
        <f t="shared" si="160"/>
        <v/>
      </c>
      <c r="E2753" s="531"/>
      <c r="F2753" s="531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2" t="str">
        <f t="shared" si="160"/>
        <v/>
      </c>
      <c r="E2754" s="531"/>
      <c r="F2754" s="531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2" t="str">
        <f t="shared" si="160"/>
        <v/>
      </c>
      <c r="E2755" s="531"/>
      <c r="F2755" s="531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2" t="str">
        <f t="shared" si="160"/>
        <v/>
      </c>
      <c r="E2756" s="531"/>
      <c r="F2756" s="531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2" t="str">
        <f t="shared" si="160"/>
        <v/>
      </c>
      <c r="E2757" s="531"/>
      <c r="F2757" s="531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2" t="str">
        <f t="shared" si="160"/>
        <v/>
      </c>
      <c r="E2758" s="531"/>
      <c r="F2758" s="531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2" t="str">
        <f t="shared" si="160"/>
        <v/>
      </c>
      <c r="E2759" s="531"/>
      <c r="F2759" s="531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2" t="str">
        <f t="shared" si="160"/>
        <v/>
      </c>
      <c r="E2760" s="531"/>
      <c r="F2760" s="531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2" t="str">
        <f t="shared" ref="D2761:D2824" si="163">IF(A2761&lt;&gt;"",PROPER(TEXT(A2761,"Mmmm")),"")</f>
        <v/>
      </c>
      <c r="E2761" s="531"/>
      <c r="F2761" s="531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2" t="str">
        <f t="shared" si="163"/>
        <v/>
      </c>
      <c r="E2762" s="531"/>
      <c r="F2762" s="531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2" t="str">
        <f t="shared" si="163"/>
        <v/>
      </c>
      <c r="E2763" s="531"/>
      <c r="F2763" s="531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2" t="str">
        <f t="shared" si="163"/>
        <v/>
      </c>
      <c r="E2764" s="531"/>
      <c r="F2764" s="531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2" t="str">
        <f t="shared" si="163"/>
        <v/>
      </c>
      <c r="E2765" s="531"/>
      <c r="F2765" s="531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2" t="str">
        <f t="shared" si="163"/>
        <v/>
      </c>
      <c r="E2766" s="531"/>
      <c r="F2766" s="531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2" t="str">
        <f t="shared" si="163"/>
        <v/>
      </c>
      <c r="E2767" s="531"/>
      <c r="F2767" s="531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2" t="str">
        <f t="shared" si="163"/>
        <v/>
      </c>
      <c r="E2768" s="531"/>
      <c r="F2768" s="531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2" t="str">
        <f t="shared" si="163"/>
        <v/>
      </c>
      <c r="E2769" s="531"/>
      <c r="F2769" s="531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2" t="str">
        <f t="shared" si="163"/>
        <v/>
      </c>
      <c r="E2770" s="531"/>
      <c r="F2770" s="531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2" t="str">
        <f t="shared" si="163"/>
        <v/>
      </c>
      <c r="E2771" s="531"/>
      <c r="F2771" s="531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2" t="str">
        <f t="shared" si="163"/>
        <v/>
      </c>
      <c r="E2772" s="531"/>
      <c r="F2772" s="531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2" t="str">
        <f t="shared" si="163"/>
        <v/>
      </c>
      <c r="E2773" s="531"/>
      <c r="F2773" s="531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2" t="str">
        <f t="shared" si="163"/>
        <v/>
      </c>
      <c r="E2774" s="531"/>
      <c r="F2774" s="531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2" t="str">
        <f t="shared" si="163"/>
        <v/>
      </c>
      <c r="E2775" s="531"/>
      <c r="F2775" s="531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2" t="str">
        <f t="shared" si="163"/>
        <v/>
      </c>
      <c r="E2776" s="531"/>
      <c r="F2776" s="531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2" t="str">
        <f t="shared" si="163"/>
        <v/>
      </c>
      <c r="E2777" s="531"/>
      <c r="F2777" s="531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2" t="str">
        <f t="shared" si="163"/>
        <v/>
      </c>
      <c r="E2778" s="531"/>
      <c r="F2778" s="531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2" t="str">
        <f t="shared" si="163"/>
        <v/>
      </c>
      <c r="E2779" s="531"/>
      <c r="F2779" s="531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2" t="str">
        <f t="shared" si="163"/>
        <v/>
      </c>
      <c r="E2780" s="531"/>
      <c r="F2780" s="531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2" t="str">
        <f t="shared" si="163"/>
        <v/>
      </c>
      <c r="E2781" s="531"/>
      <c r="F2781" s="531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2" t="str">
        <f t="shared" si="163"/>
        <v/>
      </c>
      <c r="E2782" s="531"/>
      <c r="F2782" s="531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2" t="str">
        <f t="shared" si="163"/>
        <v/>
      </c>
      <c r="E2783" s="531"/>
      <c r="F2783" s="531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2" t="str">
        <f t="shared" si="163"/>
        <v/>
      </c>
      <c r="E2784" s="531"/>
      <c r="F2784" s="531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2" t="str">
        <f t="shared" si="163"/>
        <v/>
      </c>
      <c r="E2785" s="531"/>
      <c r="F2785" s="531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2" t="str">
        <f t="shared" si="163"/>
        <v/>
      </c>
      <c r="E2786" s="531"/>
      <c r="F2786" s="531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2" t="str">
        <f t="shared" si="163"/>
        <v/>
      </c>
      <c r="E2787" s="531"/>
      <c r="F2787" s="531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2" t="str">
        <f t="shared" si="163"/>
        <v/>
      </c>
      <c r="E2788" s="531"/>
      <c r="F2788" s="531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2" t="str">
        <f t="shared" si="163"/>
        <v/>
      </c>
      <c r="E2789" s="531"/>
      <c r="F2789" s="531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2" t="str">
        <f t="shared" si="163"/>
        <v/>
      </c>
      <c r="E2790" s="531"/>
      <c r="F2790" s="531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2" t="str">
        <f t="shared" si="163"/>
        <v/>
      </c>
      <c r="E2791" s="531"/>
      <c r="F2791" s="531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2" t="str">
        <f t="shared" si="163"/>
        <v/>
      </c>
      <c r="E2792" s="531"/>
      <c r="F2792" s="531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2" t="str">
        <f t="shared" si="163"/>
        <v/>
      </c>
      <c r="E2793" s="531"/>
      <c r="F2793" s="531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2" t="str">
        <f t="shared" si="163"/>
        <v/>
      </c>
      <c r="E2794" s="531"/>
      <c r="F2794" s="531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2" t="str">
        <f t="shared" si="163"/>
        <v/>
      </c>
      <c r="E2795" s="531"/>
      <c r="F2795" s="531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2" t="str">
        <f t="shared" si="163"/>
        <v/>
      </c>
      <c r="E2796" s="531"/>
      <c r="F2796" s="531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2" t="str">
        <f t="shared" si="163"/>
        <v/>
      </c>
      <c r="E2797" s="531"/>
      <c r="F2797" s="531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2" t="str">
        <f t="shared" si="163"/>
        <v/>
      </c>
      <c r="E2798" s="531"/>
      <c r="F2798" s="531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2" t="str">
        <f t="shared" si="163"/>
        <v/>
      </c>
      <c r="E2799" s="531"/>
      <c r="F2799" s="531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2" t="str">
        <f t="shared" si="163"/>
        <v/>
      </c>
      <c r="E2800" s="531"/>
      <c r="F2800" s="531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2" t="str">
        <f t="shared" si="163"/>
        <v/>
      </c>
      <c r="E2801" s="531"/>
      <c r="F2801" s="531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2" t="str">
        <f t="shared" si="163"/>
        <v/>
      </c>
      <c r="E2802" s="531"/>
      <c r="F2802" s="531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2" t="str">
        <f t="shared" si="163"/>
        <v/>
      </c>
      <c r="E2803" s="531"/>
      <c r="F2803" s="531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2" t="str">
        <f t="shared" si="163"/>
        <v/>
      </c>
      <c r="E2804" s="531"/>
      <c r="F2804" s="531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2" t="str">
        <f t="shared" si="163"/>
        <v/>
      </c>
      <c r="E2805" s="531"/>
      <c r="F2805" s="531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2" t="str">
        <f t="shared" si="163"/>
        <v/>
      </c>
      <c r="E2806" s="531"/>
      <c r="F2806" s="531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2" t="str">
        <f t="shared" si="163"/>
        <v/>
      </c>
      <c r="E2807" s="531"/>
      <c r="F2807" s="531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2" t="str">
        <f t="shared" si="163"/>
        <v/>
      </c>
      <c r="E2808" s="531"/>
      <c r="F2808" s="531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2" t="str">
        <f t="shared" si="163"/>
        <v/>
      </c>
      <c r="E2809" s="531"/>
      <c r="F2809" s="531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2" t="str">
        <f t="shared" si="163"/>
        <v/>
      </c>
      <c r="E2810" s="531"/>
      <c r="F2810" s="531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2" t="str">
        <f t="shared" si="163"/>
        <v/>
      </c>
      <c r="E2811" s="531"/>
      <c r="F2811" s="531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2" t="str">
        <f t="shared" si="163"/>
        <v/>
      </c>
      <c r="E2812" s="531"/>
      <c r="F2812" s="531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2" t="str">
        <f t="shared" si="163"/>
        <v/>
      </c>
      <c r="E2813" s="531"/>
      <c r="F2813" s="531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2" t="str">
        <f t="shared" si="163"/>
        <v/>
      </c>
      <c r="E2814" s="531"/>
      <c r="F2814" s="531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2" t="str">
        <f t="shared" si="163"/>
        <v/>
      </c>
      <c r="E2815" s="531"/>
      <c r="F2815" s="531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2" t="str">
        <f t="shared" si="163"/>
        <v/>
      </c>
      <c r="E2816" s="531"/>
      <c r="F2816" s="531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2" t="str">
        <f t="shared" si="163"/>
        <v/>
      </c>
      <c r="E2817" s="531"/>
      <c r="F2817" s="531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2" t="str">
        <f t="shared" si="163"/>
        <v/>
      </c>
      <c r="E2818" s="531"/>
      <c r="F2818" s="531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2" t="str">
        <f t="shared" si="163"/>
        <v/>
      </c>
      <c r="E2819" s="531"/>
      <c r="F2819" s="531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2" t="str">
        <f t="shared" si="163"/>
        <v/>
      </c>
      <c r="E2820" s="531"/>
      <c r="F2820" s="531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2" t="str">
        <f t="shared" si="163"/>
        <v/>
      </c>
      <c r="E2821" s="531"/>
      <c r="F2821" s="531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2" t="str">
        <f t="shared" si="163"/>
        <v/>
      </c>
      <c r="E2822" s="531"/>
      <c r="F2822" s="531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2" t="str">
        <f t="shared" si="163"/>
        <v/>
      </c>
      <c r="E2823" s="531"/>
      <c r="F2823" s="531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2" t="str">
        <f t="shared" si="163"/>
        <v/>
      </c>
      <c r="E2824" s="531"/>
      <c r="F2824" s="531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2" t="str">
        <f t="shared" ref="D2825:D2888" si="166">IF(A2825&lt;&gt;"",PROPER(TEXT(A2825,"Mmmm")),"")</f>
        <v/>
      </c>
      <c r="E2825" s="531"/>
      <c r="F2825" s="531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2" t="str">
        <f t="shared" si="166"/>
        <v/>
      </c>
      <c r="E2826" s="531"/>
      <c r="F2826" s="531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2" t="str">
        <f t="shared" si="166"/>
        <v/>
      </c>
      <c r="E2827" s="531"/>
      <c r="F2827" s="531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2" t="str">
        <f t="shared" si="166"/>
        <v/>
      </c>
      <c r="E2828" s="531"/>
      <c r="F2828" s="531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2" t="str">
        <f t="shared" si="166"/>
        <v/>
      </c>
      <c r="E2829" s="531"/>
      <c r="F2829" s="531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2" t="str">
        <f t="shared" si="166"/>
        <v/>
      </c>
      <c r="E2830" s="531"/>
      <c r="F2830" s="531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2" t="str">
        <f t="shared" si="166"/>
        <v/>
      </c>
      <c r="E2831" s="531"/>
      <c r="F2831" s="531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2" t="str">
        <f t="shared" si="166"/>
        <v/>
      </c>
      <c r="E2832" s="531"/>
      <c r="F2832" s="531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2" t="str">
        <f t="shared" si="166"/>
        <v/>
      </c>
      <c r="E2833" s="531"/>
      <c r="F2833" s="531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2" t="str">
        <f t="shared" si="166"/>
        <v/>
      </c>
      <c r="E2834" s="531"/>
      <c r="F2834" s="531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2" t="str">
        <f t="shared" si="166"/>
        <v/>
      </c>
      <c r="E2835" s="531"/>
      <c r="F2835" s="531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2" t="str">
        <f t="shared" si="166"/>
        <v/>
      </c>
      <c r="E2836" s="531"/>
      <c r="F2836" s="531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2" t="str">
        <f t="shared" si="166"/>
        <v/>
      </c>
      <c r="E2837" s="531"/>
      <c r="F2837" s="531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2" t="str">
        <f t="shared" si="166"/>
        <v/>
      </c>
      <c r="E2838" s="531"/>
      <c r="F2838" s="531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2" t="str">
        <f t="shared" si="166"/>
        <v/>
      </c>
      <c r="E2839" s="531"/>
      <c r="F2839" s="531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2" t="str">
        <f t="shared" si="166"/>
        <v/>
      </c>
      <c r="E2840" s="531"/>
      <c r="F2840" s="531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2" t="str">
        <f t="shared" si="166"/>
        <v/>
      </c>
      <c r="E2841" s="531"/>
      <c r="F2841" s="531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2" t="str">
        <f t="shared" si="166"/>
        <v/>
      </c>
      <c r="E2842" s="531"/>
      <c r="F2842" s="531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2" t="str">
        <f t="shared" si="166"/>
        <v/>
      </c>
      <c r="E2843" s="531"/>
      <c r="F2843" s="531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2" t="str">
        <f t="shared" si="166"/>
        <v/>
      </c>
      <c r="E2844" s="531"/>
      <c r="F2844" s="531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2" t="str">
        <f t="shared" si="166"/>
        <v/>
      </c>
      <c r="E2845" s="531"/>
      <c r="F2845" s="531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2" t="str">
        <f t="shared" si="166"/>
        <v/>
      </c>
      <c r="E2846" s="531"/>
      <c r="F2846" s="531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2" t="str">
        <f t="shared" si="166"/>
        <v/>
      </c>
      <c r="E2847" s="531"/>
      <c r="F2847" s="531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2" t="str">
        <f t="shared" si="166"/>
        <v/>
      </c>
      <c r="E2848" s="531"/>
      <c r="F2848" s="531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2" t="str">
        <f t="shared" si="166"/>
        <v/>
      </c>
      <c r="E2849" s="531"/>
      <c r="F2849" s="531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2" t="str">
        <f t="shared" si="166"/>
        <v/>
      </c>
      <c r="E2850" s="531"/>
      <c r="F2850" s="531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2" t="str">
        <f t="shared" si="166"/>
        <v/>
      </c>
      <c r="E2851" s="531"/>
      <c r="F2851" s="531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2" t="str">
        <f t="shared" si="166"/>
        <v/>
      </c>
      <c r="E2852" s="531"/>
      <c r="F2852" s="531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2" t="str">
        <f t="shared" si="166"/>
        <v/>
      </c>
      <c r="E2853" s="531"/>
      <c r="F2853" s="531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2" t="str">
        <f t="shared" si="166"/>
        <v/>
      </c>
      <c r="E2854" s="531"/>
      <c r="F2854" s="531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2" t="str">
        <f t="shared" si="166"/>
        <v/>
      </c>
      <c r="E2855" s="531"/>
      <c r="F2855" s="531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2" t="str">
        <f t="shared" si="166"/>
        <v/>
      </c>
      <c r="E2856" s="531"/>
      <c r="F2856" s="531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2" t="str">
        <f t="shared" si="166"/>
        <v/>
      </c>
      <c r="E2857" s="531"/>
      <c r="F2857" s="531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2" t="str">
        <f t="shared" si="166"/>
        <v/>
      </c>
      <c r="E2858" s="531"/>
      <c r="F2858" s="531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2" t="str">
        <f t="shared" si="166"/>
        <v/>
      </c>
      <c r="E2859" s="531"/>
      <c r="F2859" s="531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2" t="str">
        <f t="shared" si="166"/>
        <v/>
      </c>
      <c r="E2860" s="531"/>
      <c r="F2860" s="531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2" t="str">
        <f t="shared" si="166"/>
        <v/>
      </c>
      <c r="E2861" s="531"/>
      <c r="F2861" s="531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2" t="str">
        <f t="shared" si="166"/>
        <v/>
      </c>
      <c r="E2862" s="531"/>
      <c r="F2862" s="531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2" t="str">
        <f t="shared" si="166"/>
        <v/>
      </c>
      <c r="E2863" s="531"/>
      <c r="F2863" s="531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2" t="str">
        <f t="shared" si="166"/>
        <v/>
      </c>
      <c r="E2864" s="531"/>
      <c r="F2864" s="531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2" t="str">
        <f t="shared" si="166"/>
        <v/>
      </c>
      <c r="E2865" s="531"/>
      <c r="F2865" s="531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2" t="str">
        <f t="shared" si="166"/>
        <v/>
      </c>
      <c r="E2866" s="531"/>
      <c r="F2866" s="531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2" t="str">
        <f t="shared" si="166"/>
        <v/>
      </c>
      <c r="E2867" s="531"/>
      <c r="F2867" s="531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2" t="str">
        <f t="shared" si="166"/>
        <v/>
      </c>
      <c r="E2868" s="531"/>
      <c r="F2868" s="531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2" t="str">
        <f t="shared" si="166"/>
        <v/>
      </c>
      <c r="E2869" s="531"/>
      <c r="F2869" s="531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2" t="str">
        <f t="shared" si="166"/>
        <v/>
      </c>
      <c r="E2870" s="531"/>
      <c r="F2870" s="531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2" t="str">
        <f t="shared" si="166"/>
        <v/>
      </c>
      <c r="E2871" s="531"/>
      <c r="F2871" s="531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2" t="str">
        <f t="shared" si="166"/>
        <v/>
      </c>
      <c r="E2872" s="531"/>
      <c r="F2872" s="531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2" t="str">
        <f t="shared" si="166"/>
        <v/>
      </c>
      <c r="E2873" s="531"/>
      <c r="F2873" s="531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2" t="str">
        <f t="shared" si="166"/>
        <v/>
      </c>
      <c r="E2874" s="531"/>
      <c r="F2874" s="531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2" t="str">
        <f t="shared" si="166"/>
        <v/>
      </c>
      <c r="E2875" s="531"/>
      <c r="F2875" s="531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2" t="str">
        <f t="shared" si="166"/>
        <v/>
      </c>
      <c r="E2876" s="531"/>
      <c r="F2876" s="531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2" t="str">
        <f t="shared" si="166"/>
        <v/>
      </c>
      <c r="E2877" s="531"/>
      <c r="F2877" s="531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2" t="str">
        <f t="shared" si="166"/>
        <v/>
      </c>
      <c r="E2878" s="531"/>
      <c r="F2878" s="531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2" t="str">
        <f t="shared" si="166"/>
        <v/>
      </c>
      <c r="E2879" s="531"/>
      <c r="F2879" s="531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2" t="str">
        <f t="shared" si="166"/>
        <v/>
      </c>
      <c r="E2880" s="531"/>
      <c r="F2880" s="531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2" t="str">
        <f t="shared" si="166"/>
        <v/>
      </c>
      <c r="E2881" s="531"/>
      <c r="F2881" s="531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2" t="str">
        <f t="shared" si="166"/>
        <v/>
      </c>
      <c r="E2882" s="531"/>
      <c r="F2882" s="531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2" t="str">
        <f t="shared" si="166"/>
        <v/>
      </c>
      <c r="E2883" s="531"/>
      <c r="F2883" s="531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2" t="str">
        <f t="shared" si="166"/>
        <v/>
      </c>
      <c r="E2884" s="531"/>
      <c r="F2884" s="531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2" t="str">
        <f t="shared" si="166"/>
        <v/>
      </c>
      <c r="E2885" s="531"/>
      <c r="F2885" s="531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2" t="str">
        <f t="shared" si="166"/>
        <v/>
      </c>
      <c r="E2886" s="531"/>
      <c r="F2886" s="531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2" t="str">
        <f t="shared" si="166"/>
        <v/>
      </c>
      <c r="E2887" s="531"/>
      <c r="F2887" s="531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2" t="str">
        <f t="shared" si="166"/>
        <v/>
      </c>
      <c r="E2888" s="531"/>
      <c r="F2888" s="531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2" t="str">
        <f t="shared" ref="D2889:D2952" si="169">IF(A2889&lt;&gt;"",PROPER(TEXT(A2889,"Mmmm")),"")</f>
        <v/>
      </c>
      <c r="E2889" s="531"/>
      <c r="F2889" s="531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2" t="str">
        <f t="shared" si="169"/>
        <v/>
      </c>
      <c r="E2890" s="531"/>
      <c r="F2890" s="531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2" t="str">
        <f t="shared" si="169"/>
        <v/>
      </c>
      <c r="E2891" s="531"/>
      <c r="F2891" s="531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2" t="str">
        <f t="shared" si="169"/>
        <v/>
      </c>
      <c r="E2892" s="531"/>
      <c r="F2892" s="531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2" t="str">
        <f t="shared" si="169"/>
        <v/>
      </c>
      <c r="E2893" s="531"/>
      <c r="F2893" s="531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2" t="str">
        <f t="shared" si="169"/>
        <v/>
      </c>
      <c r="E2894" s="531"/>
      <c r="F2894" s="531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2" t="str">
        <f t="shared" si="169"/>
        <v/>
      </c>
      <c r="E2895" s="531"/>
      <c r="F2895" s="531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2" t="str">
        <f t="shared" si="169"/>
        <v/>
      </c>
      <c r="E2896" s="531"/>
      <c r="F2896" s="531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2" t="str">
        <f t="shared" si="169"/>
        <v/>
      </c>
      <c r="E2897" s="531"/>
      <c r="F2897" s="531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2" t="str">
        <f t="shared" si="169"/>
        <v/>
      </c>
      <c r="E2898" s="531"/>
      <c r="F2898" s="531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2" t="str">
        <f t="shared" si="169"/>
        <v/>
      </c>
      <c r="E2899" s="531"/>
      <c r="F2899" s="531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2" t="str">
        <f t="shared" si="169"/>
        <v/>
      </c>
      <c r="E2900" s="531"/>
      <c r="F2900" s="531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2" t="str">
        <f t="shared" si="169"/>
        <v/>
      </c>
      <c r="E2901" s="531"/>
      <c r="F2901" s="531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2" t="str">
        <f t="shared" si="169"/>
        <v/>
      </c>
      <c r="E2902" s="531"/>
      <c r="F2902" s="531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2" t="str">
        <f t="shared" si="169"/>
        <v/>
      </c>
      <c r="E2903" s="531"/>
      <c r="F2903" s="531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2" t="str">
        <f t="shared" si="169"/>
        <v/>
      </c>
      <c r="E2904" s="531"/>
      <c r="F2904" s="531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2" t="str">
        <f t="shared" si="169"/>
        <v/>
      </c>
      <c r="E2905" s="531"/>
      <c r="F2905" s="531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2" t="str">
        <f t="shared" si="169"/>
        <v/>
      </c>
      <c r="E2906" s="531"/>
      <c r="F2906" s="531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2" t="str">
        <f t="shared" si="169"/>
        <v/>
      </c>
      <c r="E2907" s="531"/>
      <c r="F2907" s="531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2" t="str">
        <f t="shared" si="169"/>
        <v/>
      </c>
      <c r="E2908" s="531"/>
      <c r="F2908" s="531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2" t="str">
        <f t="shared" si="169"/>
        <v/>
      </c>
      <c r="E2909" s="531"/>
      <c r="F2909" s="531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2" t="str">
        <f t="shared" si="169"/>
        <v/>
      </c>
      <c r="E2910" s="531"/>
      <c r="F2910" s="531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2" t="str">
        <f t="shared" si="169"/>
        <v/>
      </c>
      <c r="E2911" s="531"/>
      <c r="F2911" s="531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2" t="str">
        <f t="shared" si="169"/>
        <v/>
      </c>
      <c r="E2912" s="531"/>
      <c r="F2912" s="531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2" t="str">
        <f t="shared" si="169"/>
        <v/>
      </c>
      <c r="E2913" s="531"/>
      <c r="F2913" s="531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2" t="str">
        <f t="shared" si="169"/>
        <v/>
      </c>
      <c r="E2914" s="531"/>
      <c r="F2914" s="531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2" t="str">
        <f t="shared" si="169"/>
        <v/>
      </c>
      <c r="E2915" s="531"/>
      <c r="F2915" s="531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2" t="str">
        <f t="shared" si="169"/>
        <v/>
      </c>
      <c r="E2916" s="531"/>
      <c r="F2916" s="531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2" t="str">
        <f t="shared" si="169"/>
        <v/>
      </c>
      <c r="E2917" s="531"/>
      <c r="F2917" s="531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2" t="str">
        <f t="shared" si="169"/>
        <v/>
      </c>
      <c r="E2918" s="531"/>
      <c r="F2918" s="531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2" t="str">
        <f t="shared" si="169"/>
        <v/>
      </c>
      <c r="E2919" s="531"/>
      <c r="F2919" s="531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2" t="str">
        <f t="shared" si="169"/>
        <v/>
      </c>
      <c r="E2920" s="531"/>
      <c r="F2920" s="531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2" t="str">
        <f t="shared" si="169"/>
        <v/>
      </c>
      <c r="E2921" s="531"/>
      <c r="F2921" s="531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2" t="str">
        <f t="shared" si="169"/>
        <v/>
      </c>
      <c r="E2922" s="531"/>
      <c r="F2922" s="531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2" t="str">
        <f t="shared" si="169"/>
        <v/>
      </c>
      <c r="E2923" s="531"/>
      <c r="F2923" s="531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2" t="str">
        <f t="shared" si="169"/>
        <v/>
      </c>
      <c r="E2924" s="531"/>
      <c r="F2924" s="531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2" t="str">
        <f t="shared" si="169"/>
        <v/>
      </c>
      <c r="E2925" s="531"/>
      <c r="F2925" s="531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2" t="str">
        <f t="shared" si="169"/>
        <v/>
      </c>
      <c r="E2926" s="531"/>
      <c r="F2926" s="531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2" t="str">
        <f t="shared" si="169"/>
        <v/>
      </c>
      <c r="E2927" s="531"/>
      <c r="F2927" s="531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2" t="str">
        <f t="shared" si="169"/>
        <v/>
      </c>
      <c r="E2928" s="531"/>
      <c r="F2928" s="531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2" t="str">
        <f t="shared" si="169"/>
        <v/>
      </c>
      <c r="E2929" s="531"/>
      <c r="F2929" s="531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2" t="str">
        <f t="shared" si="169"/>
        <v/>
      </c>
      <c r="E2930" s="531"/>
      <c r="F2930" s="531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2" t="str">
        <f t="shared" si="169"/>
        <v/>
      </c>
      <c r="E2931" s="531"/>
      <c r="F2931" s="531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2" t="str">
        <f t="shared" si="169"/>
        <v/>
      </c>
      <c r="E2932" s="531"/>
      <c r="F2932" s="531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2" t="str">
        <f t="shared" si="169"/>
        <v/>
      </c>
      <c r="E2933" s="531"/>
      <c r="F2933" s="531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2" t="str">
        <f t="shared" si="169"/>
        <v/>
      </c>
      <c r="E2934" s="531"/>
      <c r="F2934" s="531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2" t="str">
        <f t="shared" si="169"/>
        <v/>
      </c>
      <c r="E2935" s="531"/>
      <c r="F2935" s="531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2" t="str">
        <f t="shared" si="169"/>
        <v/>
      </c>
      <c r="E2936" s="531"/>
      <c r="F2936" s="531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2" t="str">
        <f t="shared" si="169"/>
        <v/>
      </c>
      <c r="E2937" s="531"/>
      <c r="F2937" s="531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2" t="str">
        <f t="shared" si="169"/>
        <v/>
      </c>
      <c r="E2938" s="531"/>
      <c r="F2938" s="531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2" t="str">
        <f t="shared" si="169"/>
        <v/>
      </c>
      <c r="E2939" s="531"/>
      <c r="F2939" s="531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2" t="str">
        <f t="shared" si="169"/>
        <v/>
      </c>
      <c r="E2940" s="531"/>
      <c r="F2940" s="531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2" t="str">
        <f t="shared" si="169"/>
        <v/>
      </c>
      <c r="E2941" s="531"/>
      <c r="F2941" s="531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2" t="str">
        <f t="shared" si="169"/>
        <v/>
      </c>
      <c r="E2942" s="531"/>
      <c r="F2942" s="531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2" t="str">
        <f t="shared" si="169"/>
        <v/>
      </c>
      <c r="E2943" s="531"/>
      <c r="F2943" s="531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2" t="str">
        <f t="shared" si="169"/>
        <v/>
      </c>
      <c r="E2944" s="531"/>
      <c r="F2944" s="531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2" t="str">
        <f t="shared" si="169"/>
        <v/>
      </c>
      <c r="E2945" s="531"/>
      <c r="F2945" s="531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2" t="str">
        <f t="shared" si="169"/>
        <v/>
      </c>
      <c r="E2946" s="531"/>
      <c r="F2946" s="531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2" t="str">
        <f t="shared" si="169"/>
        <v/>
      </c>
      <c r="E2947" s="531"/>
      <c r="F2947" s="531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2" t="str">
        <f t="shared" si="169"/>
        <v/>
      </c>
      <c r="E2948" s="531"/>
      <c r="F2948" s="531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2" t="str">
        <f t="shared" si="169"/>
        <v/>
      </c>
      <c r="E2949" s="531"/>
      <c r="F2949" s="531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2" t="str">
        <f t="shared" si="169"/>
        <v/>
      </c>
      <c r="E2950" s="531"/>
      <c r="F2950" s="531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2" t="str">
        <f t="shared" si="169"/>
        <v/>
      </c>
      <c r="E2951" s="531"/>
      <c r="F2951" s="531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2" t="str">
        <f t="shared" si="169"/>
        <v/>
      </c>
      <c r="E2952" s="531"/>
      <c r="F2952" s="531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2" t="str">
        <f t="shared" ref="D2953:D3016" si="172">IF(A2953&lt;&gt;"",PROPER(TEXT(A2953,"Mmmm")),"")</f>
        <v/>
      </c>
      <c r="E2953" s="531"/>
      <c r="F2953" s="531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2" t="str">
        <f t="shared" si="172"/>
        <v/>
      </c>
      <c r="E2954" s="531"/>
      <c r="F2954" s="531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2" t="str">
        <f t="shared" si="172"/>
        <v/>
      </c>
      <c r="E2955" s="531"/>
      <c r="F2955" s="531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2" t="str">
        <f t="shared" si="172"/>
        <v/>
      </c>
      <c r="E2956" s="531"/>
      <c r="F2956" s="531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2" t="str">
        <f t="shared" si="172"/>
        <v/>
      </c>
      <c r="E2957" s="531"/>
      <c r="F2957" s="531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2" t="str">
        <f t="shared" si="172"/>
        <v/>
      </c>
      <c r="E2958" s="531"/>
      <c r="F2958" s="531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2" t="str">
        <f t="shared" si="172"/>
        <v/>
      </c>
      <c r="E2959" s="531"/>
      <c r="F2959" s="531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2" t="str">
        <f t="shared" si="172"/>
        <v/>
      </c>
      <c r="E2960" s="531"/>
      <c r="F2960" s="531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2" t="str">
        <f t="shared" si="172"/>
        <v/>
      </c>
      <c r="E2961" s="531"/>
      <c r="F2961" s="531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2" t="str">
        <f t="shared" si="172"/>
        <v/>
      </c>
      <c r="E2962" s="531"/>
      <c r="F2962" s="531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2" t="str">
        <f t="shared" si="172"/>
        <v/>
      </c>
      <c r="E2963" s="531"/>
      <c r="F2963" s="531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2" t="str">
        <f t="shared" si="172"/>
        <v/>
      </c>
      <c r="E2964" s="531"/>
      <c r="F2964" s="531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2" t="str">
        <f t="shared" si="172"/>
        <v/>
      </c>
      <c r="E2965" s="531"/>
      <c r="F2965" s="531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2" t="str">
        <f t="shared" si="172"/>
        <v/>
      </c>
      <c r="E2966" s="531"/>
      <c r="F2966" s="531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2" t="str">
        <f t="shared" si="172"/>
        <v/>
      </c>
      <c r="E2967" s="531"/>
      <c r="F2967" s="531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2" t="str">
        <f t="shared" si="172"/>
        <v/>
      </c>
      <c r="E2968" s="531"/>
      <c r="F2968" s="531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2" t="str">
        <f t="shared" si="172"/>
        <v/>
      </c>
      <c r="E2969" s="531"/>
      <c r="F2969" s="531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2" t="str">
        <f t="shared" si="172"/>
        <v/>
      </c>
      <c r="E2970" s="531"/>
      <c r="F2970" s="531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2" t="str">
        <f t="shared" si="172"/>
        <v/>
      </c>
      <c r="E2971" s="531"/>
      <c r="F2971" s="531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2" t="str">
        <f t="shared" si="172"/>
        <v/>
      </c>
      <c r="E2972" s="531"/>
      <c r="F2972" s="531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2" t="str">
        <f t="shared" si="172"/>
        <v/>
      </c>
      <c r="E2973" s="531"/>
      <c r="F2973" s="531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2" t="str">
        <f t="shared" si="172"/>
        <v/>
      </c>
      <c r="E2974" s="531"/>
      <c r="F2974" s="531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2" t="str">
        <f t="shared" si="172"/>
        <v/>
      </c>
      <c r="E2975" s="531"/>
      <c r="F2975" s="531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2" t="str">
        <f t="shared" si="172"/>
        <v/>
      </c>
      <c r="E2976" s="531"/>
      <c r="F2976" s="531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2" t="str">
        <f t="shared" si="172"/>
        <v/>
      </c>
      <c r="E2977" s="531"/>
      <c r="F2977" s="531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2" t="str">
        <f t="shared" si="172"/>
        <v/>
      </c>
      <c r="E2978" s="531"/>
      <c r="F2978" s="531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2" t="str">
        <f t="shared" si="172"/>
        <v/>
      </c>
      <c r="E2979" s="531"/>
      <c r="F2979" s="531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2" t="str">
        <f t="shared" si="172"/>
        <v/>
      </c>
      <c r="E2980" s="531"/>
      <c r="F2980" s="531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2" t="str">
        <f t="shared" si="172"/>
        <v/>
      </c>
      <c r="E2981" s="531"/>
      <c r="F2981" s="531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2" t="str">
        <f t="shared" si="172"/>
        <v/>
      </c>
      <c r="E2982" s="531"/>
      <c r="F2982" s="531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2" t="str">
        <f t="shared" si="172"/>
        <v/>
      </c>
      <c r="E2983" s="531"/>
      <c r="F2983" s="531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2" t="str">
        <f t="shared" si="172"/>
        <v/>
      </c>
      <c r="E2984" s="531"/>
      <c r="F2984" s="531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2" t="str">
        <f t="shared" si="172"/>
        <v/>
      </c>
      <c r="E2985" s="531"/>
      <c r="F2985" s="531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2" t="str">
        <f t="shared" si="172"/>
        <v/>
      </c>
      <c r="E2986" s="531"/>
      <c r="F2986" s="531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2" t="str">
        <f t="shared" si="172"/>
        <v/>
      </c>
      <c r="E2987" s="531"/>
      <c r="F2987" s="531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2" t="str">
        <f t="shared" si="172"/>
        <v/>
      </c>
      <c r="E2988" s="531"/>
      <c r="F2988" s="531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2" t="str">
        <f t="shared" si="172"/>
        <v/>
      </c>
      <c r="E2989" s="531"/>
      <c r="F2989" s="531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2" t="str">
        <f t="shared" si="172"/>
        <v/>
      </c>
      <c r="E2990" s="531"/>
      <c r="F2990" s="531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2" t="str">
        <f t="shared" si="172"/>
        <v/>
      </c>
      <c r="E2991" s="531"/>
      <c r="F2991" s="531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2" t="str">
        <f t="shared" si="172"/>
        <v/>
      </c>
      <c r="E2992" s="531"/>
      <c r="F2992" s="531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2" t="str">
        <f t="shared" si="172"/>
        <v/>
      </c>
      <c r="E2993" s="531"/>
      <c r="F2993" s="531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2" t="str">
        <f t="shared" si="172"/>
        <v/>
      </c>
      <c r="E2994" s="531"/>
      <c r="F2994" s="531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2" t="str">
        <f t="shared" si="172"/>
        <v/>
      </c>
      <c r="E2995" s="531"/>
      <c r="F2995" s="531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2" t="str">
        <f t="shared" si="172"/>
        <v/>
      </c>
      <c r="E2996" s="531"/>
      <c r="F2996" s="531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2" t="str">
        <f t="shared" si="172"/>
        <v/>
      </c>
      <c r="E2997" s="531"/>
      <c r="F2997" s="531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2" t="str">
        <f t="shared" si="172"/>
        <v/>
      </c>
      <c r="E2998" s="531"/>
      <c r="F2998" s="531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2" t="str">
        <f t="shared" si="172"/>
        <v/>
      </c>
      <c r="E2999" s="531"/>
      <c r="F2999" s="531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2" t="str">
        <f t="shared" si="172"/>
        <v/>
      </c>
      <c r="E3000" s="531"/>
      <c r="F3000" s="531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2" t="str">
        <f t="shared" si="172"/>
        <v/>
      </c>
      <c r="E3001" s="531"/>
      <c r="F3001" s="531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2" t="str">
        <f t="shared" si="172"/>
        <v/>
      </c>
      <c r="E3002" s="531"/>
      <c r="F3002" s="531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2" t="str">
        <f t="shared" si="172"/>
        <v/>
      </c>
      <c r="E3003" s="531"/>
      <c r="F3003" s="531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2" t="str">
        <f t="shared" si="172"/>
        <v/>
      </c>
      <c r="E3004" s="531"/>
      <c r="F3004" s="531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2" t="str">
        <f t="shared" si="172"/>
        <v/>
      </c>
      <c r="E3005" s="531"/>
      <c r="F3005" s="531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2" t="str">
        <f t="shared" si="172"/>
        <v/>
      </c>
      <c r="E3006" s="531"/>
      <c r="F3006" s="531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2" t="str">
        <f t="shared" si="172"/>
        <v/>
      </c>
      <c r="E3007" s="531"/>
      <c r="F3007" s="531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2" t="str">
        <f t="shared" si="172"/>
        <v/>
      </c>
      <c r="E3008" s="531"/>
      <c r="F3008" s="531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2" t="str">
        <f t="shared" si="172"/>
        <v/>
      </c>
      <c r="E3009" s="531"/>
      <c r="F3009" s="531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2" t="str">
        <f t="shared" si="172"/>
        <v/>
      </c>
      <c r="E3010" s="531"/>
      <c r="F3010" s="531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2" t="str">
        <f t="shared" si="172"/>
        <v/>
      </c>
      <c r="E3011" s="531"/>
      <c r="F3011" s="531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2" t="str">
        <f t="shared" si="172"/>
        <v/>
      </c>
      <c r="E3012" s="531"/>
      <c r="F3012" s="531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2" t="str">
        <f t="shared" si="172"/>
        <v/>
      </c>
      <c r="E3013" s="531"/>
      <c r="F3013" s="531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2" t="str">
        <f t="shared" si="172"/>
        <v/>
      </c>
      <c r="E3014" s="531"/>
      <c r="F3014" s="531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2" t="str">
        <f t="shared" si="172"/>
        <v/>
      </c>
      <c r="E3015" s="531"/>
      <c r="F3015" s="531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2" t="str">
        <f t="shared" si="172"/>
        <v/>
      </c>
      <c r="E3016" s="531"/>
      <c r="F3016" s="531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2" t="str">
        <f t="shared" ref="D3017:D3080" si="175">IF(A3017&lt;&gt;"",PROPER(TEXT(A3017,"Mmmm")),"")</f>
        <v/>
      </c>
      <c r="E3017" s="531"/>
      <c r="F3017" s="531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2" t="str">
        <f t="shared" si="175"/>
        <v/>
      </c>
      <c r="E3018" s="531"/>
      <c r="F3018" s="531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2" t="str">
        <f t="shared" si="175"/>
        <v/>
      </c>
      <c r="E3019" s="531"/>
      <c r="F3019" s="531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2" t="str">
        <f t="shared" si="175"/>
        <v/>
      </c>
      <c r="E3020" s="531"/>
      <c r="F3020" s="531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2" t="str">
        <f t="shared" si="175"/>
        <v/>
      </c>
      <c r="E3021" s="531"/>
      <c r="F3021" s="531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2" t="str">
        <f t="shared" si="175"/>
        <v/>
      </c>
      <c r="E3022" s="531"/>
      <c r="F3022" s="531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2" t="str">
        <f t="shared" si="175"/>
        <v/>
      </c>
      <c r="E3023" s="531"/>
      <c r="F3023" s="531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2" t="str">
        <f t="shared" si="175"/>
        <v/>
      </c>
      <c r="E3024" s="531"/>
      <c r="F3024" s="531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2" t="str">
        <f t="shared" si="175"/>
        <v/>
      </c>
      <c r="E3025" s="531"/>
      <c r="F3025" s="531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2" t="str">
        <f t="shared" si="175"/>
        <v/>
      </c>
      <c r="E3026" s="531"/>
      <c r="F3026" s="531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2" t="str">
        <f t="shared" si="175"/>
        <v/>
      </c>
      <c r="E3027" s="531"/>
      <c r="F3027" s="531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2" t="str">
        <f t="shared" si="175"/>
        <v/>
      </c>
      <c r="E3028" s="531"/>
      <c r="F3028" s="531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2" t="str">
        <f t="shared" si="175"/>
        <v/>
      </c>
      <c r="E3029" s="531"/>
      <c r="F3029" s="531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2" t="str">
        <f t="shared" si="175"/>
        <v/>
      </c>
      <c r="E3030" s="531"/>
      <c r="F3030" s="531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2" t="str">
        <f t="shared" si="175"/>
        <v/>
      </c>
      <c r="E3031" s="531"/>
      <c r="F3031" s="531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2" t="str">
        <f t="shared" si="175"/>
        <v/>
      </c>
      <c r="E3032" s="531"/>
      <c r="F3032" s="531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2" t="str">
        <f t="shared" si="175"/>
        <v/>
      </c>
      <c r="E3033" s="531"/>
      <c r="F3033" s="531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2" t="str">
        <f t="shared" si="175"/>
        <v/>
      </c>
      <c r="E3034" s="531"/>
      <c r="F3034" s="531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2" t="str">
        <f t="shared" si="175"/>
        <v/>
      </c>
      <c r="E3035" s="531"/>
      <c r="F3035" s="531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2" t="str">
        <f t="shared" si="175"/>
        <v/>
      </c>
      <c r="E3036" s="531"/>
      <c r="F3036" s="531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2" t="str">
        <f t="shared" si="175"/>
        <v/>
      </c>
      <c r="E3037" s="531"/>
      <c r="F3037" s="531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2" t="str">
        <f t="shared" si="175"/>
        <v/>
      </c>
      <c r="E3038" s="531"/>
      <c r="F3038" s="531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2" t="str">
        <f t="shared" si="175"/>
        <v/>
      </c>
      <c r="E3039" s="531"/>
      <c r="F3039" s="531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2" t="str">
        <f t="shared" si="175"/>
        <v/>
      </c>
      <c r="E3040" s="531"/>
      <c r="F3040" s="531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2" t="str">
        <f t="shared" si="175"/>
        <v/>
      </c>
      <c r="E3041" s="531"/>
      <c r="F3041" s="531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2" t="str">
        <f t="shared" si="175"/>
        <v/>
      </c>
      <c r="E3042" s="531"/>
      <c r="F3042" s="531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2" t="str">
        <f t="shared" si="175"/>
        <v/>
      </c>
      <c r="E3043" s="531"/>
      <c r="F3043" s="531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2" t="str">
        <f t="shared" si="175"/>
        <v/>
      </c>
      <c r="E3044" s="531"/>
      <c r="F3044" s="531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2" t="str">
        <f t="shared" si="175"/>
        <v/>
      </c>
      <c r="E3045" s="531"/>
      <c r="F3045" s="531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2" t="str">
        <f t="shared" si="175"/>
        <v/>
      </c>
      <c r="E3046" s="531"/>
      <c r="F3046" s="531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2" t="str">
        <f t="shared" si="175"/>
        <v/>
      </c>
      <c r="E3047" s="531"/>
      <c r="F3047" s="531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2" t="str">
        <f t="shared" si="175"/>
        <v/>
      </c>
      <c r="E3048" s="531"/>
      <c r="F3048" s="531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2" t="str">
        <f t="shared" si="175"/>
        <v/>
      </c>
      <c r="E3049" s="531"/>
      <c r="F3049" s="531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2" t="str">
        <f t="shared" si="175"/>
        <v/>
      </c>
      <c r="E3050" s="531"/>
      <c r="F3050" s="531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2" t="str">
        <f t="shared" si="175"/>
        <v/>
      </c>
      <c r="E3051" s="531"/>
      <c r="F3051" s="531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2" t="str">
        <f t="shared" si="175"/>
        <v/>
      </c>
      <c r="E3052" s="531"/>
      <c r="F3052" s="531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2" t="str">
        <f t="shared" si="175"/>
        <v/>
      </c>
      <c r="E3053" s="531"/>
      <c r="F3053" s="531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2" t="str">
        <f t="shared" si="175"/>
        <v/>
      </c>
      <c r="E3054" s="531"/>
      <c r="F3054" s="531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2" t="str">
        <f t="shared" si="175"/>
        <v/>
      </c>
      <c r="E3055" s="531"/>
      <c r="F3055" s="531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2" t="str">
        <f t="shared" si="175"/>
        <v/>
      </c>
      <c r="E3056" s="531"/>
      <c r="F3056" s="531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2" t="str">
        <f t="shared" si="175"/>
        <v/>
      </c>
      <c r="E3057" s="531"/>
      <c r="F3057" s="531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2" t="str">
        <f t="shared" si="175"/>
        <v/>
      </c>
      <c r="E3058" s="531"/>
      <c r="F3058" s="531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2" t="str">
        <f t="shared" si="175"/>
        <v/>
      </c>
      <c r="E3059" s="531"/>
      <c r="F3059" s="531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2" t="str">
        <f t="shared" si="175"/>
        <v/>
      </c>
      <c r="E3060" s="531"/>
      <c r="F3060" s="531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2" t="str">
        <f t="shared" si="175"/>
        <v/>
      </c>
      <c r="E3061" s="531"/>
      <c r="F3061" s="531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2" t="str">
        <f t="shared" si="175"/>
        <v/>
      </c>
      <c r="E3062" s="531"/>
      <c r="F3062" s="531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2" t="str">
        <f t="shared" si="175"/>
        <v/>
      </c>
      <c r="E3063" s="531"/>
      <c r="F3063" s="531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2" t="str">
        <f t="shared" si="175"/>
        <v/>
      </c>
      <c r="E3064" s="531"/>
      <c r="F3064" s="531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2" t="str">
        <f t="shared" si="175"/>
        <v/>
      </c>
      <c r="E3065" s="531"/>
      <c r="F3065" s="531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2" t="str">
        <f t="shared" si="175"/>
        <v/>
      </c>
      <c r="E3066" s="531"/>
      <c r="F3066" s="531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2" t="str">
        <f t="shared" si="175"/>
        <v/>
      </c>
      <c r="E3067" s="531"/>
      <c r="F3067" s="531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2" t="str">
        <f t="shared" si="175"/>
        <v/>
      </c>
      <c r="E3068" s="531"/>
      <c r="F3068" s="531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2" t="str">
        <f t="shared" si="175"/>
        <v/>
      </c>
      <c r="E3069" s="531"/>
      <c r="F3069" s="531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2" t="str">
        <f t="shared" si="175"/>
        <v/>
      </c>
      <c r="E3070" s="531"/>
      <c r="F3070" s="531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2" t="str">
        <f t="shared" si="175"/>
        <v/>
      </c>
      <c r="E3071" s="531"/>
      <c r="F3071" s="531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2" t="str">
        <f t="shared" si="175"/>
        <v/>
      </c>
      <c r="E3072" s="531"/>
      <c r="F3072" s="531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2" t="str">
        <f t="shared" si="175"/>
        <v/>
      </c>
      <c r="E3073" s="531"/>
      <c r="F3073" s="531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2" t="str">
        <f t="shared" si="175"/>
        <v/>
      </c>
      <c r="E3074" s="531"/>
      <c r="F3074" s="531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2" t="str">
        <f t="shared" si="175"/>
        <v/>
      </c>
      <c r="E3075" s="531"/>
      <c r="F3075" s="531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2" t="str">
        <f t="shared" si="175"/>
        <v/>
      </c>
      <c r="E3076" s="531"/>
      <c r="F3076" s="531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2" t="str">
        <f t="shared" si="175"/>
        <v/>
      </c>
      <c r="E3077" s="531"/>
      <c r="F3077" s="531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2" t="str">
        <f t="shared" si="175"/>
        <v/>
      </c>
      <c r="E3078" s="531"/>
      <c r="F3078" s="531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2" t="str">
        <f t="shared" si="175"/>
        <v/>
      </c>
      <c r="E3079" s="531"/>
      <c r="F3079" s="531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2" t="str">
        <f t="shared" si="175"/>
        <v/>
      </c>
      <c r="E3080" s="531"/>
      <c r="F3080" s="531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2" t="str">
        <f t="shared" ref="D3081:D3144" si="178">IF(A3081&lt;&gt;"",PROPER(TEXT(A3081,"Mmmm")),"")</f>
        <v/>
      </c>
      <c r="E3081" s="531"/>
      <c r="F3081" s="531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2" t="str">
        <f t="shared" si="178"/>
        <v/>
      </c>
      <c r="E3082" s="531"/>
      <c r="F3082" s="531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2" t="str">
        <f t="shared" si="178"/>
        <v/>
      </c>
      <c r="E3083" s="531"/>
      <c r="F3083" s="531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2" t="str">
        <f t="shared" si="178"/>
        <v/>
      </c>
      <c r="E3084" s="531"/>
      <c r="F3084" s="531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2" t="str">
        <f t="shared" si="178"/>
        <v/>
      </c>
      <c r="E3085" s="531"/>
      <c r="F3085" s="531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2" t="str">
        <f t="shared" si="178"/>
        <v/>
      </c>
      <c r="E3086" s="531"/>
      <c r="F3086" s="531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2" t="str">
        <f t="shared" si="178"/>
        <v/>
      </c>
      <c r="E3087" s="531"/>
      <c r="F3087" s="531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2" t="str">
        <f t="shared" si="178"/>
        <v/>
      </c>
      <c r="E3088" s="531"/>
      <c r="F3088" s="531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2" t="str">
        <f t="shared" si="178"/>
        <v/>
      </c>
      <c r="E3089" s="531"/>
      <c r="F3089" s="531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2" t="str">
        <f t="shared" si="178"/>
        <v/>
      </c>
      <c r="E3090" s="531"/>
      <c r="F3090" s="531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2" t="str">
        <f t="shared" si="178"/>
        <v/>
      </c>
      <c r="E3091" s="531"/>
      <c r="F3091" s="531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2" t="str">
        <f t="shared" si="178"/>
        <v/>
      </c>
      <c r="E3092" s="531"/>
      <c r="F3092" s="531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2" t="str">
        <f t="shared" si="178"/>
        <v/>
      </c>
      <c r="E3093" s="531"/>
      <c r="F3093" s="531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2" t="str">
        <f t="shared" si="178"/>
        <v/>
      </c>
      <c r="E3094" s="531"/>
      <c r="F3094" s="531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2" t="str">
        <f t="shared" si="178"/>
        <v/>
      </c>
      <c r="E3095" s="531"/>
      <c r="F3095" s="531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2" t="str">
        <f t="shared" si="178"/>
        <v/>
      </c>
      <c r="E3096" s="531"/>
      <c r="F3096" s="531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2" t="str">
        <f t="shared" si="178"/>
        <v/>
      </c>
      <c r="E3097" s="531"/>
      <c r="F3097" s="531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2" t="str">
        <f t="shared" si="178"/>
        <v/>
      </c>
      <c r="E3098" s="531"/>
      <c r="F3098" s="531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2" t="str">
        <f t="shared" si="178"/>
        <v/>
      </c>
      <c r="E3099" s="531"/>
      <c r="F3099" s="531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2" t="str">
        <f t="shared" si="178"/>
        <v/>
      </c>
      <c r="E3100" s="531"/>
      <c r="F3100" s="531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2" t="str">
        <f t="shared" si="178"/>
        <v/>
      </c>
      <c r="E3101" s="531"/>
      <c r="F3101" s="531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2" t="str">
        <f t="shared" si="178"/>
        <v/>
      </c>
      <c r="E3102" s="531"/>
      <c r="F3102" s="531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2" t="str">
        <f t="shared" si="178"/>
        <v/>
      </c>
      <c r="E3103" s="531"/>
      <c r="F3103" s="531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2" t="str">
        <f t="shared" si="178"/>
        <v/>
      </c>
      <c r="E3104" s="531"/>
      <c r="F3104" s="531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2" t="str">
        <f t="shared" si="178"/>
        <v/>
      </c>
      <c r="E3105" s="531"/>
      <c r="F3105" s="531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2" t="str">
        <f t="shared" si="178"/>
        <v/>
      </c>
      <c r="E3106" s="531"/>
      <c r="F3106" s="531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2" t="str">
        <f t="shared" si="178"/>
        <v/>
      </c>
      <c r="E3107" s="531"/>
      <c r="F3107" s="531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2" t="str">
        <f t="shared" si="178"/>
        <v/>
      </c>
      <c r="E3108" s="531"/>
      <c r="F3108" s="531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2" t="str">
        <f t="shared" si="178"/>
        <v/>
      </c>
      <c r="E3109" s="531"/>
      <c r="F3109" s="531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2" t="str">
        <f t="shared" si="178"/>
        <v/>
      </c>
      <c r="E3110" s="531"/>
      <c r="F3110" s="531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2" t="str">
        <f t="shared" si="178"/>
        <v/>
      </c>
      <c r="E3111" s="531"/>
      <c r="F3111" s="531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2" t="str">
        <f t="shared" si="178"/>
        <v/>
      </c>
      <c r="E3112" s="531"/>
      <c r="F3112" s="531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2" t="str">
        <f t="shared" si="178"/>
        <v/>
      </c>
      <c r="E3113" s="531"/>
      <c r="F3113" s="531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2" t="str">
        <f t="shared" si="178"/>
        <v/>
      </c>
      <c r="E3114" s="531"/>
      <c r="F3114" s="531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2" t="str">
        <f t="shared" si="178"/>
        <v/>
      </c>
      <c r="E3115" s="531"/>
      <c r="F3115" s="531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2" t="str">
        <f t="shared" si="178"/>
        <v/>
      </c>
      <c r="E3116" s="531"/>
      <c r="F3116" s="531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2" t="str">
        <f t="shared" si="178"/>
        <v/>
      </c>
      <c r="E3117" s="531"/>
      <c r="F3117" s="531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2" t="str">
        <f t="shared" si="178"/>
        <v/>
      </c>
      <c r="E3118" s="531"/>
      <c r="F3118" s="531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2" t="str">
        <f t="shared" si="178"/>
        <v/>
      </c>
      <c r="E3119" s="531"/>
      <c r="F3119" s="531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2" t="str">
        <f t="shared" si="178"/>
        <v/>
      </c>
      <c r="E3120" s="531"/>
      <c r="F3120" s="531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2" t="str">
        <f t="shared" si="178"/>
        <v/>
      </c>
      <c r="E3121" s="531"/>
      <c r="F3121" s="531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2" t="str">
        <f t="shared" si="178"/>
        <v/>
      </c>
      <c r="E3122" s="531"/>
      <c r="F3122" s="531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2" t="str">
        <f t="shared" si="178"/>
        <v/>
      </c>
      <c r="E3123" s="531"/>
      <c r="F3123" s="531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2" t="str">
        <f t="shared" si="178"/>
        <v/>
      </c>
      <c r="E3124" s="531"/>
      <c r="F3124" s="531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2" t="str">
        <f t="shared" si="178"/>
        <v/>
      </c>
      <c r="E3125" s="531"/>
      <c r="F3125" s="531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2" t="str">
        <f t="shared" si="178"/>
        <v/>
      </c>
      <c r="E3126" s="531"/>
      <c r="F3126" s="531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2" t="str">
        <f t="shared" si="178"/>
        <v/>
      </c>
      <c r="E3127" s="531"/>
      <c r="F3127" s="531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2" t="str">
        <f t="shared" si="178"/>
        <v/>
      </c>
      <c r="E3128" s="531"/>
      <c r="F3128" s="531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2" t="str">
        <f t="shared" si="178"/>
        <v/>
      </c>
      <c r="E3129" s="531"/>
      <c r="F3129" s="531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2" t="str">
        <f t="shared" si="178"/>
        <v/>
      </c>
      <c r="E3130" s="531"/>
      <c r="F3130" s="531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2" t="str">
        <f t="shared" si="178"/>
        <v/>
      </c>
      <c r="E3131" s="531"/>
      <c r="F3131" s="531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2" t="str">
        <f t="shared" si="178"/>
        <v/>
      </c>
      <c r="E3132" s="531"/>
      <c r="F3132" s="531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2" t="str">
        <f t="shared" si="178"/>
        <v/>
      </c>
      <c r="E3133" s="531"/>
      <c r="F3133" s="531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2" t="str">
        <f t="shared" si="178"/>
        <v/>
      </c>
      <c r="E3134" s="531"/>
      <c r="F3134" s="531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2" t="str">
        <f t="shared" si="178"/>
        <v/>
      </c>
      <c r="E3135" s="531"/>
      <c r="F3135" s="531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2" t="str">
        <f t="shared" si="178"/>
        <v/>
      </c>
      <c r="E3136" s="531"/>
      <c r="F3136" s="531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2" t="str">
        <f t="shared" si="178"/>
        <v/>
      </c>
      <c r="E3137" s="531"/>
      <c r="F3137" s="531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2" t="str">
        <f t="shared" si="178"/>
        <v/>
      </c>
      <c r="E3138" s="531"/>
      <c r="F3138" s="531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2" t="str">
        <f t="shared" si="178"/>
        <v/>
      </c>
      <c r="E3139" s="531"/>
      <c r="F3139" s="531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2" t="str">
        <f t="shared" si="178"/>
        <v/>
      </c>
      <c r="E3140" s="531"/>
      <c r="F3140" s="531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2" t="str">
        <f t="shared" si="178"/>
        <v/>
      </c>
      <c r="E3141" s="531"/>
      <c r="F3141" s="531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2" t="str">
        <f t="shared" si="178"/>
        <v/>
      </c>
      <c r="E3142" s="531"/>
      <c r="F3142" s="531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2" t="str">
        <f t="shared" si="178"/>
        <v/>
      </c>
      <c r="E3143" s="531"/>
      <c r="F3143" s="531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2" t="str">
        <f t="shared" si="178"/>
        <v/>
      </c>
      <c r="E3144" s="531"/>
      <c r="F3144" s="531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2" t="str">
        <f t="shared" ref="D3145:D3208" si="181">IF(A3145&lt;&gt;"",PROPER(TEXT(A3145,"Mmmm")),"")</f>
        <v/>
      </c>
      <c r="E3145" s="531"/>
      <c r="F3145" s="531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2" t="str">
        <f t="shared" si="181"/>
        <v/>
      </c>
      <c r="E3146" s="531"/>
      <c r="F3146" s="531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2" t="str">
        <f t="shared" si="181"/>
        <v/>
      </c>
      <c r="E3147" s="531"/>
      <c r="F3147" s="531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2" t="str">
        <f t="shared" si="181"/>
        <v/>
      </c>
      <c r="E3148" s="531"/>
      <c r="F3148" s="531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2" t="str">
        <f t="shared" si="181"/>
        <v/>
      </c>
      <c r="E3149" s="531"/>
      <c r="F3149" s="531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2" t="str">
        <f t="shared" si="181"/>
        <v/>
      </c>
      <c r="E3150" s="531"/>
      <c r="F3150" s="531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2" t="str">
        <f t="shared" si="181"/>
        <v/>
      </c>
      <c r="E3151" s="531"/>
      <c r="F3151" s="531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2" t="str">
        <f t="shared" si="181"/>
        <v/>
      </c>
      <c r="E3152" s="531"/>
      <c r="F3152" s="531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2" t="str">
        <f t="shared" si="181"/>
        <v/>
      </c>
      <c r="E3153" s="531"/>
      <c r="F3153" s="531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2" t="str">
        <f t="shared" si="181"/>
        <v/>
      </c>
      <c r="E3154" s="531"/>
      <c r="F3154" s="531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2" t="str">
        <f t="shared" si="181"/>
        <v/>
      </c>
      <c r="E3155" s="531"/>
      <c r="F3155" s="531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2" t="str">
        <f t="shared" si="181"/>
        <v/>
      </c>
      <c r="E3156" s="531"/>
      <c r="F3156" s="531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2" t="str">
        <f t="shared" si="181"/>
        <v/>
      </c>
      <c r="E3157" s="531"/>
      <c r="F3157" s="531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2" t="str">
        <f t="shared" si="181"/>
        <v/>
      </c>
      <c r="E3158" s="531"/>
      <c r="F3158" s="531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2" t="str">
        <f t="shared" si="181"/>
        <v/>
      </c>
      <c r="E3159" s="531"/>
      <c r="F3159" s="531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2" t="str">
        <f t="shared" si="181"/>
        <v/>
      </c>
      <c r="E3160" s="531"/>
      <c r="F3160" s="531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2" t="str">
        <f t="shared" si="181"/>
        <v/>
      </c>
      <c r="E3161" s="531"/>
      <c r="F3161" s="531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2" t="str">
        <f t="shared" si="181"/>
        <v/>
      </c>
      <c r="E3162" s="531"/>
      <c r="F3162" s="531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2" t="str">
        <f t="shared" si="181"/>
        <v/>
      </c>
      <c r="E3163" s="531"/>
      <c r="F3163" s="531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2" t="str">
        <f t="shared" si="181"/>
        <v/>
      </c>
      <c r="E3164" s="531"/>
      <c r="F3164" s="531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2" t="str">
        <f t="shared" si="181"/>
        <v/>
      </c>
      <c r="E3165" s="531"/>
      <c r="F3165" s="531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2" t="str">
        <f t="shared" si="181"/>
        <v/>
      </c>
      <c r="E3166" s="531"/>
      <c r="F3166" s="531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2" t="str">
        <f t="shared" si="181"/>
        <v/>
      </c>
      <c r="E3167" s="531"/>
      <c r="F3167" s="531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2" t="str">
        <f t="shared" si="181"/>
        <v/>
      </c>
      <c r="E3168" s="531"/>
      <c r="F3168" s="531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2" t="str">
        <f t="shared" si="181"/>
        <v/>
      </c>
      <c r="E3169" s="531"/>
      <c r="F3169" s="531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2" t="str">
        <f t="shared" si="181"/>
        <v/>
      </c>
      <c r="E3170" s="531"/>
      <c r="F3170" s="531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2" t="str">
        <f t="shared" si="181"/>
        <v/>
      </c>
      <c r="E3171" s="531"/>
      <c r="F3171" s="531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2" t="str">
        <f t="shared" si="181"/>
        <v/>
      </c>
      <c r="E3172" s="531"/>
      <c r="F3172" s="531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2" t="str">
        <f t="shared" si="181"/>
        <v/>
      </c>
      <c r="E3173" s="531"/>
      <c r="F3173" s="531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2" t="str">
        <f t="shared" si="181"/>
        <v/>
      </c>
      <c r="E3174" s="531"/>
      <c r="F3174" s="531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2" t="str">
        <f t="shared" si="181"/>
        <v/>
      </c>
      <c r="E3175" s="531"/>
      <c r="F3175" s="531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2" t="str">
        <f t="shared" si="181"/>
        <v/>
      </c>
      <c r="E3176" s="531"/>
      <c r="F3176" s="531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2" t="str">
        <f t="shared" si="181"/>
        <v/>
      </c>
      <c r="E3177" s="531"/>
      <c r="F3177" s="531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2" t="str">
        <f t="shared" si="181"/>
        <v/>
      </c>
      <c r="E3178" s="531"/>
      <c r="F3178" s="531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2" t="str">
        <f t="shared" si="181"/>
        <v/>
      </c>
      <c r="E3179" s="531"/>
      <c r="F3179" s="531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2" t="str">
        <f t="shared" si="181"/>
        <v/>
      </c>
      <c r="E3180" s="531"/>
      <c r="F3180" s="531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2" t="str">
        <f t="shared" si="181"/>
        <v/>
      </c>
      <c r="E3181" s="531"/>
      <c r="F3181" s="531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2" t="str">
        <f t="shared" si="181"/>
        <v/>
      </c>
      <c r="E3182" s="531"/>
      <c r="F3182" s="531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2" t="str">
        <f t="shared" si="181"/>
        <v/>
      </c>
      <c r="E3183" s="531"/>
      <c r="F3183" s="531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2" t="str">
        <f t="shared" si="181"/>
        <v/>
      </c>
      <c r="E3184" s="531"/>
      <c r="F3184" s="531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2" t="str">
        <f t="shared" si="181"/>
        <v/>
      </c>
      <c r="E3185" s="531"/>
      <c r="F3185" s="531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2" t="str">
        <f t="shared" si="181"/>
        <v/>
      </c>
      <c r="E3186" s="531"/>
      <c r="F3186" s="531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2" t="str">
        <f t="shared" si="181"/>
        <v/>
      </c>
      <c r="E3187" s="531"/>
      <c r="F3187" s="531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2" t="str">
        <f t="shared" si="181"/>
        <v/>
      </c>
      <c r="E3188" s="531"/>
      <c r="F3188" s="531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2" t="str">
        <f t="shared" si="181"/>
        <v/>
      </c>
      <c r="E3189" s="531"/>
      <c r="F3189" s="531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2" t="str">
        <f t="shared" si="181"/>
        <v/>
      </c>
      <c r="E3190" s="531"/>
      <c r="F3190" s="531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2" t="str">
        <f t="shared" si="181"/>
        <v/>
      </c>
      <c r="E3191" s="531"/>
      <c r="F3191" s="531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2" t="str">
        <f t="shared" si="181"/>
        <v/>
      </c>
      <c r="E3192" s="531"/>
      <c r="F3192" s="531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2" t="str">
        <f t="shared" si="181"/>
        <v/>
      </c>
      <c r="E3193" s="531"/>
      <c r="F3193" s="531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2" t="str">
        <f t="shared" si="181"/>
        <v/>
      </c>
      <c r="E3194" s="531"/>
      <c r="F3194" s="531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2" t="str">
        <f t="shared" si="181"/>
        <v/>
      </c>
      <c r="E3195" s="531"/>
      <c r="F3195" s="531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2" t="str">
        <f t="shared" si="181"/>
        <v/>
      </c>
      <c r="E3196" s="531"/>
      <c r="F3196" s="531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2" t="str">
        <f t="shared" si="181"/>
        <v/>
      </c>
      <c r="E3197" s="531"/>
      <c r="F3197" s="531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2" t="str">
        <f t="shared" si="181"/>
        <v/>
      </c>
      <c r="E3198" s="531"/>
      <c r="F3198" s="531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2" t="str">
        <f t="shared" si="181"/>
        <v/>
      </c>
      <c r="E3199" s="531"/>
      <c r="F3199" s="531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2" t="str">
        <f t="shared" si="181"/>
        <v/>
      </c>
      <c r="E3200" s="531"/>
      <c r="F3200" s="531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2" t="str">
        <f t="shared" si="181"/>
        <v/>
      </c>
      <c r="E3201" s="531"/>
      <c r="F3201" s="531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2" t="str">
        <f t="shared" si="181"/>
        <v/>
      </c>
      <c r="E3202" s="531"/>
      <c r="F3202" s="531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2" t="str">
        <f t="shared" si="181"/>
        <v/>
      </c>
      <c r="E3203" s="531"/>
      <c r="F3203" s="531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2" t="str">
        <f t="shared" si="181"/>
        <v/>
      </c>
      <c r="E3204" s="531"/>
      <c r="F3204" s="531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2" t="str">
        <f t="shared" si="181"/>
        <v/>
      </c>
      <c r="E3205" s="531"/>
      <c r="F3205" s="531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2" t="str">
        <f t="shared" si="181"/>
        <v/>
      </c>
      <c r="E3206" s="531"/>
      <c r="F3206" s="531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2" t="str">
        <f t="shared" si="181"/>
        <v/>
      </c>
      <c r="E3207" s="531"/>
      <c r="F3207" s="531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2" t="str">
        <f t="shared" si="181"/>
        <v/>
      </c>
      <c r="E3208" s="531"/>
      <c r="F3208" s="531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2" t="str">
        <f t="shared" ref="D3209:D3272" si="184">IF(A3209&lt;&gt;"",PROPER(TEXT(A3209,"Mmmm")),"")</f>
        <v/>
      </c>
      <c r="E3209" s="531"/>
      <c r="F3209" s="531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2" t="str">
        <f t="shared" si="184"/>
        <v/>
      </c>
      <c r="E3210" s="531"/>
      <c r="F3210" s="531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2" t="str">
        <f t="shared" si="184"/>
        <v/>
      </c>
      <c r="E3211" s="531"/>
      <c r="F3211" s="531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2" t="str">
        <f t="shared" si="184"/>
        <v/>
      </c>
      <c r="E3212" s="531"/>
      <c r="F3212" s="531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2" t="str">
        <f t="shared" si="184"/>
        <v/>
      </c>
      <c r="E3213" s="531"/>
      <c r="F3213" s="531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2" t="str">
        <f t="shared" si="184"/>
        <v/>
      </c>
      <c r="E3214" s="531"/>
      <c r="F3214" s="531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2" t="str">
        <f t="shared" si="184"/>
        <v/>
      </c>
      <c r="E3215" s="531"/>
      <c r="F3215" s="531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2" t="str">
        <f t="shared" si="184"/>
        <v/>
      </c>
      <c r="E3216" s="531"/>
      <c r="F3216" s="531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2" t="str">
        <f t="shared" si="184"/>
        <v/>
      </c>
      <c r="E3217" s="531"/>
      <c r="F3217" s="531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2" t="str">
        <f t="shared" si="184"/>
        <v/>
      </c>
      <c r="E3218" s="531"/>
      <c r="F3218" s="531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2" t="str">
        <f t="shared" si="184"/>
        <v/>
      </c>
      <c r="E3219" s="531"/>
      <c r="F3219" s="531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2" t="str">
        <f t="shared" si="184"/>
        <v/>
      </c>
      <c r="E3220" s="531"/>
      <c r="F3220" s="531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2" t="str">
        <f t="shared" si="184"/>
        <v/>
      </c>
      <c r="E3221" s="531"/>
      <c r="F3221" s="531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2" t="str">
        <f t="shared" si="184"/>
        <v/>
      </c>
      <c r="E3222" s="531"/>
      <c r="F3222" s="531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2" t="str">
        <f t="shared" si="184"/>
        <v/>
      </c>
      <c r="E3223" s="531"/>
      <c r="F3223" s="531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2" t="str">
        <f t="shared" si="184"/>
        <v/>
      </c>
      <c r="E3224" s="531"/>
      <c r="F3224" s="531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2" t="str">
        <f t="shared" si="184"/>
        <v/>
      </c>
      <c r="E3225" s="531"/>
      <c r="F3225" s="531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2" t="str">
        <f t="shared" si="184"/>
        <v/>
      </c>
      <c r="E3226" s="531"/>
      <c r="F3226" s="531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2" t="str">
        <f t="shared" si="184"/>
        <v/>
      </c>
      <c r="E3227" s="531"/>
      <c r="F3227" s="531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2" t="str">
        <f t="shared" si="184"/>
        <v/>
      </c>
      <c r="E3228" s="531"/>
      <c r="F3228" s="531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2" t="str">
        <f t="shared" si="184"/>
        <v/>
      </c>
      <c r="E3229" s="531"/>
      <c r="F3229" s="531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2" t="str">
        <f t="shared" si="184"/>
        <v/>
      </c>
      <c r="E3230" s="531"/>
      <c r="F3230" s="531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2" t="str">
        <f t="shared" si="184"/>
        <v/>
      </c>
      <c r="E3231" s="531"/>
      <c r="F3231" s="531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2" t="str">
        <f t="shared" si="184"/>
        <v/>
      </c>
      <c r="E3232" s="531"/>
      <c r="F3232" s="531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2" t="str">
        <f t="shared" si="184"/>
        <v/>
      </c>
      <c r="E3233" s="531"/>
      <c r="F3233" s="531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2" t="str">
        <f t="shared" si="184"/>
        <v/>
      </c>
      <c r="E3234" s="531"/>
      <c r="F3234" s="531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2" t="str">
        <f t="shared" si="184"/>
        <v/>
      </c>
      <c r="E3235" s="531"/>
      <c r="F3235" s="531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2" t="str">
        <f t="shared" si="184"/>
        <v/>
      </c>
      <c r="E3236" s="531"/>
      <c r="F3236" s="531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2" t="str">
        <f t="shared" si="184"/>
        <v/>
      </c>
      <c r="E3237" s="531"/>
      <c r="F3237" s="531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2" t="str">
        <f t="shared" si="184"/>
        <v/>
      </c>
      <c r="E3238" s="531"/>
      <c r="F3238" s="531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2" t="str">
        <f t="shared" si="184"/>
        <v/>
      </c>
      <c r="E3239" s="531"/>
      <c r="F3239" s="531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2" t="str">
        <f t="shared" si="184"/>
        <v/>
      </c>
      <c r="E3240" s="531"/>
      <c r="F3240" s="531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2" t="str">
        <f t="shared" si="184"/>
        <v/>
      </c>
      <c r="E3241" s="531"/>
      <c r="F3241" s="531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2" t="str">
        <f t="shared" si="184"/>
        <v/>
      </c>
      <c r="E3242" s="531"/>
      <c r="F3242" s="531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2" t="str">
        <f t="shared" si="184"/>
        <v/>
      </c>
      <c r="E3243" s="531"/>
      <c r="F3243" s="531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2" t="str">
        <f t="shared" si="184"/>
        <v/>
      </c>
      <c r="E3244" s="531"/>
      <c r="F3244" s="531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2" t="str">
        <f t="shared" si="184"/>
        <v/>
      </c>
      <c r="E3245" s="531"/>
      <c r="F3245" s="531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2" t="str">
        <f t="shared" si="184"/>
        <v/>
      </c>
      <c r="E3246" s="531"/>
      <c r="F3246" s="531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2" t="str">
        <f t="shared" si="184"/>
        <v/>
      </c>
      <c r="E3247" s="531"/>
      <c r="F3247" s="531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2" t="str">
        <f t="shared" si="184"/>
        <v/>
      </c>
      <c r="E3248" s="531"/>
      <c r="F3248" s="531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2" t="str">
        <f t="shared" si="184"/>
        <v/>
      </c>
      <c r="E3249" s="531"/>
      <c r="F3249" s="531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2" t="str">
        <f t="shared" si="184"/>
        <v/>
      </c>
      <c r="E3250" s="531"/>
      <c r="F3250" s="531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2" t="str">
        <f t="shared" si="184"/>
        <v/>
      </c>
      <c r="E3251" s="531"/>
      <c r="F3251" s="531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2" t="str">
        <f t="shared" si="184"/>
        <v/>
      </c>
      <c r="E3252" s="531"/>
      <c r="F3252" s="531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2" t="str">
        <f t="shared" si="184"/>
        <v/>
      </c>
      <c r="E3253" s="531"/>
      <c r="F3253" s="531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2" t="str">
        <f t="shared" si="184"/>
        <v/>
      </c>
      <c r="E3254" s="531"/>
      <c r="F3254" s="531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2" t="str">
        <f t="shared" si="184"/>
        <v/>
      </c>
      <c r="E3255" s="531"/>
      <c r="F3255" s="531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2" t="str">
        <f t="shared" si="184"/>
        <v/>
      </c>
      <c r="E3256" s="531"/>
      <c r="F3256" s="531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2" t="str">
        <f t="shared" si="184"/>
        <v/>
      </c>
      <c r="E3257" s="531"/>
      <c r="F3257" s="531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2" t="str">
        <f t="shared" si="184"/>
        <v/>
      </c>
      <c r="E3258" s="531"/>
      <c r="F3258" s="531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2" t="str">
        <f t="shared" si="184"/>
        <v/>
      </c>
      <c r="E3259" s="531"/>
      <c r="F3259" s="531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2" t="str">
        <f t="shared" si="184"/>
        <v/>
      </c>
      <c r="E3260" s="531"/>
      <c r="F3260" s="531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2" t="str">
        <f t="shared" si="184"/>
        <v/>
      </c>
      <c r="E3261" s="531"/>
      <c r="F3261" s="531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2" t="str">
        <f t="shared" si="184"/>
        <v/>
      </c>
      <c r="E3262" s="531"/>
      <c r="F3262" s="531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2" t="str">
        <f t="shared" si="184"/>
        <v/>
      </c>
      <c r="E3263" s="531"/>
      <c r="F3263" s="531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2" t="str">
        <f t="shared" si="184"/>
        <v/>
      </c>
      <c r="E3264" s="531"/>
      <c r="F3264" s="531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2" t="str">
        <f t="shared" si="184"/>
        <v/>
      </c>
      <c r="E3265" s="531"/>
      <c r="F3265" s="531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2" t="str">
        <f t="shared" si="184"/>
        <v/>
      </c>
      <c r="E3266" s="531"/>
      <c r="F3266" s="531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2" t="str">
        <f t="shared" si="184"/>
        <v/>
      </c>
      <c r="E3267" s="531"/>
      <c r="F3267" s="531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2" t="str">
        <f t="shared" si="184"/>
        <v/>
      </c>
      <c r="E3268" s="531"/>
      <c r="F3268" s="531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2" t="str">
        <f t="shared" si="184"/>
        <v/>
      </c>
      <c r="E3269" s="531"/>
      <c r="F3269" s="531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2" t="str">
        <f t="shared" si="184"/>
        <v/>
      </c>
      <c r="E3270" s="531"/>
      <c r="F3270" s="531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2" t="str">
        <f t="shared" si="184"/>
        <v/>
      </c>
      <c r="E3271" s="531"/>
      <c r="F3271" s="531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2" t="str">
        <f t="shared" si="184"/>
        <v/>
      </c>
      <c r="E3272" s="531"/>
      <c r="F3272" s="531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2" t="str">
        <f t="shared" ref="D3273:D3336" si="187">IF(A3273&lt;&gt;"",PROPER(TEXT(A3273,"Mmmm")),"")</f>
        <v/>
      </c>
      <c r="E3273" s="531"/>
      <c r="F3273" s="531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2" t="str">
        <f t="shared" si="187"/>
        <v/>
      </c>
      <c r="E3274" s="531"/>
      <c r="F3274" s="531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2" t="str">
        <f t="shared" si="187"/>
        <v/>
      </c>
      <c r="E3275" s="531"/>
      <c r="F3275" s="531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2" t="str">
        <f t="shared" si="187"/>
        <v/>
      </c>
      <c r="E3276" s="531"/>
      <c r="F3276" s="531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2" t="str">
        <f t="shared" si="187"/>
        <v/>
      </c>
      <c r="E3277" s="531"/>
      <c r="F3277" s="531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2" t="str">
        <f t="shared" si="187"/>
        <v/>
      </c>
      <c r="E3278" s="531"/>
      <c r="F3278" s="531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2" t="str">
        <f t="shared" si="187"/>
        <v/>
      </c>
      <c r="E3279" s="531"/>
      <c r="F3279" s="531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2" t="str">
        <f t="shared" si="187"/>
        <v/>
      </c>
      <c r="E3280" s="531"/>
      <c r="F3280" s="531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2" t="str">
        <f t="shared" si="187"/>
        <v/>
      </c>
      <c r="E3281" s="531"/>
      <c r="F3281" s="531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2" t="str">
        <f t="shared" si="187"/>
        <v/>
      </c>
      <c r="E3282" s="531"/>
      <c r="F3282" s="531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2" t="str">
        <f t="shared" si="187"/>
        <v/>
      </c>
      <c r="E3283" s="531"/>
      <c r="F3283" s="531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2" t="str">
        <f t="shared" si="187"/>
        <v/>
      </c>
      <c r="E3284" s="531"/>
      <c r="F3284" s="531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2" t="str">
        <f t="shared" si="187"/>
        <v/>
      </c>
      <c r="E3285" s="531"/>
      <c r="F3285" s="531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2" t="str">
        <f t="shared" si="187"/>
        <v/>
      </c>
      <c r="E3286" s="531"/>
      <c r="F3286" s="531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2" t="str">
        <f t="shared" si="187"/>
        <v/>
      </c>
      <c r="E3287" s="531"/>
      <c r="F3287" s="531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2" t="str">
        <f t="shared" si="187"/>
        <v/>
      </c>
      <c r="E3288" s="531"/>
      <c r="F3288" s="531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2" t="str">
        <f t="shared" si="187"/>
        <v/>
      </c>
      <c r="E3289" s="531"/>
      <c r="F3289" s="531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2" t="str">
        <f t="shared" si="187"/>
        <v/>
      </c>
      <c r="E3290" s="531"/>
      <c r="F3290" s="531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2" t="str">
        <f t="shared" si="187"/>
        <v/>
      </c>
      <c r="E3291" s="531"/>
      <c r="F3291" s="531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2" t="str">
        <f t="shared" si="187"/>
        <v/>
      </c>
      <c r="E3292" s="531"/>
      <c r="F3292" s="531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2" t="str">
        <f t="shared" si="187"/>
        <v/>
      </c>
      <c r="E3293" s="531"/>
      <c r="F3293" s="531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2" t="str">
        <f t="shared" si="187"/>
        <v/>
      </c>
      <c r="E3294" s="531"/>
      <c r="F3294" s="531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2" t="str">
        <f t="shared" si="187"/>
        <v/>
      </c>
      <c r="E3295" s="531"/>
      <c r="F3295" s="531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2" t="str">
        <f t="shared" si="187"/>
        <v/>
      </c>
      <c r="E3296" s="531"/>
      <c r="F3296" s="531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2" t="str">
        <f t="shared" si="187"/>
        <v/>
      </c>
      <c r="E3297" s="531"/>
      <c r="F3297" s="531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2" t="str">
        <f t="shared" si="187"/>
        <v/>
      </c>
      <c r="E3298" s="531"/>
      <c r="F3298" s="531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2" t="str">
        <f t="shared" si="187"/>
        <v/>
      </c>
      <c r="E3299" s="531"/>
      <c r="F3299" s="531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2" t="str">
        <f t="shared" si="187"/>
        <v/>
      </c>
      <c r="E3300" s="531"/>
      <c r="F3300" s="531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2" t="str">
        <f t="shared" si="187"/>
        <v/>
      </c>
      <c r="E3301" s="531"/>
      <c r="F3301" s="531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2" t="str">
        <f t="shared" si="187"/>
        <v/>
      </c>
      <c r="E3302" s="531"/>
      <c r="F3302" s="531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2" t="str">
        <f t="shared" si="187"/>
        <v/>
      </c>
      <c r="E3303" s="531"/>
      <c r="F3303" s="531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2" t="str">
        <f t="shared" si="187"/>
        <v/>
      </c>
      <c r="E3304" s="531"/>
      <c r="F3304" s="531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2" t="str">
        <f t="shared" si="187"/>
        <v/>
      </c>
      <c r="E3305" s="531"/>
      <c r="F3305" s="531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2" t="str">
        <f t="shared" si="187"/>
        <v/>
      </c>
      <c r="E3306" s="531"/>
      <c r="F3306" s="531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2" t="str">
        <f t="shared" si="187"/>
        <v/>
      </c>
      <c r="E3307" s="531"/>
      <c r="F3307" s="531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2" t="str">
        <f t="shared" si="187"/>
        <v/>
      </c>
      <c r="E3308" s="531"/>
      <c r="F3308" s="531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2" t="str">
        <f t="shared" si="187"/>
        <v/>
      </c>
      <c r="E3309" s="531"/>
      <c r="F3309" s="531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2" t="str">
        <f t="shared" si="187"/>
        <v/>
      </c>
      <c r="E3310" s="531"/>
      <c r="F3310" s="531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2" t="str">
        <f t="shared" si="187"/>
        <v/>
      </c>
      <c r="E3311" s="531"/>
      <c r="F3311" s="531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2" t="str">
        <f t="shared" si="187"/>
        <v/>
      </c>
      <c r="E3312" s="531"/>
      <c r="F3312" s="531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2" t="str">
        <f t="shared" si="187"/>
        <v/>
      </c>
      <c r="E3313" s="531"/>
      <c r="F3313" s="531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2" t="str">
        <f t="shared" si="187"/>
        <v/>
      </c>
      <c r="E3314" s="531"/>
      <c r="F3314" s="531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2" t="str">
        <f t="shared" si="187"/>
        <v/>
      </c>
      <c r="E3315" s="531"/>
      <c r="F3315" s="531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2" t="str">
        <f t="shared" si="187"/>
        <v/>
      </c>
      <c r="E3316" s="531"/>
      <c r="F3316" s="531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2" t="str">
        <f t="shared" si="187"/>
        <v/>
      </c>
      <c r="E3317" s="531"/>
      <c r="F3317" s="531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2" t="str">
        <f t="shared" si="187"/>
        <v/>
      </c>
      <c r="E3318" s="531"/>
      <c r="F3318" s="531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2" t="str">
        <f t="shared" si="187"/>
        <v/>
      </c>
      <c r="E3319" s="531"/>
      <c r="F3319" s="531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2" t="str">
        <f t="shared" si="187"/>
        <v/>
      </c>
      <c r="E3320" s="531"/>
      <c r="F3320" s="531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2" t="str">
        <f t="shared" si="187"/>
        <v/>
      </c>
      <c r="E3321" s="531"/>
      <c r="F3321" s="531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2" t="str">
        <f t="shared" si="187"/>
        <v/>
      </c>
      <c r="E3322" s="531"/>
      <c r="F3322" s="531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2" t="str">
        <f t="shared" si="187"/>
        <v/>
      </c>
      <c r="E3323" s="531"/>
      <c r="F3323" s="531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2" t="str">
        <f t="shared" si="187"/>
        <v/>
      </c>
      <c r="E3324" s="531"/>
      <c r="F3324" s="531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2" t="str">
        <f t="shared" si="187"/>
        <v/>
      </c>
      <c r="E3325" s="531"/>
      <c r="F3325" s="531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2" t="str">
        <f t="shared" si="187"/>
        <v/>
      </c>
      <c r="E3326" s="531"/>
      <c r="F3326" s="531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2" t="str">
        <f t="shared" si="187"/>
        <v/>
      </c>
      <c r="E3327" s="531"/>
      <c r="F3327" s="531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2" t="str">
        <f t="shared" si="187"/>
        <v/>
      </c>
      <c r="E3328" s="531"/>
      <c r="F3328" s="531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2" t="str">
        <f t="shared" si="187"/>
        <v/>
      </c>
      <c r="E3329" s="531"/>
      <c r="F3329" s="531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2" t="str">
        <f t="shared" si="187"/>
        <v/>
      </c>
      <c r="E3330" s="531"/>
      <c r="F3330" s="531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2" t="str">
        <f t="shared" si="187"/>
        <v/>
      </c>
      <c r="E3331" s="531"/>
      <c r="F3331" s="531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2" t="str">
        <f t="shared" si="187"/>
        <v/>
      </c>
      <c r="E3332" s="531"/>
      <c r="F3332" s="531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2" t="str">
        <f t="shared" si="187"/>
        <v/>
      </c>
      <c r="E3333" s="531"/>
      <c r="F3333" s="531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2" t="str">
        <f t="shared" si="187"/>
        <v/>
      </c>
      <c r="E3334" s="531"/>
      <c r="F3334" s="531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2" t="str">
        <f t="shared" si="187"/>
        <v/>
      </c>
      <c r="E3335" s="531"/>
      <c r="F3335" s="531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2" t="str">
        <f t="shared" si="187"/>
        <v/>
      </c>
      <c r="E3336" s="531"/>
      <c r="F3336" s="531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2" t="str">
        <f t="shared" ref="D3337:D3400" si="190">IF(A3337&lt;&gt;"",PROPER(TEXT(A3337,"Mmmm")),"")</f>
        <v/>
      </c>
      <c r="E3337" s="531"/>
      <c r="F3337" s="531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2" t="str">
        <f t="shared" si="190"/>
        <v/>
      </c>
      <c r="E3338" s="531"/>
      <c r="F3338" s="531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2" t="str">
        <f t="shared" si="190"/>
        <v/>
      </c>
      <c r="E3339" s="531"/>
      <c r="F3339" s="531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2" t="str">
        <f t="shared" si="190"/>
        <v/>
      </c>
      <c r="E3340" s="531"/>
      <c r="F3340" s="531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2" t="str">
        <f t="shared" si="190"/>
        <v/>
      </c>
      <c r="E3341" s="531"/>
      <c r="F3341" s="531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2" t="str">
        <f t="shared" si="190"/>
        <v/>
      </c>
      <c r="E3342" s="531"/>
      <c r="F3342" s="531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2" t="str">
        <f t="shared" si="190"/>
        <v/>
      </c>
      <c r="E3343" s="531"/>
      <c r="F3343" s="531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2" t="str">
        <f t="shared" si="190"/>
        <v/>
      </c>
      <c r="E3344" s="531"/>
      <c r="F3344" s="531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2" t="str">
        <f t="shared" si="190"/>
        <v/>
      </c>
      <c r="E3345" s="531"/>
      <c r="F3345" s="531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2" t="str">
        <f t="shared" si="190"/>
        <v/>
      </c>
      <c r="E3346" s="531"/>
      <c r="F3346" s="531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2" t="str">
        <f t="shared" si="190"/>
        <v/>
      </c>
      <c r="E3347" s="531"/>
      <c r="F3347" s="531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2" t="str">
        <f t="shared" si="190"/>
        <v/>
      </c>
      <c r="E3348" s="531"/>
      <c r="F3348" s="531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2" t="str">
        <f t="shared" si="190"/>
        <v/>
      </c>
      <c r="E3349" s="531"/>
      <c r="F3349" s="531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2" t="str">
        <f t="shared" si="190"/>
        <v/>
      </c>
      <c r="E3350" s="531"/>
      <c r="F3350" s="531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2" t="str">
        <f t="shared" si="190"/>
        <v/>
      </c>
      <c r="E3351" s="531"/>
      <c r="F3351" s="531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2" t="str">
        <f t="shared" si="190"/>
        <v/>
      </c>
      <c r="E3352" s="531"/>
      <c r="F3352" s="531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2" t="str">
        <f t="shared" si="190"/>
        <v/>
      </c>
      <c r="E3353" s="531"/>
      <c r="F3353" s="531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2" t="str">
        <f t="shared" si="190"/>
        <v/>
      </c>
      <c r="E3354" s="531"/>
      <c r="F3354" s="531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2" t="str">
        <f t="shared" si="190"/>
        <v/>
      </c>
      <c r="E3355" s="531"/>
      <c r="F3355" s="531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2" t="str">
        <f t="shared" si="190"/>
        <v/>
      </c>
      <c r="E3356" s="531"/>
      <c r="F3356" s="531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2" t="str">
        <f t="shared" si="190"/>
        <v/>
      </c>
      <c r="E3357" s="531"/>
      <c r="F3357" s="531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2" t="str">
        <f t="shared" si="190"/>
        <v/>
      </c>
      <c r="E3358" s="531"/>
      <c r="F3358" s="531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2" t="str">
        <f t="shared" si="190"/>
        <v/>
      </c>
      <c r="E3359" s="531"/>
      <c r="F3359" s="531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2" t="str">
        <f t="shared" si="190"/>
        <v/>
      </c>
      <c r="E3360" s="531"/>
      <c r="F3360" s="531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2" t="str">
        <f t="shared" si="190"/>
        <v/>
      </c>
      <c r="E3361" s="531"/>
      <c r="F3361" s="531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2" t="str">
        <f t="shared" si="190"/>
        <v/>
      </c>
      <c r="E3362" s="531"/>
      <c r="F3362" s="531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2" t="str">
        <f t="shared" si="190"/>
        <v/>
      </c>
      <c r="E3363" s="531"/>
      <c r="F3363" s="531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2" t="str">
        <f t="shared" si="190"/>
        <v/>
      </c>
      <c r="E3364" s="531"/>
      <c r="F3364" s="531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2" t="str">
        <f t="shared" si="190"/>
        <v/>
      </c>
      <c r="E3365" s="531"/>
      <c r="F3365" s="531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2" t="str">
        <f t="shared" si="190"/>
        <v/>
      </c>
      <c r="E3366" s="531"/>
      <c r="F3366" s="531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2" t="str">
        <f t="shared" si="190"/>
        <v/>
      </c>
      <c r="E3367" s="531"/>
      <c r="F3367" s="531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2" t="str">
        <f t="shared" si="190"/>
        <v/>
      </c>
      <c r="E3368" s="531"/>
      <c r="F3368" s="531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2" t="str">
        <f t="shared" si="190"/>
        <v/>
      </c>
      <c r="E3369" s="531"/>
      <c r="F3369" s="531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2" t="str">
        <f t="shared" si="190"/>
        <v/>
      </c>
      <c r="E3370" s="531"/>
      <c r="F3370" s="531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2" t="str">
        <f t="shared" si="190"/>
        <v/>
      </c>
      <c r="E3371" s="531"/>
      <c r="F3371" s="531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2" t="str">
        <f t="shared" si="190"/>
        <v/>
      </c>
      <c r="E3372" s="531"/>
      <c r="F3372" s="531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2" t="str">
        <f t="shared" si="190"/>
        <v/>
      </c>
      <c r="E3373" s="531"/>
      <c r="F3373" s="531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2" t="str">
        <f t="shared" si="190"/>
        <v/>
      </c>
      <c r="E3374" s="531"/>
      <c r="F3374" s="531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2" t="str">
        <f t="shared" si="190"/>
        <v/>
      </c>
      <c r="E3375" s="531"/>
      <c r="F3375" s="531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2" t="str">
        <f t="shared" si="190"/>
        <v/>
      </c>
      <c r="E3376" s="531"/>
      <c r="F3376" s="531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2" t="str">
        <f t="shared" si="190"/>
        <v/>
      </c>
      <c r="E3377" s="531"/>
      <c r="F3377" s="531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2" t="str">
        <f t="shared" si="190"/>
        <v/>
      </c>
      <c r="E3378" s="531"/>
      <c r="F3378" s="531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2" t="str">
        <f t="shared" si="190"/>
        <v/>
      </c>
      <c r="E3379" s="531"/>
      <c r="F3379" s="531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2" t="str">
        <f t="shared" si="190"/>
        <v/>
      </c>
      <c r="E3380" s="531"/>
      <c r="F3380" s="531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2" t="str">
        <f t="shared" si="190"/>
        <v/>
      </c>
      <c r="E3381" s="531"/>
      <c r="F3381" s="531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2" t="str">
        <f t="shared" si="190"/>
        <v/>
      </c>
      <c r="E3382" s="531"/>
      <c r="F3382" s="531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2" t="str">
        <f t="shared" si="190"/>
        <v/>
      </c>
      <c r="E3383" s="531"/>
      <c r="F3383" s="531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2" t="str">
        <f t="shared" si="190"/>
        <v/>
      </c>
      <c r="E3384" s="531"/>
      <c r="F3384" s="531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2" t="str">
        <f t="shared" si="190"/>
        <v/>
      </c>
      <c r="E3385" s="531"/>
      <c r="F3385" s="531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2" t="str">
        <f t="shared" si="190"/>
        <v/>
      </c>
      <c r="E3386" s="531"/>
      <c r="F3386" s="531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2" t="str">
        <f t="shared" si="190"/>
        <v/>
      </c>
      <c r="E3387" s="531"/>
      <c r="F3387" s="531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2" t="str">
        <f t="shared" si="190"/>
        <v/>
      </c>
      <c r="E3388" s="531"/>
      <c r="F3388" s="531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2" t="str">
        <f t="shared" si="190"/>
        <v/>
      </c>
      <c r="E3389" s="531"/>
      <c r="F3389" s="531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2" t="str">
        <f t="shared" si="190"/>
        <v/>
      </c>
      <c r="E3390" s="531"/>
      <c r="F3390" s="531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2" t="str">
        <f t="shared" si="190"/>
        <v/>
      </c>
      <c r="E3391" s="531"/>
      <c r="F3391" s="531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2" t="str">
        <f t="shared" si="190"/>
        <v/>
      </c>
      <c r="E3392" s="531"/>
      <c r="F3392" s="531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2" t="str">
        <f t="shared" si="190"/>
        <v/>
      </c>
      <c r="E3393" s="531"/>
      <c r="F3393" s="531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2" t="str">
        <f t="shared" si="190"/>
        <v/>
      </c>
      <c r="E3394" s="531"/>
      <c r="F3394" s="531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2" t="str">
        <f t="shared" si="190"/>
        <v/>
      </c>
      <c r="E3395" s="531"/>
      <c r="F3395" s="531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2" t="str">
        <f t="shared" si="190"/>
        <v/>
      </c>
      <c r="E3396" s="531"/>
      <c r="F3396" s="531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2" t="str">
        <f t="shared" si="190"/>
        <v/>
      </c>
      <c r="E3397" s="531"/>
      <c r="F3397" s="531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2" t="str">
        <f t="shared" si="190"/>
        <v/>
      </c>
      <c r="E3398" s="531"/>
      <c r="F3398" s="531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2" t="str">
        <f t="shared" si="190"/>
        <v/>
      </c>
      <c r="E3399" s="531"/>
      <c r="F3399" s="531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2" t="str">
        <f t="shared" si="190"/>
        <v/>
      </c>
      <c r="E3400" s="531"/>
      <c r="F3400" s="531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2" t="str">
        <f t="shared" ref="D3401:D3464" si="193">IF(A3401&lt;&gt;"",PROPER(TEXT(A3401,"Mmmm")),"")</f>
        <v/>
      </c>
      <c r="E3401" s="531"/>
      <c r="F3401" s="531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2" t="str">
        <f t="shared" si="193"/>
        <v/>
      </c>
      <c r="E3402" s="531"/>
      <c r="F3402" s="531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2" t="str">
        <f t="shared" si="193"/>
        <v/>
      </c>
      <c r="E3403" s="531"/>
      <c r="F3403" s="531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2" t="str">
        <f t="shared" si="193"/>
        <v/>
      </c>
      <c r="E3404" s="531"/>
      <c r="F3404" s="531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2" t="str">
        <f t="shared" si="193"/>
        <v/>
      </c>
      <c r="E3405" s="531"/>
      <c r="F3405" s="531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2" t="str">
        <f t="shared" si="193"/>
        <v/>
      </c>
      <c r="E3406" s="531"/>
      <c r="F3406" s="531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2" t="str">
        <f t="shared" si="193"/>
        <v/>
      </c>
      <c r="E3407" s="531"/>
      <c r="F3407" s="531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2" t="str">
        <f t="shared" si="193"/>
        <v/>
      </c>
      <c r="E3408" s="531"/>
      <c r="F3408" s="531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2" t="str">
        <f t="shared" si="193"/>
        <v/>
      </c>
      <c r="E3409" s="531"/>
      <c r="F3409" s="531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2" t="str">
        <f t="shared" si="193"/>
        <v/>
      </c>
      <c r="E3410" s="531"/>
      <c r="F3410" s="531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2" t="str">
        <f t="shared" si="193"/>
        <v/>
      </c>
      <c r="E3411" s="531"/>
      <c r="F3411" s="531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2" t="str">
        <f t="shared" si="193"/>
        <v/>
      </c>
      <c r="E3412" s="531"/>
      <c r="F3412" s="531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2" t="str">
        <f t="shared" si="193"/>
        <v/>
      </c>
      <c r="E3413" s="531"/>
      <c r="F3413" s="531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2" t="str">
        <f t="shared" si="193"/>
        <v/>
      </c>
      <c r="E3414" s="531"/>
      <c r="F3414" s="531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2" t="str">
        <f t="shared" si="193"/>
        <v/>
      </c>
      <c r="E3415" s="531"/>
      <c r="F3415" s="531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2" t="str">
        <f t="shared" si="193"/>
        <v/>
      </c>
      <c r="E3416" s="531"/>
      <c r="F3416" s="531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2" t="str">
        <f t="shared" si="193"/>
        <v/>
      </c>
      <c r="E3417" s="531"/>
      <c r="F3417" s="531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2" t="str">
        <f t="shared" si="193"/>
        <v/>
      </c>
      <c r="E3418" s="531"/>
      <c r="F3418" s="531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2" t="str">
        <f t="shared" si="193"/>
        <v/>
      </c>
      <c r="E3419" s="531"/>
      <c r="F3419" s="531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2" t="str">
        <f t="shared" si="193"/>
        <v/>
      </c>
      <c r="E3420" s="531"/>
      <c r="F3420" s="531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2" t="str">
        <f t="shared" si="193"/>
        <v/>
      </c>
      <c r="E3421" s="531"/>
      <c r="F3421" s="531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2" t="str">
        <f t="shared" si="193"/>
        <v/>
      </c>
      <c r="E3422" s="531"/>
      <c r="F3422" s="531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2" t="str">
        <f t="shared" si="193"/>
        <v/>
      </c>
      <c r="E3423" s="531"/>
      <c r="F3423" s="531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2" t="str">
        <f t="shared" si="193"/>
        <v/>
      </c>
      <c r="E3424" s="531"/>
      <c r="F3424" s="531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2" t="str">
        <f t="shared" si="193"/>
        <v/>
      </c>
      <c r="E3425" s="531"/>
      <c r="F3425" s="531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2" t="str">
        <f t="shared" si="193"/>
        <v/>
      </c>
      <c r="E3426" s="531"/>
      <c r="F3426" s="531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2" t="str">
        <f t="shared" si="193"/>
        <v/>
      </c>
      <c r="E3427" s="531"/>
      <c r="F3427" s="531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2" t="str">
        <f t="shared" si="193"/>
        <v/>
      </c>
      <c r="E3428" s="531"/>
      <c r="F3428" s="531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2" t="str">
        <f t="shared" si="193"/>
        <v/>
      </c>
      <c r="E3429" s="531"/>
      <c r="F3429" s="531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2" t="str">
        <f t="shared" si="193"/>
        <v/>
      </c>
      <c r="E3430" s="531"/>
      <c r="F3430" s="531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2" t="str">
        <f t="shared" si="193"/>
        <v/>
      </c>
      <c r="E3431" s="531"/>
      <c r="F3431" s="531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2" t="str">
        <f t="shared" si="193"/>
        <v/>
      </c>
      <c r="E3432" s="531"/>
      <c r="F3432" s="531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2" t="str">
        <f t="shared" si="193"/>
        <v/>
      </c>
      <c r="E3433" s="531"/>
      <c r="F3433" s="531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2" t="str">
        <f t="shared" si="193"/>
        <v/>
      </c>
      <c r="E3434" s="531"/>
      <c r="F3434" s="531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2" t="str">
        <f t="shared" si="193"/>
        <v/>
      </c>
      <c r="E3435" s="531"/>
      <c r="F3435" s="531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2" t="str">
        <f t="shared" si="193"/>
        <v/>
      </c>
      <c r="E3436" s="531"/>
      <c r="F3436" s="531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2" t="str">
        <f t="shared" si="193"/>
        <v/>
      </c>
      <c r="E3437" s="531"/>
      <c r="F3437" s="531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2" t="str">
        <f t="shared" si="193"/>
        <v/>
      </c>
      <c r="E3438" s="531"/>
      <c r="F3438" s="531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2" t="str">
        <f t="shared" si="193"/>
        <v/>
      </c>
      <c r="E3439" s="531"/>
      <c r="F3439" s="531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2" t="str">
        <f t="shared" si="193"/>
        <v/>
      </c>
      <c r="E3440" s="531"/>
      <c r="F3440" s="531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2" t="str">
        <f t="shared" si="193"/>
        <v/>
      </c>
      <c r="E3441" s="531"/>
      <c r="F3441" s="531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2" t="str">
        <f t="shared" si="193"/>
        <v/>
      </c>
      <c r="E3442" s="531"/>
      <c r="F3442" s="531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2" t="str">
        <f t="shared" si="193"/>
        <v/>
      </c>
      <c r="E3443" s="531"/>
      <c r="F3443" s="531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2" t="str">
        <f t="shared" si="193"/>
        <v/>
      </c>
      <c r="E3444" s="531"/>
      <c r="F3444" s="531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2" t="str">
        <f t="shared" si="193"/>
        <v/>
      </c>
      <c r="E3445" s="531"/>
      <c r="F3445" s="531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2" t="str">
        <f t="shared" si="193"/>
        <v/>
      </c>
      <c r="E3446" s="531"/>
      <c r="F3446" s="531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2" t="str">
        <f t="shared" si="193"/>
        <v/>
      </c>
      <c r="E3447" s="531"/>
      <c r="F3447" s="531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2" t="str">
        <f t="shared" si="193"/>
        <v/>
      </c>
      <c r="E3448" s="531"/>
      <c r="F3448" s="531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2" t="str">
        <f t="shared" si="193"/>
        <v/>
      </c>
      <c r="E3449" s="531"/>
      <c r="F3449" s="531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2" t="str">
        <f t="shared" si="193"/>
        <v/>
      </c>
      <c r="E3450" s="531"/>
      <c r="F3450" s="531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2" t="str">
        <f t="shared" si="193"/>
        <v/>
      </c>
      <c r="E3451" s="531"/>
      <c r="F3451" s="531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2" t="str">
        <f t="shared" si="193"/>
        <v/>
      </c>
      <c r="E3452" s="531"/>
      <c r="F3452" s="531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2" t="str">
        <f t="shared" si="193"/>
        <v/>
      </c>
      <c r="E3453" s="531"/>
      <c r="F3453" s="531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2" t="str">
        <f t="shared" si="193"/>
        <v/>
      </c>
      <c r="E3454" s="531"/>
      <c r="F3454" s="531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2" t="str">
        <f t="shared" si="193"/>
        <v/>
      </c>
      <c r="E3455" s="531"/>
      <c r="F3455" s="531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2" t="str">
        <f t="shared" si="193"/>
        <v/>
      </c>
      <c r="E3456" s="531"/>
      <c r="F3456" s="531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2" t="str">
        <f t="shared" si="193"/>
        <v/>
      </c>
      <c r="E3457" s="531"/>
      <c r="F3457" s="531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2" t="str">
        <f t="shared" si="193"/>
        <v/>
      </c>
      <c r="E3458" s="531"/>
      <c r="F3458" s="531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2" t="str">
        <f t="shared" si="193"/>
        <v/>
      </c>
      <c r="E3459" s="531"/>
      <c r="F3459" s="531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2" t="str">
        <f t="shared" si="193"/>
        <v/>
      </c>
      <c r="E3460" s="531"/>
      <c r="F3460" s="531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2" t="str">
        <f t="shared" si="193"/>
        <v/>
      </c>
      <c r="E3461" s="531"/>
      <c r="F3461" s="531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2" t="str">
        <f t="shared" si="193"/>
        <v/>
      </c>
      <c r="E3462" s="531"/>
      <c r="F3462" s="531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2" t="str">
        <f t="shared" si="193"/>
        <v/>
      </c>
      <c r="E3463" s="531"/>
      <c r="F3463" s="531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2" t="str">
        <f t="shared" si="193"/>
        <v/>
      </c>
      <c r="E3464" s="531"/>
      <c r="F3464" s="531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2" t="str">
        <f t="shared" ref="D3465:D3528" si="196">IF(A3465&lt;&gt;"",PROPER(TEXT(A3465,"Mmmm")),"")</f>
        <v/>
      </c>
      <c r="E3465" s="531"/>
      <c r="F3465" s="531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2" t="str">
        <f t="shared" si="196"/>
        <v/>
      </c>
      <c r="E3466" s="531"/>
      <c r="F3466" s="531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2" t="str">
        <f t="shared" si="196"/>
        <v/>
      </c>
      <c r="E3467" s="531"/>
      <c r="F3467" s="531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2" t="str">
        <f t="shared" si="196"/>
        <v/>
      </c>
      <c r="E3468" s="531"/>
      <c r="F3468" s="531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2" t="str">
        <f t="shared" si="196"/>
        <v/>
      </c>
      <c r="E3469" s="531"/>
      <c r="F3469" s="531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2" t="str">
        <f t="shared" si="196"/>
        <v/>
      </c>
      <c r="E3470" s="531"/>
      <c r="F3470" s="531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2" t="str">
        <f t="shared" si="196"/>
        <v/>
      </c>
      <c r="E3471" s="531"/>
      <c r="F3471" s="531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2" t="str">
        <f t="shared" si="196"/>
        <v/>
      </c>
      <c r="E3472" s="531"/>
      <c r="F3472" s="531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2" t="str">
        <f t="shared" si="196"/>
        <v/>
      </c>
      <c r="E3473" s="531"/>
      <c r="F3473" s="531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2" t="str">
        <f t="shared" si="196"/>
        <v/>
      </c>
      <c r="E3474" s="531"/>
      <c r="F3474" s="531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2" t="str">
        <f t="shared" si="196"/>
        <v/>
      </c>
      <c r="E3475" s="531"/>
      <c r="F3475" s="531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2" t="str">
        <f t="shared" si="196"/>
        <v/>
      </c>
      <c r="E3476" s="531"/>
      <c r="F3476" s="531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2" t="str">
        <f t="shared" si="196"/>
        <v/>
      </c>
      <c r="E3477" s="531"/>
      <c r="F3477" s="531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2" t="str">
        <f t="shared" si="196"/>
        <v/>
      </c>
      <c r="E3478" s="531"/>
      <c r="F3478" s="531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2" t="str">
        <f t="shared" si="196"/>
        <v/>
      </c>
      <c r="E3479" s="531"/>
      <c r="F3479" s="531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2" t="str">
        <f t="shared" si="196"/>
        <v/>
      </c>
      <c r="E3480" s="531"/>
      <c r="F3480" s="531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2" t="str">
        <f t="shared" si="196"/>
        <v/>
      </c>
      <c r="E3481" s="531"/>
      <c r="F3481" s="531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2" t="str">
        <f t="shared" si="196"/>
        <v/>
      </c>
      <c r="E3482" s="531"/>
      <c r="F3482" s="531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2" t="str">
        <f t="shared" si="196"/>
        <v/>
      </c>
      <c r="E3483" s="531"/>
      <c r="F3483" s="531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2" t="str">
        <f t="shared" si="196"/>
        <v/>
      </c>
      <c r="E3484" s="531"/>
      <c r="F3484" s="531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2" t="str">
        <f t="shared" si="196"/>
        <v/>
      </c>
      <c r="E3485" s="531"/>
      <c r="F3485" s="531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2" t="str">
        <f t="shared" si="196"/>
        <v/>
      </c>
      <c r="E3486" s="531"/>
      <c r="F3486" s="531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2" t="str">
        <f t="shared" si="196"/>
        <v/>
      </c>
      <c r="E3487" s="531"/>
      <c r="F3487" s="531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2" t="str">
        <f t="shared" si="196"/>
        <v/>
      </c>
      <c r="E3488" s="531"/>
      <c r="F3488" s="531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2" t="str">
        <f t="shared" si="196"/>
        <v/>
      </c>
      <c r="E3489" s="531"/>
      <c r="F3489" s="531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2" t="str">
        <f t="shared" si="196"/>
        <v/>
      </c>
      <c r="E3490" s="531"/>
      <c r="F3490" s="531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2" t="str">
        <f t="shared" si="196"/>
        <v/>
      </c>
      <c r="E3491" s="531"/>
      <c r="F3491" s="531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2" t="str">
        <f t="shared" si="196"/>
        <v/>
      </c>
      <c r="E3492" s="531"/>
      <c r="F3492" s="531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2" t="str">
        <f t="shared" si="196"/>
        <v/>
      </c>
      <c r="E3493" s="531"/>
      <c r="F3493" s="531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2" t="str">
        <f t="shared" si="196"/>
        <v/>
      </c>
      <c r="E3494" s="531"/>
      <c r="F3494" s="531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2" t="str">
        <f t="shared" si="196"/>
        <v/>
      </c>
      <c r="E3495" s="531"/>
      <c r="F3495" s="531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2" t="str">
        <f t="shared" si="196"/>
        <v/>
      </c>
      <c r="E3496" s="531"/>
      <c r="F3496" s="531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2" t="str">
        <f t="shared" si="196"/>
        <v/>
      </c>
      <c r="E3497" s="531"/>
      <c r="F3497" s="531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2" t="str">
        <f t="shared" si="196"/>
        <v/>
      </c>
      <c r="E3498" s="531"/>
      <c r="F3498" s="531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2" t="str">
        <f t="shared" si="196"/>
        <v/>
      </c>
      <c r="E3499" s="531"/>
      <c r="F3499" s="531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2" t="str">
        <f t="shared" si="196"/>
        <v/>
      </c>
      <c r="E3500" s="531"/>
      <c r="F3500" s="531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2" t="str">
        <f t="shared" si="196"/>
        <v/>
      </c>
      <c r="E3501" s="531"/>
      <c r="F3501" s="531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2" t="str">
        <f t="shared" si="196"/>
        <v/>
      </c>
      <c r="E3502" s="531"/>
      <c r="F3502" s="531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2" t="str">
        <f t="shared" si="196"/>
        <v/>
      </c>
      <c r="E3503" s="531"/>
      <c r="F3503" s="531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2" t="str">
        <f t="shared" si="196"/>
        <v/>
      </c>
      <c r="E3504" s="531"/>
      <c r="F3504" s="531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2" t="str">
        <f t="shared" si="196"/>
        <v/>
      </c>
      <c r="E3505" s="531"/>
      <c r="F3505" s="531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2" t="str">
        <f t="shared" si="196"/>
        <v/>
      </c>
      <c r="E3506" s="531"/>
      <c r="F3506" s="531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2" t="str">
        <f t="shared" si="196"/>
        <v/>
      </c>
      <c r="E3507" s="531"/>
      <c r="F3507" s="531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2" t="str">
        <f t="shared" si="196"/>
        <v/>
      </c>
      <c r="E3508" s="531"/>
      <c r="F3508" s="531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2" t="str">
        <f t="shared" si="196"/>
        <v/>
      </c>
      <c r="E3509" s="531"/>
      <c r="F3509" s="531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2" t="str">
        <f t="shared" si="196"/>
        <v/>
      </c>
      <c r="E3510" s="531"/>
      <c r="F3510" s="531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2" t="str">
        <f t="shared" si="196"/>
        <v/>
      </c>
      <c r="E3511" s="531"/>
      <c r="F3511" s="531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2" t="str">
        <f t="shared" si="196"/>
        <v/>
      </c>
      <c r="E3512" s="531"/>
      <c r="F3512" s="531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2" t="str">
        <f t="shared" si="196"/>
        <v/>
      </c>
      <c r="E3513" s="531"/>
      <c r="F3513" s="531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2" t="str">
        <f t="shared" si="196"/>
        <v/>
      </c>
      <c r="E3514" s="531"/>
      <c r="F3514" s="531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2" t="str">
        <f t="shared" si="196"/>
        <v/>
      </c>
      <c r="E3515" s="531"/>
      <c r="F3515" s="531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2" t="str">
        <f t="shared" si="196"/>
        <v/>
      </c>
      <c r="E3516" s="531"/>
      <c r="F3516" s="531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2" t="str">
        <f t="shared" si="196"/>
        <v/>
      </c>
      <c r="E3517" s="531"/>
      <c r="F3517" s="531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2" t="str">
        <f t="shared" si="196"/>
        <v/>
      </c>
      <c r="E3518" s="531"/>
      <c r="F3518" s="531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2" t="str">
        <f t="shared" si="196"/>
        <v/>
      </c>
      <c r="E3519" s="531"/>
      <c r="F3519" s="531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2" t="str">
        <f t="shared" si="196"/>
        <v/>
      </c>
      <c r="E3520" s="531"/>
      <c r="F3520" s="531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2" t="str">
        <f t="shared" si="196"/>
        <v/>
      </c>
      <c r="E3521" s="531"/>
      <c r="F3521" s="531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2" t="str">
        <f t="shared" si="196"/>
        <v/>
      </c>
      <c r="E3522" s="531"/>
      <c r="F3522" s="531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2" t="str">
        <f t="shared" si="196"/>
        <v/>
      </c>
      <c r="E3523" s="531"/>
      <c r="F3523" s="531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2" t="str">
        <f t="shared" si="196"/>
        <v/>
      </c>
      <c r="E3524" s="531"/>
      <c r="F3524" s="531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2" t="str">
        <f t="shared" si="196"/>
        <v/>
      </c>
      <c r="E3525" s="531"/>
      <c r="F3525" s="531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2" t="str">
        <f t="shared" si="196"/>
        <v/>
      </c>
      <c r="E3526" s="531"/>
      <c r="F3526" s="531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2" t="str">
        <f t="shared" si="196"/>
        <v/>
      </c>
      <c r="E3527" s="531"/>
      <c r="F3527" s="531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2" t="str">
        <f t="shared" si="196"/>
        <v/>
      </c>
      <c r="E3528" s="531"/>
      <c r="F3528" s="531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2" t="str">
        <f t="shared" ref="D3529:D3592" si="199">IF(A3529&lt;&gt;"",PROPER(TEXT(A3529,"Mmmm")),"")</f>
        <v/>
      </c>
      <c r="E3529" s="531"/>
      <c r="F3529" s="531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2" t="str">
        <f t="shared" si="199"/>
        <v/>
      </c>
      <c r="E3530" s="531"/>
      <c r="F3530" s="531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2" t="str">
        <f t="shared" si="199"/>
        <v/>
      </c>
      <c r="E3531" s="531"/>
      <c r="F3531" s="531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2" t="str">
        <f t="shared" si="199"/>
        <v/>
      </c>
      <c r="E3532" s="531"/>
      <c r="F3532" s="531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2" t="str">
        <f t="shared" si="199"/>
        <v/>
      </c>
      <c r="E3533" s="531"/>
      <c r="F3533" s="531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2" t="str">
        <f t="shared" si="199"/>
        <v/>
      </c>
      <c r="E3534" s="531"/>
      <c r="F3534" s="531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2" t="str">
        <f t="shared" si="199"/>
        <v/>
      </c>
      <c r="E3535" s="531"/>
      <c r="F3535" s="531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2" t="str">
        <f t="shared" si="199"/>
        <v/>
      </c>
      <c r="E3536" s="531"/>
      <c r="F3536" s="531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2" t="str">
        <f t="shared" si="199"/>
        <v/>
      </c>
      <c r="E3537" s="531"/>
      <c r="F3537" s="531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2" t="str">
        <f t="shared" si="199"/>
        <v/>
      </c>
      <c r="E3538" s="531"/>
      <c r="F3538" s="531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2" t="str">
        <f t="shared" si="199"/>
        <v/>
      </c>
      <c r="E3539" s="531"/>
      <c r="F3539" s="531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2" t="str">
        <f t="shared" si="199"/>
        <v/>
      </c>
      <c r="E3540" s="531"/>
      <c r="F3540" s="531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2" t="str">
        <f t="shared" si="199"/>
        <v/>
      </c>
      <c r="E3541" s="531"/>
      <c r="F3541" s="531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2" t="str">
        <f t="shared" si="199"/>
        <v/>
      </c>
      <c r="E3542" s="531"/>
      <c r="F3542" s="531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2" t="str">
        <f t="shared" si="199"/>
        <v/>
      </c>
      <c r="E3543" s="531"/>
      <c r="F3543" s="531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2" t="str">
        <f t="shared" si="199"/>
        <v/>
      </c>
      <c r="E3544" s="531"/>
      <c r="F3544" s="531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2" t="str">
        <f t="shared" si="199"/>
        <v/>
      </c>
      <c r="E3545" s="531"/>
      <c r="F3545" s="531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2" t="str">
        <f t="shared" si="199"/>
        <v/>
      </c>
      <c r="E3546" s="531"/>
      <c r="F3546" s="531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2" t="str">
        <f t="shared" si="199"/>
        <v/>
      </c>
      <c r="E3547" s="531"/>
      <c r="F3547" s="531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2" t="str">
        <f t="shared" si="199"/>
        <v/>
      </c>
      <c r="E3548" s="531"/>
      <c r="F3548" s="531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2" t="str">
        <f t="shared" si="199"/>
        <v/>
      </c>
      <c r="E3549" s="531"/>
      <c r="F3549" s="531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2" t="str">
        <f t="shared" si="199"/>
        <v/>
      </c>
      <c r="E3550" s="531"/>
      <c r="F3550" s="531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2" t="str">
        <f t="shared" si="199"/>
        <v/>
      </c>
      <c r="E3551" s="531"/>
      <c r="F3551" s="531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2" t="str">
        <f t="shared" si="199"/>
        <v/>
      </c>
      <c r="E3552" s="531"/>
      <c r="F3552" s="531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2" t="str">
        <f t="shared" si="199"/>
        <v/>
      </c>
      <c r="E3553" s="531"/>
      <c r="F3553" s="531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2" t="str">
        <f t="shared" si="199"/>
        <v/>
      </c>
      <c r="E3554" s="531"/>
      <c r="F3554" s="531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2" t="str">
        <f t="shared" si="199"/>
        <v/>
      </c>
      <c r="E3555" s="531"/>
      <c r="F3555" s="531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2" t="str">
        <f t="shared" si="199"/>
        <v/>
      </c>
      <c r="E3556" s="531"/>
      <c r="F3556" s="531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2" t="str">
        <f t="shared" si="199"/>
        <v/>
      </c>
      <c r="E3557" s="531"/>
      <c r="F3557" s="531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2" t="str">
        <f t="shared" si="199"/>
        <v/>
      </c>
      <c r="E3558" s="531"/>
      <c r="F3558" s="531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2" t="str">
        <f t="shared" si="199"/>
        <v/>
      </c>
      <c r="E3559" s="531"/>
      <c r="F3559" s="531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2" t="str">
        <f t="shared" si="199"/>
        <v/>
      </c>
      <c r="E3560" s="531"/>
      <c r="F3560" s="531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2" t="str">
        <f t="shared" si="199"/>
        <v/>
      </c>
      <c r="E3561" s="531"/>
      <c r="F3561" s="531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2" t="str">
        <f t="shared" si="199"/>
        <v/>
      </c>
      <c r="E3562" s="531"/>
      <c r="F3562" s="531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2" t="str">
        <f t="shared" si="199"/>
        <v/>
      </c>
      <c r="E3563" s="531"/>
      <c r="F3563" s="531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2" t="str">
        <f t="shared" si="199"/>
        <v/>
      </c>
      <c r="E3564" s="531"/>
      <c r="F3564" s="531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2" t="str">
        <f t="shared" si="199"/>
        <v/>
      </c>
      <c r="E3565" s="531"/>
      <c r="F3565" s="531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2" t="str">
        <f t="shared" si="199"/>
        <v/>
      </c>
      <c r="E3566" s="531"/>
      <c r="F3566" s="531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2" t="str">
        <f t="shared" si="199"/>
        <v/>
      </c>
      <c r="E3567" s="531"/>
      <c r="F3567" s="531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2" t="str">
        <f t="shared" si="199"/>
        <v/>
      </c>
      <c r="E3568" s="531"/>
      <c r="F3568" s="531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2" t="str">
        <f t="shared" si="199"/>
        <v/>
      </c>
      <c r="E3569" s="531"/>
      <c r="F3569" s="531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2" t="str">
        <f t="shared" si="199"/>
        <v/>
      </c>
      <c r="E3570" s="531"/>
      <c r="F3570" s="531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2" t="str">
        <f t="shared" si="199"/>
        <v/>
      </c>
      <c r="E3571" s="531"/>
      <c r="F3571" s="531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2" t="str">
        <f t="shared" si="199"/>
        <v/>
      </c>
      <c r="E3572" s="531"/>
      <c r="F3572" s="531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2" t="str">
        <f t="shared" si="199"/>
        <v/>
      </c>
      <c r="E3573" s="531"/>
      <c r="F3573" s="531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2" t="str">
        <f t="shared" si="199"/>
        <v/>
      </c>
      <c r="E3574" s="531"/>
      <c r="F3574" s="531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2" t="str">
        <f t="shared" si="199"/>
        <v/>
      </c>
      <c r="E3575" s="531"/>
      <c r="F3575" s="531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2" t="str">
        <f t="shared" si="199"/>
        <v/>
      </c>
      <c r="E3576" s="531"/>
      <c r="F3576" s="531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2" t="str">
        <f t="shared" si="199"/>
        <v/>
      </c>
      <c r="E3577" s="531"/>
      <c r="F3577" s="531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2" t="str">
        <f t="shared" si="199"/>
        <v/>
      </c>
      <c r="E3578" s="531"/>
      <c r="F3578" s="531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2" t="str">
        <f t="shared" si="199"/>
        <v/>
      </c>
      <c r="E3579" s="531"/>
      <c r="F3579" s="531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2" t="str">
        <f t="shared" si="199"/>
        <v/>
      </c>
      <c r="E3580" s="531"/>
      <c r="F3580" s="531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2" t="str">
        <f t="shared" si="199"/>
        <v/>
      </c>
      <c r="E3581" s="531"/>
      <c r="F3581" s="531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2" t="str">
        <f t="shared" si="199"/>
        <v/>
      </c>
      <c r="E3582" s="531"/>
      <c r="F3582" s="531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2" t="str">
        <f t="shared" si="199"/>
        <v/>
      </c>
      <c r="E3583" s="531"/>
      <c r="F3583" s="531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2" t="str">
        <f t="shared" si="199"/>
        <v/>
      </c>
      <c r="E3584" s="531"/>
      <c r="F3584" s="531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2" t="str">
        <f t="shared" si="199"/>
        <v/>
      </c>
      <c r="E3585" s="531"/>
      <c r="F3585" s="531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2" t="str">
        <f t="shared" si="199"/>
        <v/>
      </c>
      <c r="E3586" s="531"/>
      <c r="F3586" s="531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2" t="str">
        <f t="shared" si="199"/>
        <v/>
      </c>
      <c r="E3587" s="531"/>
      <c r="F3587" s="531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2" t="str">
        <f t="shared" si="199"/>
        <v/>
      </c>
      <c r="E3588" s="531"/>
      <c r="F3588" s="531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2" t="str">
        <f t="shared" si="199"/>
        <v/>
      </c>
      <c r="E3589" s="531"/>
      <c r="F3589" s="531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2" t="str">
        <f t="shared" si="199"/>
        <v/>
      </c>
      <c r="E3590" s="531"/>
      <c r="F3590" s="531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2" t="str">
        <f t="shared" si="199"/>
        <v/>
      </c>
      <c r="E3591" s="531"/>
      <c r="F3591" s="531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2" t="str">
        <f t="shared" si="199"/>
        <v/>
      </c>
      <c r="E3592" s="531"/>
      <c r="F3592" s="531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2" t="str">
        <f t="shared" ref="D3593:D3656" si="202">IF(A3593&lt;&gt;"",PROPER(TEXT(A3593,"Mmmm")),"")</f>
        <v/>
      </c>
      <c r="E3593" s="531"/>
      <c r="F3593" s="531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2" t="str">
        <f t="shared" si="202"/>
        <v/>
      </c>
      <c r="E3594" s="531"/>
      <c r="F3594" s="531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2" t="str">
        <f t="shared" si="202"/>
        <v/>
      </c>
      <c r="E3595" s="531"/>
      <c r="F3595" s="531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2" t="str">
        <f t="shared" si="202"/>
        <v/>
      </c>
      <c r="E3596" s="531"/>
      <c r="F3596" s="531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2" t="str">
        <f t="shared" si="202"/>
        <v/>
      </c>
      <c r="E3597" s="531"/>
      <c r="F3597" s="531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2" t="str">
        <f t="shared" si="202"/>
        <v/>
      </c>
      <c r="E3598" s="531"/>
      <c r="F3598" s="531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2" t="str">
        <f t="shared" si="202"/>
        <v/>
      </c>
      <c r="E3599" s="531"/>
      <c r="F3599" s="531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2" t="str">
        <f t="shared" si="202"/>
        <v/>
      </c>
      <c r="E3600" s="531"/>
      <c r="F3600" s="531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2" t="str">
        <f t="shared" si="202"/>
        <v/>
      </c>
      <c r="E3601" s="531"/>
      <c r="F3601" s="531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2" t="str">
        <f t="shared" si="202"/>
        <v/>
      </c>
      <c r="E3602" s="531"/>
      <c r="F3602" s="531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2" t="str">
        <f t="shared" si="202"/>
        <v/>
      </c>
      <c r="E3603" s="531"/>
      <c r="F3603" s="531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2" t="str">
        <f t="shared" si="202"/>
        <v/>
      </c>
      <c r="E3604" s="531"/>
      <c r="F3604" s="531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2" t="str">
        <f t="shared" si="202"/>
        <v/>
      </c>
      <c r="E3605" s="531"/>
      <c r="F3605" s="531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2" t="str">
        <f t="shared" si="202"/>
        <v/>
      </c>
      <c r="E3606" s="531"/>
      <c r="F3606" s="531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2" t="str">
        <f t="shared" si="202"/>
        <v/>
      </c>
      <c r="E3607" s="531"/>
      <c r="F3607" s="531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2" t="str">
        <f t="shared" si="202"/>
        <v/>
      </c>
      <c r="E3608" s="531"/>
      <c r="F3608" s="531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2" t="str">
        <f t="shared" si="202"/>
        <v/>
      </c>
      <c r="E3609" s="531"/>
      <c r="F3609" s="531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2" t="str">
        <f t="shared" si="202"/>
        <v/>
      </c>
      <c r="E3610" s="531"/>
      <c r="F3610" s="531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2" t="str">
        <f t="shared" si="202"/>
        <v/>
      </c>
      <c r="E3611" s="531"/>
      <c r="F3611" s="531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2" t="str">
        <f t="shared" si="202"/>
        <v/>
      </c>
      <c r="E3612" s="531"/>
      <c r="F3612" s="531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2" t="str">
        <f t="shared" si="202"/>
        <v/>
      </c>
      <c r="E3613" s="531"/>
      <c r="F3613" s="531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2" t="str">
        <f t="shared" si="202"/>
        <v/>
      </c>
      <c r="E3614" s="531"/>
      <c r="F3614" s="531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2" t="str">
        <f t="shared" si="202"/>
        <v/>
      </c>
      <c r="E3615" s="531"/>
      <c r="F3615" s="531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2" t="str">
        <f t="shared" si="202"/>
        <v/>
      </c>
      <c r="E3616" s="531"/>
      <c r="F3616" s="531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2" t="str">
        <f t="shared" si="202"/>
        <v/>
      </c>
      <c r="E3617" s="531"/>
      <c r="F3617" s="531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2" t="str">
        <f t="shared" si="202"/>
        <v/>
      </c>
      <c r="E3618" s="531"/>
      <c r="F3618" s="531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2" t="str">
        <f t="shared" si="202"/>
        <v/>
      </c>
      <c r="E3619" s="531"/>
      <c r="F3619" s="531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2" t="str">
        <f t="shared" si="202"/>
        <v/>
      </c>
      <c r="E3620" s="531"/>
      <c r="F3620" s="531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2" t="str">
        <f t="shared" si="202"/>
        <v/>
      </c>
      <c r="E3621" s="531"/>
      <c r="F3621" s="531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2" t="str">
        <f t="shared" si="202"/>
        <v/>
      </c>
      <c r="E3622" s="531"/>
      <c r="F3622" s="531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2" t="str">
        <f t="shared" si="202"/>
        <v/>
      </c>
      <c r="E3623" s="531"/>
      <c r="F3623" s="531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2" t="str">
        <f t="shared" si="202"/>
        <v/>
      </c>
      <c r="E3624" s="531"/>
      <c r="F3624" s="531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2" t="str">
        <f t="shared" si="202"/>
        <v/>
      </c>
      <c r="E3625" s="531"/>
      <c r="F3625" s="531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2" t="str">
        <f t="shared" si="202"/>
        <v/>
      </c>
      <c r="E3626" s="531"/>
      <c r="F3626" s="531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2" t="str">
        <f t="shared" si="202"/>
        <v/>
      </c>
      <c r="E3627" s="531"/>
      <c r="F3627" s="531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2" t="str">
        <f t="shared" si="202"/>
        <v/>
      </c>
      <c r="E3628" s="531"/>
      <c r="F3628" s="531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2" t="str">
        <f t="shared" si="202"/>
        <v/>
      </c>
      <c r="E3629" s="531"/>
      <c r="F3629" s="531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2" t="str">
        <f t="shared" si="202"/>
        <v/>
      </c>
      <c r="E3630" s="531"/>
      <c r="F3630" s="531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2" t="str">
        <f t="shared" si="202"/>
        <v/>
      </c>
      <c r="E3631" s="531"/>
      <c r="F3631" s="531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2" t="str">
        <f t="shared" si="202"/>
        <v/>
      </c>
      <c r="E3632" s="531"/>
      <c r="F3632" s="531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2" t="str">
        <f t="shared" si="202"/>
        <v/>
      </c>
      <c r="E3633" s="531"/>
      <c r="F3633" s="531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2" t="str">
        <f t="shared" si="202"/>
        <v/>
      </c>
      <c r="E3634" s="531"/>
      <c r="F3634" s="531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2" t="str">
        <f t="shared" si="202"/>
        <v/>
      </c>
      <c r="E3635" s="531"/>
      <c r="F3635" s="531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2" t="str">
        <f t="shared" si="202"/>
        <v/>
      </c>
      <c r="E3636" s="531"/>
      <c r="F3636" s="531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2" t="str">
        <f t="shared" si="202"/>
        <v/>
      </c>
      <c r="E3637" s="531"/>
      <c r="F3637" s="531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2" t="str">
        <f t="shared" si="202"/>
        <v/>
      </c>
      <c r="E3638" s="531"/>
      <c r="F3638" s="531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2" t="str">
        <f t="shared" si="202"/>
        <v/>
      </c>
      <c r="E3639" s="531"/>
      <c r="F3639" s="531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2" t="str">
        <f t="shared" si="202"/>
        <v/>
      </c>
      <c r="E3640" s="531"/>
      <c r="F3640" s="531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2" t="str">
        <f t="shared" si="202"/>
        <v/>
      </c>
      <c r="E3641" s="531"/>
      <c r="F3641" s="531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2" t="str">
        <f t="shared" si="202"/>
        <v/>
      </c>
      <c r="E3642" s="531"/>
      <c r="F3642" s="531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2" t="str">
        <f t="shared" si="202"/>
        <v/>
      </c>
      <c r="E3643" s="531"/>
      <c r="F3643" s="531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2" t="str">
        <f t="shared" si="202"/>
        <v/>
      </c>
      <c r="E3644" s="531"/>
      <c r="F3644" s="531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2" t="str">
        <f t="shared" si="202"/>
        <v/>
      </c>
      <c r="E3645" s="531"/>
      <c r="F3645" s="531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2" t="str">
        <f t="shared" si="202"/>
        <v/>
      </c>
      <c r="E3646" s="531"/>
      <c r="F3646" s="531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2" t="str">
        <f t="shared" si="202"/>
        <v/>
      </c>
      <c r="E3647" s="531"/>
      <c r="F3647" s="531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2" t="str">
        <f t="shared" si="202"/>
        <v/>
      </c>
      <c r="E3648" s="531"/>
      <c r="F3648" s="531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2" t="str">
        <f t="shared" si="202"/>
        <v/>
      </c>
      <c r="E3649" s="531"/>
      <c r="F3649" s="531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2" t="str">
        <f t="shared" si="202"/>
        <v/>
      </c>
      <c r="E3650" s="531"/>
      <c r="F3650" s="531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2" t="str">
        <f t="shared" si="202"/>
        <v/>
      </c>
      <c r="E3651" s="531"/>
      <c r="F3651" s="531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2" t="str">
        <f t="shared" si="202"/>
        <v/>
      </c>
      <c r="E3652" s="531"/>
      <c r="F3652" s="531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2" t="str">
        <f t="shared" si="202"/>
        <v/>
      </c>
      <c r="E3653" s="531"/>
      <c r="F3653" s="531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2" t="str">
        <f t="shared" si="202"/>
        <v/>
      </c>
      <c r="E3654" s="531"/>
      <c r="F3654" s="531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2" t="str">
        <f t="shared" si="202"/>
        <v/>
      </c>
      <c r="E3655" s="531"/>
      <c r="F3655" s="531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2" t="str">
        <f t="shared" si="202"/>
        <v/>
      </c>
      <c r="E3656" s="531"/>
      <c r="F3656" s="531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2" t="str">
        <f t="shared" ref="D3657:D3720" si="205">IF(A3657&lt;&gt;"",PROPER(TEXT(A3657,"Mmmm")),"")</f>
        <v/>
      </c>
      <c r="E3657" s="531"/>
      <c r="F3657" s="531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2" t="str">
        <f t="shared" si="205"/>
        <v/>
      </c>
      <c r="E3658" s="531"/>
      <c r="F3658" s="531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2" t="str">
        <f t="shared" si="205"/>
        <v/>
      </c>
      <c r="E3659" s="531"/>
      <c r="F3659" s="531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2" t="str">
        <f t="shared" si="205"/>
        <v/>
      </c>
      <c r="E3660" s="531"/>
      <c r="F3660" s="531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2" t="str">
        <f t="shared" si="205"/>
        <v/>
      </c>
      <c r="E3661" s="531"/>
      <c r="F3661" s="531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2" t="str">
        <f t="shared" si="205"/>
        <v/>
      </c>
      <c r="E3662" s="531"/>
      <c r="F3662" s="531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2" t="str">
        <f t="shared" si="205"/>
        <v/>
      </c>
      <c r="E3663" s="531"/>
      <c r="F3663" s="531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2" t="str">
        <f t="shared" si="205"/>
        <v/>
      </c>
      <c r="E3664" s="531"/>
      <c r="F3664" s="531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2" t="str">
        <f t="shared" si="205"/>
        <v/>
      </c>
      <c r="E3665" s="531"/>
      <c r="F3665" s="531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2" t="str">
        <f t="shared" si="205"/>
        <v/>
      </c>
      <c r="E3666" s="531"/>
      <c r="F3666" s="531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2" t="str">
        <f t="shared" si="205"/>
        <v/>
      </c>
      <c r="E3667" s="531"/>
      <c r="F3667" s="531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2" t="str">
        <f t="shared" si="205"/>
        <v/>
      </c>
      <c r="E3668" s="531"/>
      <c r="F3668" s="531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2" t="str">
        <f t="shared" si="205"/>
        <v/>
      </c>
      <c r="E3669" s="531"/>
      <c r="F3669" s="531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2" t="str">
        <f t="shared" si="205"/>
        <v/>
      </c>
      <c r="E3670" s="531"/>
      <c r="F3670" s="531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2" t="str">
        <f t="shared" si="205"/>
        <v/>
      </c>
      <c r="E3671" s="531"/>
      <c r="F3671" s="531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2" t="str">
        <f t="shared" si="205"/>
        <v/>
      </c>
      <c r="E3672" s="531"/>
      <c r="F3672" s="531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2" t="str">
        <f t="shared" si="205"/>
        <v/>
      </c>
      <c r="E3673" s="531"/>
      <c r="F3673" s="531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2" t="str">
        <f t="shared" si="205"/>
        <v/>
      </c>
      <c r="E3674" s="531"/>
      <c r="F3674" s="531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2" t="str">
        <f t="shared" si="205"/>
        <v/>
      </c>
      <c r="E3675" s="531"/>
      <c r="F3675" s="531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2" t="str">
        <f t="shared" si="205"/>
        <v/>
      </c>
      <c r="E3676" s="531"/>
      <c r="F3676" s="531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2" t="str">
        <f t="shared" si="205"/>
        <v/>
      </c>
      <c r="E3677" s="531"/>
      <c r="F3677" s="531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2" t="str">
        <f t="shared" si="205"/>
        <v/>
      </c>
      <c r="E3678" s="531"/>
      <c r="F3678" s="531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2" t="str">
        <f t="shared" si="205"/>
        <v/>
      </c>
      <c r="E3679" s="531"/>
      <c r="F3679" s="531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2" t="str">
        <f t="shared" si="205"/>
        <v/>
      </c>
      <c r="E3680" s="531"/>
      <c r="F3680" s="531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2" t="str">
        <f t="shared" si="205"/>
        <v/>
      </c>
      <c r="E3681" s="531"/>
      <c r="F3681" s="531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2" t="str">
        <f t="shared" si="205"/>
        <v/>
      </c>
      <c r="E3682" s="531"/>
      <c r="F3682" s="531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2" t="str">
        <f t="shared" si="205"/>
        <v/>
      </c>
      <c r="E3683" s="531"/>
      <c r="F3683" s="531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2" t="str">
        <f t="shared" si="205"/>
        <v/>
      </c>
      <c r="E3684" s="531"/>
      <c r="F3684" s="531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2" t="str">
        <f t="shared" si="205"/>
        <v/>
      </c>
      <c r="E3685" s="531"/>
      <c r="F3685" s="531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2" t="str">
        <f t="shared" si="205"/>
        <v/>
      </c>
      <c r="E3686" s="531"/>
      <c r="F3686" s="531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2" t="str">
        <f t="shared" si="205"/>
        <v/>
      </c>
      <c r="E3687" s="531"/>
      <c r="F3687" s="531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2" t="str">
        <f t="shared" si="205"/>
        <v/>
      </c>
      <c r="E3688" s="531"/>
      <c r="F3688" s="531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2" t="str">
        <f t="shared" si="205"/>
        <v/>
      </c>
      <c r="E3689" s="531"/>
      <c r="F3689" s="531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2" t="str">
        <f t="shared" si="205"/>
        <v/>
      </c>
      <c r="E3690" s="531"/>
      <c r="F3690" s="531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2" t="str">
        <f t="shared" si="205"/>
        <v/>
      </c>
      <c r="E3691" s="531"/>
      <c r="F3691" s="531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2" t="str">
        <f t="shared" si="205"/>
        <v/>
      </c>
      <c r="E3692" s="531"/>
      <c r="F3692" s="531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2" t="str">
        <f t="shared" si="205"/>
        <v/>
      </c>
      <c r="E3693" s="531"/>
      <c r="F3693" s="531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2" t="str">
        <f t="shared" si="205"/>
        <v/>
      </c>
      <c r="E3694" s="531"/>
      <c r="F3694" s="531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2" t="str">
        <f t="shared" si="205"/>
        <v/>
      </c>
      <c r="E3695" s="531"/>
      <c r="F3695" s="531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2" t="str">
        <f t="shared" si="205"/>
        <v/>
      </c>
      <c r="E3696" s="531"/>
      <c r="F3696" s="531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2" t="str">
        <f t="shared" si="205"/>
        <v/>
      </c>
      <c r="E3697" s="531"/>
      <c r="F3697" s="531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2" t="str">
        <f t="shared" si="205"/>
        <v/>
      </c>
      <c r="E3698" s="531"/>
      <c r="F3698" s="531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2" t="str">
        <f t="shared" si="205"/>
        <v/>
      </c>
      <c r="E3699" s="531"/>
      <c r="F3699" s="531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2" t="str">
        <f t="shared" si="205"/>
        <v/>
      </c>
      <c r="E3700" s="531"/>
      <c r="F3700" s="531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2" t="str">
        <f t="shared" si="205"/>
        <v/>
      </c>
      <c r="E3701" s="531"/>
      <c r="F3701" s="531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2" t="str">
        <f t="shared" si="205"/>
        <v/>
      </c>
      <c r="E3702" s="531"/>
      <c r="F3702" s="531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2" t="str">
        <f t="shared" si="205"/>
        <v/>
      </c>
      <c r="E3703" s="531"/>
      <c r="F3703" s="531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2" t="str">
        <f t="shared" si="205"/>
        <v/>
      </c>
      <c r="E3704" s="531"/>
      <c r="F3704" s="531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2" t="str">
        <f t="shared" si="205"/>
        <v/>
      </c>
      <c r="E3705" s="531"/>
      <c r="F3705" s="531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2" t="str">
        <f t="shared" si="205"/>
        <v/>
      </c>
      <c r="E3706" s="531"/>
      <c r="F3706" s="531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2" t="str">
        <f t="shared" si="205"/>
        <v/>
      </c>
      <c r="E3707" s="531"/>
      <c r="F3707" s="531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2" t="str">
        <f t="shared" si="205"/>
        <v/>
      </c>
      <c r="E3708" s="531"/>
      <c r="F3708" s="531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2" t="str">
        <f t="shared" si="205"/>
        <v/>
      </c>
      <c r="E3709" s="531"/>
      <c r="F3709" s="531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2" t="str">
        <f t="shared" si="205"/>
        <v/>
      </c>
      <c r="E3710" s="531"/>
      <c r="F3710" s="531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2" t="str">
        <f t="shared" si="205"/>
        <v/>
      </c>
      <c r="E3711" s="531"/>
      <c r="F3711" s="531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2" t="str">
        <f t="shared" si="205"/>
        <v/>
      </c>
      <c r="E3712" s="531"/>
      <c r="F3712" s="531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2" t="str">
        <f t="shared" si="205"/>
        <v/>
      </c>
      <c r="E3713" s="531"/>
      <c r="F3713" s="531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2" t="str">
        <f t="shared" si="205"/>
        <v/>
      </c>
      <c r="E3714" s="531"/>
      <c r="F3714" s="531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2" t="str">
        <f t="shared" si="205"/>
        <v/>
      </c>
      <c r="E3715" s="531"/>
      <c r="F3715" s="531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2" t="str">
        <f t="shared" si="205"/>
        <v/>
      </c>
      <c r="E3716" s="531"/>
      <c r="F3716" s="531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2" t="str">
        <f t="shared" si="205"/>
        <v/>
      </c>
      <c r="E3717" s="531"/>
      <c r="F3717" s="531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2" t="str">
        <f t="shared" si="205"/>
        <v/>
      </c>
      <c r="E3718" s="531"/>
      <c r="F3718" s="531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2" t="str">
        <f t="shared" si="205"/>
        <v/>
      </c>
      <c r="E3719" s="531"/>
      <c r="F3719" s="531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2" t="str">
        <f t="shared" si="205"/>
        <v/>
      </c>
      <c r="E3720" s="531"/>
      <c r="F3720" s="531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2" t="str">
        <f t="shared" ref="D3721:D3784" si="208">IF(A3721&lt;&gt;"",PROPER(TEXT(A3721,"Mmmm")),"")</f>
        <v/>
      </c>
      <c r="E3721" s="531"/>
      <c r="F3721" s="531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2" t="str">
        <f t="shared" si="208"/>
        <v/>
      </c>
      <c r="E3722" s="531"/>
      <c r="F3722" s="531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2" t="str">
        <f t="shared" si="208"/>
        <v/>
      </c>
      <c r="E3723" s="531"/>
      <c r="F3723" s="531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2" t="str">
        <f t="shared" si="208"/>
        <v/>
      </c>
      <c r="E3724" s="531"/>
      <c r="F3724" s="531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2" t="str">
        <f t="shared" si="208"/>
        <v/>
      </c>
      <c r="E3725" s="531"/>
      <c r="F3725" s="531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2" t="str">
        <f t="shared" si="208"/>
        <v/>
      </c>
      <c r="E3726" s="531"/>
      <c r="F3726" s="531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2" t="str">
        <f t="shared" si="208"/>
        <v/>
      </c>
      <c r="E3727" s="531"/>
      <c r="F3727" s="531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2" t="str">
        <f t="shared" si="208"/>
        <v/>
      </c>
      <c r="E3728" s="531"/>
      <c r="F3728" s="531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2" t="str">
        <f t="shared" si="208"/>
        <v/>
      </c>
      <c r="E3729" s="531"/>
      <c r="F3729" s="531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2" t="str">
        <f t="shared" si="208"/>
        <v/>
      </c>
      <c r="E3730" s="531"/>
      <c r="F3730" s="531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2" t="str">
        <f t="shared" si="208"/>
        <v/>
      </c>
      <c r="E3731" s="531"/>
      <c r="F3731" s="531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2" t="str">
        <f t="shared" si="208"/>
        <v/>
      </c>
      <c r="E3732" s="531"/>
      <c r="F3732" s="531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2" t="str">
        <f t="shared" si="208"/>
        <v/>
      </c>
      <c r="E3733" s="531"/>
      <c r="F3733" s="531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2" t="str">
        <f t="shared" si="208"/>
        <v/>
      </c>
      <c r="E3734" s="531"/>
      <c r="F3734" s="531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2" t="str">
        <f t="shared" si="208"/>
        <v/>
      </c>
      <c r="E3735" s="531"/>
      <c r="F3735" s="531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2" t="str">
        <f t="shared" si="208"/>
        <v/>
      </c>
      <c r="E3736" s="531"/>
      <c r="F3736" s="531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2" t="str">
        <f t="shared" si="208"/>
        <v/>
      </c>
      <c r="E3737" s="531"/>
      <c r="F3737" s="531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2" t="str">
        <f t="shared" si="208"/>
        <v/>
      </c>
      <c r="E3738" s="531"/>
      <c r="F3738" s="531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2" t="str">
        <f t="shared" si="208"/>
        <v/>
      </c>
      <c r="E3739" s="531"/>
      <c r="F3739" s="531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2" t="str">
        <f t="shared" si="208"/>
        <v/>
      </c>
      <c r="E3740" s="531"/>
      <c r="F3740" s="531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2" t="str">
        <f t="shared" si="208"/>
        <v/>
      </c>
      <c r="E3741" s="531"/>
      <c r="F3741" s="531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2" t="str">
        <f t="shared" si="208"/>
        <v/>
      </c>
      <c r="E3742" s="531"/>
      <c r="F3742" s="531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2" t="str">
        <f t="shared" si="208"/>
        <v/>
      </c>
      <c r="E3743" s="531"/>
      <c r="F3743" s="531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2" t="str">
        <f t="shared" si="208"/>
        <v/>
      </c>
      <c r="E3744" s="531"/>
      <c r="F3744" s="531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2" t="str">
        <f t="shared" si="208"/>
        <v/>
      </c>
      <c r="E3745" s="531"/>
      <c r="F3745" s="531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2" t="str">
        <f t="shared" si="208"/>
        <v/>
      </c>
      <c r="E3746" s="531"/>
      <c r="F3746" s="531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2" t="str">
        <f t="shared" si="208"/>
        <v/>
      </c>
      <c r="E3747" s="531"/>
      <c r="F3747" s="531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2" t="str">
        <f t="shared" si="208"/>
        <v/>
      </c>
      <c r="E3748" s="531"/>
      <c r="F3748" s="531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2" t="str">
        <f t="shared" si="208"/>
        <v/>
      </c>
      <c r="E3749" s="531"/>
      <c r="F3749" s="531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2" t="str">
        <f t="shared" si="208"/>
        <v/>
      </c>
      <c r="E3750" s="531"/>
      <c r="F3750" s="531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2" t="str">
        <f t="shared" si="208"/>
        <v/>
      </c>
      <c r="E3751" s="531"/>
      <c r="F3751" s="531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2" t="str">
        <f t="shared" si="208"/>
        <v/>
      </c>
      <c r="E3752" s="531"/>
      <c r="F3752" s="531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2" t="str">
        <f t="shared" si="208"/>
        <v/>
      </c>
      <c r="E3753" s="531"/>
      <c r="F3753" s="531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2" t="str">
        <f t="shared" si="208"/>
        <v/>
      </c>
      <c r="E3754" s="531"/>
      <c r="F3754" s="531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2" t="str">
        <f t="shared" si="208"/>
        <v/>
      </c>
      <c r="E3755" s="531"/>
      <c r="F3755" s="531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2" t="str">
        <f t="shared" si="208"/>
        <v/>
      </c>
      <c r="E3756" s="531"/>
      <c r="F3756" s="531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2" t="str">
        <f t="shared" si="208"/>
        <v/>
      </c>
      <c r="E3757" s="531"/>
      <c r="F3757" s="531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2" t="str">
        <f t="shared" si="208"/>
        <v/>
      </c>
      <c r="E3758" s="531"/>
      <c r="F3758" s="531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2" t="str">
        <f t="shared" si="208"/>
        <v/>
      </c>
      <c r="E3759" s="531"/>
      <c r="F3759" s="531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2" t="str">
        <f t="shared" si="208"/>
        <v/>
      </c>
      <c r="E3760" s="531"/>
      <c r="F3760" s="531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2" t="str">
        <f t="shared" si="208"/>
        <v/>
      </c>
      <c r="E3761" s="531"/>
      <c r="F3761" s="531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2" t="str">
        <f t="shared" si="208"/>
        <v/>
      </c>
      <c r="E3762" s="531"/>
      <c r="F3762" s="531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2" t="str">
        <f t="shared" si="208"/>
        <v/>
      </c>
      <c r="E3763" s="531"/>
      <c r="F3763" s="531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2" t="str">
        <f t="shared" si="208"/>
        <v/>
      </c>
      <c r="E3764" s="531"/>
      <c r="F3764" s="531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2" t="str">
        <f t="shared" si="208"/>
        <v/>
      </c>
      <c r="E3765" s="531"/>
      <c r="F3765" s="531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2" t="str">
        <f t="shared" si="208"/>
        <v/>
      </c>
      <c r="E3766" s="531"/>
      <c r="F3766" s="531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2" t="str">
        <f t="shared" si="208"/>
        <v/>
      </c>
      <c r="E3767" s="531"/>
      <c r="F3767" s="531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2" t="str">
        <f t="shared" si="208"/>
        <v/>
      </c>
      <c r="E3768" s="531"/>
      <c r="F3768" s="531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2" t="str">
        <f t="shared" si="208"/>
        <v/>
      </c>
      <c r="E3769" s="531"/>
      <c r="F3769" s="531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2" t="str">
        <f t="shared" si="208"/>
        <v/>
      </c>
      <c r="E3770" s="531"/>
      <c r="F3770" s="531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2" t="str">
        <f t="shared" si="208"/>
        <v/>
      </c>
      <c r="E3771" s="531"/>
      <c r="F3771" s="531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2" t="str">
        <f t="shared" si="208"/>
        <v/>
      </c>
      <c r="E3772" s="531"/>
      <c r="F3772" s="531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2" t="str">
        <f t="shared" si="208"/>
        <v/>
      </c>
      <c r="E3773" s="531"/>
      <c r="F3773" s="531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2" t="str">
        <f t="shared" si="208"/>
        <v/>
      </c>
      <c r="E3774" s="531"/>
      <c r="F3774" s="531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2" t="str">
        <f t="shared" si="208"/>
        <v/>
      </c>
      <c r="E3775" s="531"/>
      <c r="F3775" s="531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2" t="str">
        <f t="shared" si="208"/>
        <v/>
      </c>
      <c r="E3776" s="531"/>
      <c r="F3776" s="531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2" t="str">
        <f t="shared" si="208"/>
        <v/>
      </c>
      <c r="E3777" s="531"/>
      <c r="F3777" s="531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2" t="str">
        <f t="shared" si="208"/>
        <v/>
      </c>
      <c r="E3778" s="531"/>
      <c r="F3778" s="531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2" t="str">
        <f t="shared" si="208"/>
        <v/>
      </c>
      <c r="E3779" s="531"/>
      <c r="F3779" s="531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2" t="str">
        <f t="shared" si="208"/>
        <v/>
      </c>
      <c r="E3780" s="531"/>
      <c r="F3780" s="531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2" t="str">
        <f t="shared" si="208"/>
        <v/>
      </c>
      <c r="E3781" s="531"/>
      <c r="F3781" s="531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2" t="str">
        <f t="shared" si="208"/>
        <v/>
      </c>
      <c r="E3782" s="531"/>
      <c r="F3782" s="531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2" t="str">
        <f t="shared" si="208"/>
        <v/>
      </c>
      <c r="E3783" s="531"/>
      <c r="F3783" s="531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2" t="str">
        <f t="shared" si="208"/>
        <v/>
      </c>
      <c r="E3784" s="531"/>
      <c r="F3784" s="531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2" t="str">
        <f t="shared" ref="D3785:D3848" si="211">IF(A3785&lt;&gt;"",PROPER(TEXT(A3785,"Mmmm")),"")</f>
        <v/>
      </c>
      <c r="E3785" s="531"/>
      <c r="F3785" s="531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2" t="str">
        <f t="shared" si="211"/>
        <v/>
      </c>
      <c r="E3786" s="531"/>
      <c r="F3786" s="531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2" t="str">
        <f t="shared" si="211"/>
        <v/>
      </c>
      <c r="E3787" s="531"/>
      <c r="F3787" s="531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2" t="str">
        <f t="shared" si="211"/>
        <v/>
      </c>
      <c r="E3788" s="531"/>
      <c r="F3788" s="531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2" t="str">
        <f t="shared" si="211"/>
        <v/>
      </c>
      <c r="E3789" s="531"/>
      <c r="F3789" s="531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2" t="str">
        <f t="shared" si="211"/>
        <v/>
      </c>
      <c r="E3790" s="531"/>
      <c r="F3790" s="531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2" t="str">
        <f t="shared" si="211"/>
        <v/>
      </c>
      <c r="E3791" s="531"/>
      <c r="F3791" s="531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2" t="str">
        <f t="shared" si="211"/>
        <v/>
      </c>
      <c r="E3792" s="531"/>
      <c r="F3792" s="531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2" t="str">
        <f t="shared" si="211"/>
        <v/>
      </c>
      <c r="E3793" s="531"/>
      <c r="F3793" s="531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2" t="str">
        <f t="shared" si="211"/>
        <v/>
      </c>
      <c r="E3794" s="531"/>
      <c r="F3794" s="531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2" t="str">
        <f t="shared" si="211"/>
        <v/>
      </c>
      <c r="E3795" s="531"/>
      <c r="F3795" s="531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2" t="str">
        <f t="shared" si="211"/>
        <v/>
      </c>
      <c r="E3796" s="531"/>
      <c r="F3796" s="531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2" t="str">
        <f t="shared" si="211"/>
        <v/>
      </c>
      <c r="E3797" s="531"/>
      <c r="F3797" s="531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2" t="str">
        <f t="shared" si="211"/>
        <v/>
      </c>
      <c r="E3798" s="531"/>
      <c r="F3798" s="531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2" t="str">
        <f t="shared" si="211"/>
        <v/>
      </c>
      <c r="E3799" s="531"/>
      <c r="F3799" s="531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2" t="str">
        <f t="shared" si="211"/>
        <v/>
      </c>
      <c r="E3800" s="531"/>
      <c r="F3800" s="531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2" t="str">
        <f t="shared" si="211"/>
        <v/>
      </c>
      <c r="E3801" s="531"/>
      <c r="F3801" s="531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2" t="str">
        <f t="shared" si="211"/>
        <v/>
      </c>
      <c r="E3802" s="531"/>
      <c r="F3802" s="531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2" t="str">
        <f t="shared" si="211"/>
        <v/>
      </c>
      <c r="E3803" s="531"/>
      <c r="F3803" s="531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2" t="str">
        <f t="shared" si="211"/>
        <v/>
      </c>
      <c r="E3804" s="531"/>
      <c r="F3804" s="531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2" t="str">
        <f t="shared" si="211"/>
        <v/>
      </c>
      <c r="E3805" s="531"/>
      <c r="F3805" s="531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2" t="str">
        <f t="shared" si="211"/>
        <v/>
      </c>
      <c r="E3806" s="531"/>
      <c r="F3806" s="531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2" t="str">
        <f t="shared" si="211"/>
        <v/>
      </c>
      <c r="E3807" s="531"/>
      <c r="F3807" s="531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2" t="str">
        <f t="shared" si="211"/>
        <v/>
      </c>
      <c r="E3808" s="531"/>
      <c r="F3808" s="531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2" t="str">
        <f t="shared" si="211"/>
        <v/>
      </c>
      <c r="E3809" s="531"/>
      <c r="F3809" s="531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2" t="str">
        <f t="shared" si="211"/>
        <v/>
      </c>
      <c r="E3810" s="531"/>
      <c r="F3810" s="531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2" t="str">
        <f t="shared" si="211"/>
        <v/>
      </c>
      <c r="E3811" s="531"/>
      <c r="F3811" s="531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2" t="str">
        <f t="shared" si="211"/>
        <v/>
      </c>
      <c r="E3812" s="531"/>
      <c r="F3812" s="531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2" t="str">
        <f t="shared" si="211"/>
        <v/>
      </c>
      <c r="E3813" s="531"/>
      <c r="F3813" s="531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2" t="str">
        <f t="shared" si="211"/>
        <v/>
      </c>
      <c r="E3814" s="531"/>
      <c r="F3814" s="531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2" t="str">
        <f t="shared" si="211"/>
        <v/>
      </c>
      <c r="E3815" s="531"/>
      <c r="F3815" s="531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2" t="str">
        <f t="shared" si="211"/>
        <v/>
      </c>
      <c r="E3816" s="531"/>
      <c r="F3816" s="531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2" t="str">
        <f t="shared" si="211"/>
        <v/>
      </c>
      <c r="E3817" s="531"/>
      <c r="F3817" s="531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2" t="str">
        <f t="shared" si="211"/>
        <v/>
      </c>
      <c r="E3818" s="531"/>
      <c r="F3818" s="531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2" t="str">
        <f t="shared" si="211"/>
        <v/>
      </c>
      <c r="E3819" s="531"/>
      <c r="F3819" s="531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2" t="str">
        <f t="shared" si="211"/>
        <v/>
      </c>
      <c r="E3820" s="531"/>
      <c r="F3820" s="531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2" t="str">
        <f t="shared" si="211"/>
        <v/>
      </c>
      <c r="E3821" s="531"/>
      <c r="F3821" s="531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2" t="str">
        <f t="shared" si="211"/>
        <v/>
      </c>
      <c r="E3822" s="531"/>
      <c r="F3822" s="531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2" t="str">
        <f t="shared" si="211"/>
        <v/>
      </c>
      <c r="E3823" s="531"/>
      <c r="F3823" s="531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2" t="str">
        <f t="shared" si="211"/>
        <v/>
      </c>
      <c r="E3824" s="531"/>
      <c r="F3824" s="531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2" t="str">
        <f t="shared" si="211"/>
        <v/>
      </c>
      <c r="E3825" s="531"/>
      <c r="F3825" s="531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2" t="str">
        <f t="shared" si="211"/>
        <v/>
      </c>
      <c r="E3826" s="531"/>
      <c r="F3826" s="531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2" t="str">
        <f t="shared" si="211"/>
        <v/>
      </c>
      <c r="E3827" s="531"/>
      <c r="F3827" s="531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2" t="str">
        <f t="shared" si="211"/>
        <v/>
      </c>
      <c r="E3828" s="531"/>
      <c r="F3828" s="531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2" t="str">
        <f t="shared" si="211"/>
        <v/>
      </c>
      <c r="E3829" s="531"/>
      <c r="F3829" s="531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2" t="str">
        <f t="shared" si="211"/>
        <v/>
      </c>
      <c r="E3830" s="531"/>
      <c r="F3830" s="531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2" t="str">
        <f t="shared" si="211"/>
        <v/>
      </c>
      <c r="E3831" s="531"/>
      <c r="F3831" s="531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2" t="str">
        <f t="shared" si="211"/>
        <v/>
      </c>
      <c r="E3832" s="531"/>
      <c r="F3832" s="531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2" t="str">
        <f t="shared" si="211"/>
        <v/>
      </c>
      <c r="E3833" s="531"/>
      <c r="F3833" s="531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2" t="str">
        <f t="shared" si="211"/>
        <v/>
      </c>
      <c r="E3834" s="531"/>
      <c r="F3834" s="531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2" t="str">
        <f t="shared" si="211"/>
        <v/>
      </c>
      <c r="E3835" s="531"/>
      <c r="F3835" s="531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2" t="str">
        <f t="shared" si="211"/>
        <v/>
      </c>
      <c r="E3836" s="531"/>
      <c r="F3836" s="531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2" t="str">
        <f t="shared" si="211"/>
        <v/>
      </c>
      <c r="E3837" s="531"/>
      <c r="F3837" s="531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2" t="str">
        <f t="shared" si="211"/>
        <v/>
      </c>
      <c r="E3838" s="531"/>
      <c r="F3838" s="531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2" t="str">
        <f t="shared" si="211"/>
        <v/>
      </c>
      <c r="E3839" s="531"/>
      <c r="F3839" s="531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2" t="str">
        <f t="shared" si="211"/>
        <v/>
      </c>
      <c r="E3840" s="531"/>
      <c r="F3840" s="531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2" t="str">
        <f t="shared" si="211"/>
        <v/>
      </c>
      <c r="E3841" s="531"/>
      <c r="F3841" s="531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2" t="str">
        <f t="shared" si="211"/>
        <v/>
      </c>
      <c r="E3842" s="531"/>
      <c r="F3842" s="531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2" t="str">
        <f t="shared" si="211"/>
        <v/>
      </c>
      <c r="E3843" s="531"/>
      <c r="F3843" s="531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2" t="str">
        <f t="shared" si="211"/>
        <v/>
      </c>
      <c r="E3844" s="531"/>
      <c r="F3844" s="531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2" t="str">
        <f t="shared" si="211"/>
        <v/>
      </c>
      <c r="E3845" s="531"/>
      <c r="F3845" s="531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2" t="str">
        <f t="shared" si="211"/>
        <v/>
      </c>
      <c r="E3846" s="531"/>
      <c r="F3846" s="531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2" t="str">
        <f t="shared" si="211"/>
        <v/>
      </c>
      <c r="E3847" s="531"/>
      <c r="F3847" s="531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2" t="str">
        <f t="shared" si="211"/>
        <v/>
      </c>
      <c r="E3848" s="531"/>
      <c r="F3848" s="531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2" t="str">
        <f t="shared" ref="D3849:D3912" si="214">IF(A3849&lt;&gt;"",PROPER(TEXT(A3849,"Mmmm")),"")</f>
        <v/>
      </c>
      <c r="E3849" s="531"/>
      <c r="F3849" s="531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2" t="str">
        <f t="shared" si="214"/>
        <v/>
      </c>
      <c r="E3850" s="531"/>
      <c r="F3850" s="531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2" t="str">
        <f t="shared" si="214"/>
        <v/>
      </c>
      <c r="E3851" s="531"/>
      <c r="F3851" s="531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2" t="str">
        <f t="shared" si="214"/>
        <v/>
      </c>
      <c r="E3852" s="531"/>
      <c r="F3852" s="531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2" t="str">
        <f t="shared" si="214"/>
        <v/>
      </c>
      <c r="E3853" s="531"/>
      <c r="F3853" s="531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2" t="str">
        <f t="shared" si="214"/>
        <v/>
      </c>
      <c r="E3854" s="531"/>
      <c r="F3854" s="531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2" t="str">
        <f t="shared" si="214"/>
        <v/>
      </c>
      <c r="E3855" s="531"/>
      <c r="F3855" s="531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2" t="str">
        <f t="shared" si="214"/>
        <v/>
      </c>
      <c r="E3856" s="531"/>
      <c r="F3856" s="531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2" t="str">
        <f t="shared" si="214"/>
        <v/>
      </c>
      <c r="E3857" s="531"/>
      <c r="F3857" s="531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2" t="str">
        <f t="shared" si="214"/>
        <v/>
      </c>
      <c r="E3858" s="531"/>
      <c r="F3858" s="531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2" t="str">
        <f t="shared" si="214"/>
        <v/>
      </c>
      <c r="E3859" s="531"/>
      <c r="F3859" s="531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2" t="str">
        <f t="shared" si="214"/>
        <v/>
      </c>
      <c r="E3860" s="531"/>
      <c r="F3860" s="531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2" t="str">
        <f t="shared" si="214"/>
        <v/>
      </c>
      <c r="E3861" s="531"/>
      <c r="F3861" s="531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2" t="str">
        <f t="shared" si="214"/>
        <v/>
      </c>
      <c r="E3862" s="531"/>
      <c r="F3862" s="531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2" t="str">
        <f t="shared" si="214"/>
        <v/>
      </c>
      <c r="E3863" s="531"/>
      <c r="F3863" s="531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2" t="str">
        <f t="shared" si="214"/>
        <v/>
      </c>
      <c r="E3864" s="531"/>
      <c r="F3864" s="531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2" t="str">
        <f t="shared" si="214"/>
        <v/>
      </c>
      <c r="E3865" s="531"/>
      <c r="F3865" s="531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2" t="str">
        <f t="shared" si="214"/>
        <v/>
      </c>
      <c r="E3866" s="531"/>
      <c r="F3866" s="531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2" t="str">
        <f t="shared" si="214"/>
        <v/>
      </c>
      <c r="E3867" s="531"/>
      <c r="F3867" s="531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2" t="str">
        <f t="shared" si="214"/>
        <v/>
      </c>
      <c r="E3868" s="531"/>
      <c r="F3868" s="531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2" t="str">
        <f t="shared" si="214"/>
        <v/>
      </c>
      <c r="E3869" s="531"/>
      <c r="F3869" s="531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2" t="str">
        <f t="shared" si="214"/>
        <v/>
      </c>
      <c r="E3870" s="531"/>
      <c r="F3870" s="531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2" t="str">
        <f t="shared" si="214"/>
        <v/>
      </c>
      <c r="E3871" s="531"/>
      <c r="F3871" s="531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2" t="str">
        <f t="shared" si="214"/>
        <v/>
      </c>
      <c r="E3872" s="531"/>
      <c r="F3872" s="531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2" t="str">
        <f t="shared" si="214"/>
        <v/>
      </c>
      <c r="E3873" s="531"/>
      <c r="F3873" s="531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2" t="str">
        <f t="shared" si="214"/>
        <v/>
      </c>
      <c r="E3874" s="531"/>
      <c r="F3874" s="531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2" t="str">
        <f t="shared" si="214"/>
        <v/>
      </c>
      <c r="E3875" s="531"/>
      <c r="F3875" s="531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2" t="str">
        <f t="shared" si="214"/>
        <v/>
      </c>
      <c r="E3876" s="531"/>
      <c r="F3876" s="531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2" t="str">
        <f t="shared" si="214"/>
        <v/>
      </c>
      <c r="E3877" s="531"/>
      <c r="F3877" s="531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2" t="str">
        <f t="shared" si="214"/>
        <v/>
      </c>
      <c r="E3878" s="531"/>
      <c r="F3878" s="531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2" t="str">
        <f t="shared" si="214"/>
        <v/>
      </c>
      <c r="E3879" s="531"/>
      <c r="F3879" s="531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2" t="str">
        <f t="shared" si="214"/>
        <v/>
      </c>
      <c r="E3880" s="531"/>
      <c r="F3880" s="531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2" t="str">
        <f t="shared" si="214"/>
        <v/>
      </c>
      <c r="E3881" s="531"/>
      <c r="F3881" s="531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2" t="str">
        <f t="shared" si="214"/>
        <v/>
      </c>
      <c r="E3882" s="531"/>
      <c r="F3882" s="531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2" t="str">
        <f t="shared" si="214"/>
        <v/>
      </c>
      <c r="E3883" s="531"/>
      <c r="F3883" s="531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2" t="str">
        <f t="shared" si="214"/>
        <v/>
      </c>
      <c r="E3884" s="531"/>
      <c r="F3884" s="531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2" t="str">
        <f t="shared" si="214"/>
        <v/>
      </c>
      <c r="E3885" s="531"/>
      <c r="F3885" s="531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2" t="str">
        <f t="shared" si="214"/>
        <v/>
      </c>
      <c r="E3886" s="531"/>
      <c r="F3886" s="531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2" t="str">
        <f t="shared" si="214"/>
        <v/>
      </c>
      <c r="E3887" s="531"/>
      <c r="F3887" s="531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2" t="str">
        <f t="shared" si="214"/>
        <v/>
      </c>
      <c r="E3888" s="531"/>
      <c r="F3888" s="531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2" t="str">
        <f t="shared" si="214"/>
        <v/>
      </c>
      <c r="E3889" s="531"/>
      <c r="F3889" s="531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2" t="str">
        <f t="shared" si="214"/>
        <v/>
      </c>
      <c r="E3890" s="531"/>
      <c r="F3890" s="531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2" t="str">
        <f t="shared" si="214"/>
        <v/>
      </c>
      <c r="E3891" s="531"/>
      <c r="F3891" s="531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2" t="str">
        <f t="shared" si="214"/>
        <v/>
      </c>
      <c r="E3892" s="531"/>
      <c r="F3892" s="531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2" t="str">
        <f t="shared" si="214"/>
        <v/>
      </c>
      <c r="E3893" s="531"/>
      <c r="F3893" s="531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2" t="str">
        <f t="shared" si="214"/>
        <v/>
      </c>
      <c r="E3894" s="531"/>
      <c r="F3894" s="531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2" t="str">
        <f t="shared" si="214"/>
        <v/>
      </c>
      <c r="E3895" s="531"/>
      <c r="F3895" s="531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2" t="str">
        <f t="shared" si="214"/>
        <v/>
      </c>
      <c r="E3896" s="531"/>
      <c r="F3896" s="531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2" t="str">
        <f t="shared" si="214"/>
        <v/>
      </c>
      <c r="E3897" s="531"/>
      <c r="F3897" s="531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2" t="str">
        <f t="shared" si="214"/>
        <v/>
      </c>
      <c r="E3898" s="531"/>
      <c r="F3898" s="531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2" t="str">
        <f t="shared" si="214"/>
        <v/>
      </c>
      <c r="E3899" s="531"/>
      <c r="F3899" s="531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2" t="str">
        <f t="shared" si="214"/>
        <v/>
      </c>
      <c r="E3900" s="531"/>
      <c r="F3900" s="531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2" t="str">
        <f t="shared" si="214"/>
        <v/>
      </c>
      <c r="E3901" s="531"/>
      <c r="F3901" s="531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2" t="str">
        <f t="shared" si="214"/>
        <v/>
      </c>
      <c r="E3902" s="531"/>
      <c r="F3902" s="531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2" t="str">
        <f t="shared" si="214"/>
        <v/>
      </c>
      <c r="E3903" s="531"/>
      <c r="F3903" s="531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2" t="str">
        <f t="shared" si="214"/>
        <v/>
      </c>
      <c r="E3904" s="531"/>
      <c r="F3904" s="531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2" t="str">
        <f t="shared" si="214"/>
        <v/>
      </c>
      <c r="E3905" s="531"/>
      <c r="F3905" s="531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2" t="str">
        <f t="shared" si="214"/>
        <v/>
      </c>
      <c r="E3906" s="531"/>
      <c r="F3906" s="531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2" t="str">
        <f t="shared" si="214"/>
        <v/>
      </c>
      <c r="E3907" s="531"/>
      <c r="F3907" s="531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2" t="str">
        <f t="shared" si="214"/>
        <v/>
      </c>
      <c r="E3908" s="531"/>
      <c r="F3908" s="531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2" t="str">
        <f t="shared" si="214"/>
        <v/>
      </c>
      <c r="E3909" s="531"/>
      <c r="F3909" s="531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2" t="str">
        <f t="shared" si="214"/>
        <v/>
      </c>
      <c r="E3910" s="531"/>
      <c r="F3910" s="531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2" t="str">
        <f t="shared" si="214"/>
        <v/>
      </c>
      <c r="E3911" s="531"/>
      <c r="F3911" s="531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2" t="str">
        <f t="shared" si="214"/>
        <v/>
      </c>
      <c r="E3912" s="531"/>
      <c r="F3912" s="531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2" t="str">
        <f t="shared" ref="D3913:D3976" si="217">IF(A3913&lt;&gt;"",PROPER(TEXT(A3913,"Mmmm")),"")</f>
        <v/>
      </c>
      <c r="E3913" s="531"/>
      <c r="F3913" s="531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2" t="str">
        <f t="shared" si="217"/>
        <v/>
      </c>
      <c r="E3914" s="531"/>
      <c r="F3914" s="531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2" t="str">
        <f t="shared" si="217"/>
        <v/>
      </c>
      <c r="E3915" s="531"/>
      <c r="F3915" s="531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2" t="str">
        <f t="shared" si="217"/>
        <v/>
      </c>
      <c r="E3916" s="531"/>
      <c r="F3916" s="531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2" t="str">
        <f t="shared" si="217"/>
        <v/>
      </c>
      <c r="E3917" s="531"/>
      <c r="F3917" s="531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2" t="str">
        <f t="shared" si="217"/>
        <v/>
      </c>
      <c r="E3918" s="531"/>
      <c r="F3918" s="531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2" t="str">
        <f t="shared" si="217"/>
        <v/>
      </c>
      <c r="E3919" s="531"/>
      <c r="F3919" s="531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2" t="str">
        <f t="shared" si="217"/>
        <v/>
      </c>
      <c r="E3920" s="531"/>
      <c r="F3920" s="531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2" t="str">
        <f t="shared" si="217"/>
        <v/>
      </c>
      <c r="E3921" s="531"/>
      <c r="F3921" s="531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2" t="str">
        <f t="shared" si="217"/>
        <v/>
      </c>
      <c r="E3922" s="531"/>
      <c r="F3922" s="531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2" t="str">
        <f t="shared" si="217"/>
        <v/>
      </c>
      <c r="E3923" s="531"/>
      <c r="F3923" s="531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2" t="str">
        <f t="shared" si="217"/>
        <v/>
      </c>
      <c r="E3924" s="531"/>
      <c r="F3924" s="531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2" t="str">
        <f t="shared" si="217"/>
        <v/>
      </c>
      <c r="E3925" s="531"/>
      <c r="F3925" s="531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2" t="str">
        <f t="shared" si="217"/>
        <v/>
      </c>
      <c r="E3926" s="531"/>
      <c r="F3926" s="531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2" t="str">
        <f t="shared" si="217"/>
        <v/>
      </c>
      <c r="E3927" s="531"/>
      <c r="F3927" s="531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2" t="str">
        <f t="shared" si="217"/>
        <v/>
      </c>
      <c r="E3928" s="531"/>
      <c r="F3928" s="531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2" t="str">
        <f t="shared" si="217"/>
        <v/>
      </c>
      <c r="E3929" s="531"/>
      <c r="F3929" s="531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2" t="str">
        <f t="shared" si="217"/>
        <v/>
      </c>
      <c r="E3930" s="531"/>
      <c r="F3930" s="531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2" t="str">
        <f t="shared" si="217"/>
        <v/>
      </c>
      <c r="E3931" s="531"/>
      <c r="F3931" s="531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2" t="str">
        <f t="shared" si="217"/>
        <v/>
      </c>
      <c r="E3932" s="531"/>
      <c r="F3932" s="531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2" t="str">
        <f t="shared" si="217"/>
        <v/>
      </c>
      <c r="E3933" s="531"/>
      <c r="F3933" s="531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2" t="str">
        <f t="shared" si="217"/>
        <v/>
      </c>
      <c r="E3934" s="531"/>
      <c r="F3934" s="531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2" t="str">
        <f t="shared" si="217"/>
        <v/>
      </c>
      <c r="E3935" s="531"/>
      <c r="F3935" s="531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2" t="str">
        <f t="shared" si="217"/>
        <v/>
      </c>
      <c r="E3936" s="531"/>
      <c r="F3936" s="531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2" t="str">
        <f t="shared" si="217"/>
        <v/>
      </c>
      <c r="E3937" s="531"/>
      <c r="F3937" s="531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2" t="str">
        <f t="shared" si="217"/>
        <v/>
      </c>
      <c r="E3938" s="531"/>
      <c r="F3938" s="531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2" t="str">
        <f t="shared" si="217"/>
        <v/>
      </c>
      <c r="E3939" s="531"/>
      <c r="F3939" s="531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2" t="str">
        <f t="shared" si="217"/>
        <v/>
      </c>
      <c r="E3940" s="531"/>
      <c r="F3940" s="531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2" t="str">
        <f t="shared" si="217"/>
        <v/>
      </c>
      <c r="E3941" s="531"/>
      <c r="F3941" s="531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2" t="str">
        <f t="shared" si="217"/>
        <v/>
      </c>
      <c r="E3942" s="531"/>
      <c r="F3942" s="531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2" t="str">
        <f t="shared" si="217"/>
        <v/>
      </c>
      <c r="E3943" s="531"/>
      <c r="F3943" s="531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2" t="str">
        <f t="shared" si="217"/>
        <v/>
      </c>
      <c r="E3944" s="531"/>
      <c r="F3944" s="531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2" t="str">
        <f t="shared" si="217"/>
        <v/>
      </c>
      <c r="E3945" s="531"/>
      <c r="F3945" s="531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2" t="str">
        <f t="shared" si="217"/>
        <v/>
      </c>
      <c r="E3946" s="531"/>
      <c r="F3946" s="531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2" t="str">
        <f t="shared" si="217"/>
        <v/>
      </c>
      <c r="E3947" s="531"/>
      <c r="F3947" s="531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2" t="str">
        <f t="shared" si="217"/>
        <v/>
      </c>
      <c r="E3948" s="531"/>
      <c r="F3948" s="531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2" t="str">
        <f t="shared" si="217"/>
        <v/>
      </c>
      <c r="E3949" s="531"/>
      <c r="F3949" s="531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2" t="str">
        <f t="shared" si="217"/>
        <v/>
      </c>
      <c r="E3950" s="531"/>
      <c r="F3950" s="531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2" t="str">
        <f t="shared" si="217"/>
        <v/>
      </c>
      <c r="E3951" s="531"/>
      <c r="F3951" s="531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2" t="str">
        <f t="shared" si="217"/>
        <v/>
      </c>
      <c r="E3952" s="531"/>
      <c r="F3952" s="531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2" t="str">
        <f t="shared" si="217"/>
        <v/>
      </c>
      <c r="E3953" s="531"/>
      <c r="F3953" s="531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2" t="str">
        <f t="shared" si="217"/>
        <v/>
      </c>
      <c r="E3954" s="531"/>
      <c r="F3954" s="531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2" t="str">
        <f t="shared" si="217"/>
        <v/>
      </c>
      <c r="E3955" s="531"/>
      <c r="F3955" s="531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2" t="str">
        <f t="shared" si="217"/>
        <v/>
      </c>
      <c r="E3956" s="531"/>
      <c r="F3956" s="531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2" t="str">
        <f t="shared" si="217"/>
        <v/>
      </c>
      <c r="E3957" s="531"/>
      <c r="F3957" s="531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2" t="str">
        <f t="shared" si="217"/>
        <v/>
      </c>
      <c r="E3958" s="531"/>
      <c r="F3958" s="531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2" t="str">
        <f t="shared" si="217"/>
        <v/>
      </c>
      <c r="E3959" s="531"/>
      <c r="F3959" s="531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2" t="str">
        <f t="shared" si="217"/>
        <v/>
      </c>
      <c r="E3960" s="531"/>
      <c r="F3960" s="531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2" t="str">
        <f t="shared" si="217"/>
        <v/>
      </c>
      <c r="E3961" s="531"/>
      <c r="F3961" s="531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2" t="str">
        <f t="shared" si="217"/>
        <v/>
      </c>
      <c r="E3962" s="531"/>
      <c r="F3962" s="531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2" t="str">
        <f t="shared" si="217"/>
        <v/>
      </c>
      <c r="E3963" s="531"/>
      <c r="F3963" s="531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2" t="str">
        <f t="shared" si="217"/>
        <v/>
      </c>
      <c r="E3964" s="531"/>
      <c r="F3964" s="531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2" t="str">
        <f t="shared" si="217"/>
        <v/>
      </c>
      <c r="E3965" s="531"/>
      <c r="F3965" s="531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2" t="str">
        <f t="shared" si="217"/>
        <v/>
      </c>
      <c r="E3966" s="531"/>
      <c r="F3966" s="531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2" t="str">
        <f t="shared" si="217"/>
        <v/>
      </c>
      <c r="E3967" s="531"/>
      <c r="F3967" s="531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2" t="str">
        <f t="shared" si="217"/>
        <v/>
      </c>
      <c r="E3968" s="531"/>
      <c r="F3968" s="531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2" t="str">
        <f t="shared" si="217"/>
        <v/>
      </c>
      <c r="E3969" s="531"/>
      <c r="F3969" s="531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2" t="str">
        <f t="shared" si="217"/>
        <v/>
      </c>
      <c r="E3970" s="531"/>
      <c r="F3970" s="531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2" t="str">
        <f t="shared" si="217"/>
        <v/>
      </c>
      <c r="E3971" s="531"/>
      <c r="F3971" s="531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2" t="str">
        <f t="shared" si="217"/>
        <v/>
      </c>
      <c r="E3972" s="531"/>
      <c r="F3972" s="531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2" t="str">
        <f t="shared" si="217"/>
        <v/>
      </c>
      <c r="E3973" s="531"/>
      <c r="F3973" s="531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2" t="str">
        <f t="shared" si="217"/>
        <v/>
      </c>
      <c r="E3974" s="531"/>
      <c r="F3974" s="531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2" t="str">
        <f t="shared" si="217"/>
        <v/>
      </c>
      <c r="E3975" s="531"/>
      <c r="F3975" s="531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2" t="str">
        <f t="shared" si="217"/>
        <v/>
      </c>
      <c r="E3976" s="531"/>
      <c r="F3976" s="531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2" t="str">
        <f t="shared" ref="D3977:D4040" si="220">IF(A3977&lt;&gt;"",PROPER(TEXT(A3977,"Mmmm")),"")</f>
        <v/>
      </c>
      <c r="E3977" s="531"/>
      <c r="F3977" s="531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2" t="str">
        <f t="shared" si="220"/>
        <v/>
      </c>
      <c r="E3978" s="531"/>
      <c r="F3978" s="531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2" t="str">
        <f t="shared" si="220"/>
        <v/>
      </c>
      <c r="E3979" s="531"/>
      <c r="F3979" s="531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2" t="str">
        <f t="shared" si="220"/>
        <v/>
      </c>
      <c r="E3980" s="531"/>
      <c r="F3980" s="531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2" t="str">
        <f t="shared" si="220"/>
        <v/>
      </c>
      <c r="E3981" s="531"/>
      <c r="F3981" s="531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2" t="str">
        <f t="shared" si="220"/>
        <v/>
      </c>
      <c r="E3982" s="531"/>
      <c r="F3982" s="531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2" t="str">
        <f t="shared" si="220"/>
        <v/>
      </c>
      <c r="E3983" s="531"/>
      <c r="F3983" s="531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2" t="str">
        <f t="shared" si="220"/>
        <v/>
      </c>
      <c r="E3984" s="531"/>
      <c r="F3984" s="531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2" t="str">
        <f t="shared" si="220"/>
        <v/>
      </c>
      <c r="E3985" s="531"/>
      <c r="F3985" s="531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2" t="str">
        <f t="shared" si="220"/>
        <v/>
      </c>
      <c r="E3986" s="531"/>
      <c r="F3986" s="531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2" t="str">
        <f t="shared" si="220"/>
        <v/>
      </c>
      <c r="E3987" s="531"/>
      <c r="F3987" s="531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2" t="str">
        <f t="shared" si="220"/>
        <v/>
      </c>
      <c r="E3988" s="531"/>
      <c r="F3988" s="531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2" t="str">
        <f t="shared" si="220"/>
        <v/>
      </c>
      <c r="E3989" s="531"/>
      <c r="F3989" s="531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2" t="str">
        <f t="shared" si="220"/>
        <v/>
      </c>
      <c r="E3990" s="531"/>
      <c r="F3990" s="531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2" t="str">
        <f t="shared" si="220"/>
        <v/>
      </c>
      <c r="E3991" s="531"/>
      <c r="F3991" s="531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2" t="str">
        <f t="shared" si="220"/>
        <v/>
      </c>
      <c r="E3992" s="531"/>
      <c r="F3992" s="531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2" t="str">
        <f t="shared" si="220"/>
        <v/>
      </c>
      <c r="E3993" s="531"/>
      <c r="F3993" s="531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2" t="str">
        <f t="shared" si="220"/>
        <v/>
      </c>
      <c r="E3994" s="531"/>
      <c r="F3994" s="531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2" t="str">
        <f t="shared" si="220"/>
        <v/>
      </c>
      <c r="E3995" s="531"/>
      <c r="F3995" s="531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2" t="str">
        <f t="shared" si="220"/>
        <v/>
      </c>
      <c r="E3996" s="531"/>
      <c r="F3996" s="531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2" t="str">
        <f t="shared" si="220"/>
        <v/>
      </c>
      <c r="E3997" s="531"/>
      <c r="F3997" s="531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2" t="str">
        <f t="shared" si="220"/>
        <v/>
      </c>
      <c r="E3998" s="531"/>
      <c r="F3998" s="531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2" t="str">
        <f t="shared" si="220"/>
        <v/>
      </c>
      <c r="E3999" s="531"/>
      <c r="F3999" s="531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2" t="str">
        <f t="shared" si="220"/>
        <v/>
      </c>
      <c r="E4000" s="531"/>
      <c r="F4000" s="531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2" t="str">
        <f t="shared" si="220"/>
        <v/>
      </c>
      <c r="E4001" s="531"/>
      <c r="F4001" s="531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2" t="str">
        <f t="shared" si="220"/>
        <v/>
      </c>
      <c r="E4002" s="531"/>
      <c r="F4002" s="531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2" t="str">
        <f t="shared" si="220"/>
        <v/>
      </c>
      <c r="E4003" s="531"/>
      <c r="F4003" s="531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2" t="str">
        <f t="shared" si="220"/>
        <v/>
      </c>
      <c r="E4004" s="531"/>
      <c r="F4004" s="531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2" t="str">
        <f t="shared" si="220"/>
        <v/>
      </c>
      <c r="E4005" s="531"/>
      <c r="F4005" s="531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2" t="str">
        <f t="shared" si="220"/>
        <v/>
      </c>
      <c r="E4006" s="531"/>
      <c r="F4006" s="531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2" t="str">
        <f t="shared" si="220"/>
        <v/>
      </c>
      <c r="E4007" s="531"/>
      <c r="F4007" s="531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2" t="str">
        <f t="shared" si="220"/>
        <v/>
      </c>
      <c r="E4008" s="531"/>
      <c r="F4008" s="531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2" t="str">
        <f t="shared" si="220"/>
        <v/>
      </c>
      <c r="E4009" s="531"/>
      <c r="F4009" s="531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2" t="str">
        <f t="shared" si="220"/>
        <v/>
      </c>
      <c r="E4010" s="531"/>
      <c r="F4010" s="531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2" t="str">
        <f t="shared" si="220"/>
        <v/>
      </c>
      <c r="E4011" s="531"/>
      <c r="F4011" s="531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2" t="str">
        <f t="shared" si="220"/>
        <v/>
      </c>
      <c r="E4012" s="531"/>
      <c r="F4012" s="531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2" t="str">
        <f t="shared" si="220"/>
        <v/>
      </c>
      <c r="E4013" s="531"/>
      <c r="F4013" s="531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2" t="str">
        <f t="shared" si="220"/>
        <v/>
      </c>
      <c r="E4014" s="531"/>
      <c r="F4014" s="531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2" t="str">
        <f t="shared" si="220"/>
        <v/>
      </c>
      <c r="E4015" s="531"/>
      <c r="F4015" s="531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2" t="str">
        <f t="shared" si="220"/>
        <v/>
      </c>
      <c r="E4016" s="531"/>
      <c r="F4016" s="531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2" t="str">
        <f t="shared" si="220"/>
        <v/>
      </c>
      <c r="E4017" s="531"/>
      <c r="F4017" s="531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2" t="str">
        <f t="shared" si="220"/>
        <v/>
      </c>
      <c r="E4018" s="531"/>
      <c r="F4018" s="531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2" t="str">
        <f t="shared" si="220"/>
        <v/>
      </c>
      <c r="E4019" s="531"/>
      <c r="F4019" s="531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2" t="str">
        <f t="shared" si="220"/>
        <v/>
      </c>
      <c r="E4020" s="531"/>
      <c r="F4020" s="531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2" t="str">
        <f t="shared" si="220"/>
        <v/>
      </c>
      <c r="E4021" s="531"/>
      <c r="F4021" s="531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2" t="str">
        <f t="shared" si="220"/>
        <v/>
      </c>
      <c r="E4022" s="531"/>
      <c r="F4022" s="531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2" t="str">
        <f t="shared" si="220"/>
        <v/>
      </c>
      <c r="E4023" s="531"/>
      <c r="F4023" s="531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2" t="str">
        <f t="shared" si="220"/>
        <v/>
      </c>
      <c r="E4024" s="531"/>
      <c r="F4024" s="531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2" t="str">
        <f t="shared" si="220"/>
        <v/>
      </c>
      <c r="E4025" s="531"/>
      <c r="F4025" s="531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2" t="str">
        <f t="shared" si="220"/>
        <v/>
      </c>
      <c r="E4026" s="531"/>
      <c r="F4026" s="531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2" t="str">
        <f t="shared" si="220"/>
        <v/>
      </c>
      <c r="E4027" s="531"/>
      <c r="F4027" s="531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2" t="str">
        <f t="shared" si="220"/>
        <v/>
      </c>
      <c r="E4028" s="531"/>
      <c r="F4028" s="531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2" t="str">
        <f t="shared" si="220"/>
        <v/>
      </c>
      <c r="E4029" s="531"/>
      <c r="F4029" s="531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2" t="str">
        <f t="shared" si="220"/>
        <v/>
      </c>
      <c r="E4030" s="531"/>
      <c r="F4030" s="531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2" t="str">
        <f t="shared" si="220"/>
        <v/>
      </c>
      <c r="E4031" s="531"/>
      <c r="F4031" s="531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2" t="str">
        <f t="shared" si="220"/>
        <v/>
      </c>
      <c r="E4032" s="531"/>
      <c r="F4032" s="531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2" t="str">
        <f t="shared" si="220"/>
        <v/>
      </c>
      <c r="E4033" s="531"/>
      <c r="F4033" s="531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2" t="str">
        <f t="shared" si="220"/>
        <v/>
      </c>
      <c r="E4034" s="531"/>
      <c r="F4034" s="531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2" t="str">
        <f t="shared" si="220"/>
        <v/>
      </c>
      <c r="E4035" s="531"/>
      <c r="F4035" s="531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2" t="str">
        <f t="shared" si="220"/>
        <v/>
      </c>
      <c r="E4036" s="531"/>
      <c r="F4036" s="531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2" t="str">
        <f t="shared" si="220"/>
        <v/>
      </c>
      <c r="E4037" s="531"/>
      <c r="F4037" s="531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2" t="str">
        <f t="shared" si="220"/>
        <v/>
      </c>
      <c r="E4038" s="531"/>
      <c r="F4038" s="531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2" t="str">
        <f t="shared" si="220"/>
        <v/>
      </c>
      <c r="E4039" s="531"/>
      <c r="F4039" s="531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2" t="str">
        <f t="shared" si="220"/>
        <v/>
      </c>
      <c r="E4040" s="531"/>
      <c r="F4040" s="531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2" t="str">
        <f t="shared" ref="D4041:D4104" si="223">IF(A4041&lt;&gt;"",PROPER(TEXT(A4041,"Mmmm")),"")</f>
        <v/>
      </c>
      <c r="E4041" s="531"/>
      <c r="F4041" s="531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2" t="str">
        <f t="shared" si="223"/>
        <v/>
      </c>
      <c r="E4042" s="531"/>
      <c r="F4042" s="531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2" t="str">
        <f t="shared" si="223"/>
        <v/>
      </c>
      <c r="E4043" s="531"/>
      <c r="F4043" s="531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2" t="str">
        <f t="shared" si="223"/>
        <v/>
      </c>
      <c r="E4044" s="531"/>
      <c r="F4044" s="531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2" t="str">
        <f t="shared" si="223"/>
        <v/>
      </c>
      <c r="E4045" s="531"/>
      <c r="F4045" s="531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2" t="str">
        <f t="shared" si="223"/>
        <v/>
      </c>
      <c r="E4046" s="531"/>
      <c r="F4046" s="531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2" t="str">
        <f t="shared" si="223"/>
        <v/>
      </c>
      <c r="E4047" s="531"/>
      <c r="F4047" s="531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2" t="str">
        <f t="shared" si="223"/>
        <v/>
      </c>
      <c r="E4048" s="531"/>
      <c r="F4048" s="531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2" t="str">
        <f t="shared" si="223"/>
        <v/>
      </c>
      <c r="E4049" s="531"/>
      <c r="F4049" s="531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2" t="str">
        <f t="shared" si="223"/>
        <v/>
      </c>
      <c r="E4050" s="531"/>
      <c r="F4050" s="531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2" t="str">
        <f t="shared" si="223"/>
        <v/>
      </c>
      <c r="E4051" s="531"/>
      <c r="F4051" s="531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2" t="str">
        <f t="shared" si="223"/>
        <v/>
      </c>
      <c r="E4052" s="531"/>
      <c r="F4052" s="531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2" t="str">
        <f t="shared" si="223"/>
        <v/>
      </c>
      <c r="E4053" s="531"/>
      <c r="F4053" s="531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2" t="str">
        <f t="shared" si="223"/>
        <v/>
      </c>
      <c r="E4054" s="531"/>
      <c r="F4054" s="531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2" t="str">
        <f t="shared" si="223"/>
        <v/>
      </c>
      <c r="E4055" s="531"/>
      <c r="F4055" s="531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2" t="str">
        <f t="shared" si="223"/>
        <v/>
      </c>
      <c r="E4056" s="531"/>
      <c r="F4056" s="531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2" t="str">
        <f t="shared" si="223"/>
        <v/>
      </c>
      <c r="E4057" s="531"/>
      <c r="F4057" s="531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2" t="str">
        <f t="shared" si="223"/>
        <v/>
      </c>
      <c r="E4058" s="531"/>
      <c r="F4058" s="531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2" t="str">
        <f t="shared" si="223"/>
        <v/>
      </c>
      <c r="E4059" s="531"/>
      <c r="F4059" s="531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2" t="str">
        <f t="shared" si="223"/>
        <v/>
      </c>
      <c r="E4060" s="531"/>
      <c r="F4060" s="531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2" t="str">
        <f t="shared" si="223"/>
        <v/>
      </c>
      <c r="E4061" s="531"/>
      <c r="F4061" s="531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2" t="str">
        <f t="shared" si="223"/>
        <v/>
      </c>
      <c r="E4062" s="531"/>
      <c r="F4062" s="531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2" t="str">
        <f t="shared" si="223"/>
        <v/>
      </c>
      <c r="E4063" s="531"/>
      <c r="F4063" s="531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2" t="str">
        <f t="shared" si="223"/>
        <v/>
      </c>
      <c r="E4064" s="531"/>
      <c r="F4064" s="531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2" t="str">
        <f t="shared" si="223"/>
        <v/>
      </c>
      <c r="E4065" s="531"/>
      <c r="F4065" s="531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2" t="str">
        <f t="shared" si="223"/>
        <v/>
      </c>
      <c r="E4066" s="531"/>
      <c r="F4066" s="531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2" t="str">
        <f t="shared" si="223"/>
        <v/>
      </c>
      <c r="E4067" s="531"/>
      <c r="F4067" s="531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2" t="str">
        <f t="shared" si="223"/>
        <v/>
      </c>
      <c r="E4068" s="531"/>
      <c r="F4068" s="531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2" t="str">
        <f t="shared" si="223"/>
        <v/>
      </c>
      <c r="E4069" s="531"/>
      <c r="F4069" s="531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2" t="str">
        <f t="shared" si="223"/>
        <v/>
      </c>
      <c r="E4070" s="531"/>
      <c r="F4070" s="531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2" t="str">
        <f t="shared" si="223"/>
        <v/>
      </c>
      <c r="E4071" s="531"/>
      <c r="F4071" s="531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2" t="str">
        <f t="shared" si="223"/>
        <v/>
      </c>
      <c r="E4072" s="531"/>
      <c r="F4072" s="531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2" t="str">
        <f t="shared" si="223"/>
        <v/>
      </c>
      <c r="E4073" s="531"/>
      <c r="F4073" s="531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2" t="str">
        <f t="shared" si="223"/>
        <v/>
      </c>
      <c r="E4074" s="531"/>
      <c r="F4074" s="531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2" t="str">
        <f t="shared" si="223"/>
        <v/>
      </c>
      <c r="E4075" s="531"/>
      <c r="F4075" s="531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2" t="str">
        <f t="shared" si="223"/>
        <v/>
      </c>
      <c r="E4076" s="531"/>
      <c r="F4076" s="531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2" t="str">
        <f t="shared" si="223"/>
        <v/>
      </c>
      <c r="E4077" s="531"/>
      <c r="F4077" s="531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2" t="str">
        <f t="shared" si="223"/>
        <v/>
      </c>
      <c r="E4078" s="531"/>
      <c r="F4078" s="531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2" t="str">
        <f t="shared" si="223"/>
        <v/>
      </c>
      <c r="E4079" s="531"/>
      <c r="F4079" s="531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2" t="str">
        <f t="shared" si="223"/>
        <v/>
      </c>
      <c r="E4080" s="531"/>
      <c r="F4080" s="531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2" t="str">
        <f t="shared" si="223"/>
        <v/>
      </c>
      <c r="E4081" s="531"/>
      <c r="F4081" s="531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2" t="str">
        <f t="shared" si="223"/>
        <v/>
      </c>
      <c r="E4082" s="531"/>
      <c r="F4082" s="531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2" t="str">
        <f t="shared" si="223"/>
        <v/>
      </c>
      <c r="E4083" s="531"/>
      <c r="F4083" s="531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2" t="str">
        <f t="shared" si="223"/>
        <v/>
      </c>
      <c r="E4084" s="531"/>
      <c r="F4084" s="531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2" t="str">
        <f t="shared" si="223"/>
        <v/>
      </c>
      <c r="E4085" s="531"/>
      <c r="F4085" s="531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2" t="str">
        <f t="shared" si="223"/>
        <v/>
      </c>
      <c r="E4086" s="531"/>
      <c r="F4086" s="531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2" t="str">
        <f t="shared" si="223"/>
        <v/>
      </c>
      <c r="E4087" s="531"/>
      <c r="F4087" s="531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2" t="str">
        <f t="shared" si="223"/>
        <v/>
      </c>
      <c r="E4088" s="531"/>
      <c r="F4088" s="531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2" t="str">
        <f t="shared" si="223"/>
        <v/>
      </c>
      <c r="E4089" s="531"/>
      <c r="F4089" s="531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2" t="str">
        <f t="shared" si="223"/>
        <v/>
      </c>
      <c r="E4090" s="531"/>
      <c r="F4090" s="531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2" t="str">
        <f t="shared" si="223"/>
        <v/>
      </c>
      <c r="E4091" s="531"/>
      <c r="F4091" s="531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2" t="str">
        <f t="shared" si="223"/>
        <v/>
      </c>
      <c r="E4092" s="531"/>
      <c r="F4092" s="531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2" t="str">
        <f t="shared" si="223"/>
        <v/>
      </c>
      <c r="E4093" s="531"/>
      <c r="F4093" s="531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2" t="str">
        <f t="shared" si="223"/>
        <v/>
      </c>
      <c r="E4094" s="531"/>
      <c r="F4094" s="531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2" t="str">
        <f t="shared" si="223"/>
        <v/>
      </c>
      <c r="E4095" s="531"/>
      <c r="F4095" s="531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2" t="str">
        <f t="shared" si="223"/>
        <v/>
      </c>
      <c r="E4096" s="531"/>
      <c r="F4096" s="531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2" t="str">
        <f t="shared" si="223"/>
        <v/>
      </c>
      <c r="E4097" s="531"/>
      <c r="F4097" s="531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2" t="str">
        <f t="shared" si="223"/>
        <v/>
      </c>
      <c r="E4098" s="531"/>
      <c r="F4098" s="531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2" t="str">
        <f t="shared" si="223"/>
        <v/>
      </c>
      <c r="E4099" s="531"/>
      <c r="F4099" s="531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2" t="str">
        <f t="shared" si="223"/>
        <v/>
      </c>
      <c r="E4100" s="531"/>
      <c r="F4100" s="531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2" t="str">
        <f t="shared" si="223"/>
        <v/>
      </c>
      <c r="E4101" s="531"/>
      <c r="F4101" s="531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2" t="str">
        <f t="shared" si="223"/>
        <v/>
      </c>
      <c r="E4102" s="531"/>
      <c r="F4102" s="531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2" t="str">
        <f t="shared" si="223"/>
        <v/>
      </c>
      <c r="E4103" s="531"/>
      <c r="F4103" s="531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2" t="str">
        <f t="shared" si="223"/>
        <v/>
      </c>
      <c r="E4104" s="531"/>
      <c r="F4104" s="531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2" t="str">
        <f t="shared" ref="D4105:D4168" si="226">IF(A4105&lt;&gt;"",PROPER(TEXT(A4105,"Mmmm")),"")</f>
        <v/>
      </c>
      <c r="E4105" s="531"/>
      <c r="F4105" s="531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2" t="str">
        <f t="shared" si="226"/>
        <v/>
      </c>
      <c r="E4106" s="531"/>
      <c r="F4106" s="531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2" t="str">
        <f t="shared" si="226"/>
        <v/>
      </c>
      <c r="E4107" s="531"/>
      <c r="F4107" s="531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2" t="str">
        <f t="shared" si="226"/>
        <v/>
      </c>
      <c r="E4108" s="531"/>
      <c r="F4108" s="531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2" t="str">
        <f t="shared" si="226"/>
        <v/>
      </c>
      <c r="E4109" s="531"/>
      <c r="F4109" s="531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2" t="str">
        <f t="shared" si="226"/>
        <v/>
      </c>
      <c r="E4110" s="531"/>
      <c r="F4110" s="531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2" t="str">
        <f t="shared" si="226"/>
        <v/>
      </c>
      <c r="E4111" s="531"/>
      <c r="F4111" s="531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2" t="str">
        <f t="shared" si="226"/>
        <v/>
      </c>
      <c r="E4112" s="531"/>
      <c r="F4112" s="531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2" t="str">
        <f t="shared" si="226"/>
        <v/>
      </c>
      <c r="E4113" s="531"/>
      <c r="F4113" s="531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2" t="str">
        <f t="shared" si="226"/>
        <v/>
      </c>
      <c r="E4114" s="531"/>
      <c r="F4114" s="531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2" t="str">
        <f t="shared" si="226"/>
        <v/>
      </c>
      <c r="E4115" s="531"/>
      <c r="F4115" s="531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2" t="str">
        <f t="shared" si="226"/>
        <v/>
      </c>
      <c r="E4116" s="531"/>
      <c r="F4116" s="531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2" t="str">
        <f t="shared" si="226"/>
        <v/>
      </c>
      <c r="E4117" s="531"/>
      <c r="F4117" s="531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2" t="str">
        <f t="shared" si="226"/>
        <v/>
      </c>
      <c r="E4118" s="531"/>
      <c r="F4118" s="531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2" t="str">
        <f t="shared" si="226"/>
        <v/>
      </c>
      <c r="E4119" s="531"/>
      <c r="F4119" s="531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2" t="str">
        <f t="shared" si="226"/>
        <v/>
      </c>
      <c r="E4120" s="531"/>
      <c r="F4120" s="531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2" t="str">
        <f t="shared" si="226"/>
        <v/>
      </c>
      <c r="E4121" s="531"/>
      <c r="F4121" s="531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2" t="str">
        <f t="shared" si="226"/>
        <v/>
      </c>
      <c r="E4122" s="531"/>
      <c r="F4122" s="531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2" t="str">
        <f t="shared" si="226"/>
        <v/>
      </c>
      <c r="E4123" s="531"/>
      <c r="F4123" s="531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2" t="str">
        <f t="shared" si="226"/>
        <v/>
      </c>
      <c r="E4124" s="531"/>
      <c r="F4124" s="531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2" t="str">
        <f t="shared" si="226"/>
        <v/>
      </c>
      <c r="E4125" s="531"/>
      <c r="F4125" s="531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2" t="str">
        <f t="shared" si="226"/>
        <v/>
      </c>
      <c r="E4126" s="531"/>
      <c r="F4126" s="531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2" t="str">
        <f t="shared" si="226"/>
        <v/>
      </c>
      <c r="E4127" s="531"/>
      <c r="F4127" s="531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2" t="str">
        <f t="shared" si="226"/>
        <v/>
      </c>
      <c r="E4128" s="531"/>
      <c r="F4128" s="531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2" t="str">
        <f t="shared" si="226"/>
        <v/>
      </c>
      <c r="E4129" s="531"/>
      <c r="F4129" s="531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2" t="str">
        <f t="shared" si="226"/>
        <v/>
      </c>
      <c r="E4130" s="531"/>
      <c r="F4130" s="531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2" t="str">
        <f t="shared" si="226"/>
        <v/>
      </c>
      <c r="E4131" s="531"/>
      <c r="F4131" s="531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2" t="str">
        <f t="shared" si="226"/>
        <v/>
      </c>
      <c r="E4132" s="531"/>
      <c r="F4132" s="531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2" t="str">
        <f t="shared" si="226"/>
        <v/>
      </c>
      <c r="E4133" s="531"/>
      <c r="F4133" s="531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2" t="str">
        <f t="shared" si="226"/>
        <v/>
      </c>
      <c r="E4134" s="531"/>
      <c r="F4134" s="531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2" t="str">
        <f t="shared" si="226"/>
        <v/>
      </c>
      <c r="E4135" s="531"/>
      <c r="F4135" s="531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2" t="str">
        <f t="shared" si="226"/>
        <v/>
      </c>
      <c r="E4136" s="531"/>
      <c r="F4136" s="531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2" t="str">
        <f t="shared" si="226"/>
        <v/>
      </c>
      <c r="E4137" s="531"/>
      <c r="F4137" s="531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2" t="str">
        <f t="shared" si="226"/>
        <v/>
      </c>
      <c r="E4138" s="531"/>
      <c r="F4138" s="531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2" t="str">
        <f t="shared" si="226"/>
        <v/>
      </c>
      <c r="E4139" s="531"/>
      <c r="F4139" s="531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2" t="str">
        <f t="shared" si="226"/>
        <v/>
      </c>
      <c r="E4140" s="531"/>
      <c r="F4140" s="531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2" t="str">
        <f t="shared" si="226"/>
        <v/>
      </c>
      <c r="E4141" s="531"/>
      <c r="F4141" s="531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2" t="str">
        <f t="shared" si="226"/>
        <v/>
      </c>
      <c r="E4142" s="531"/>
      <c r="F4142" s="531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2" t="str">
        <f t="shared" si="226"/>
        <v/>
      </c>
      <c r="E4143" s="531"/>
      <c r="F4143" s="531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2" t="str">
        <f t="shared" si="226"/>
        <v/>
      </c>
      <c r="E4144" s="531"/>
      <c r="F4144" s="531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2" t="str">
        <f t="shared" si="226"/>
        <v/>
      </c>
      <c r="E4145" s="531"/>
      <c r="F4145" s="531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2" t="str">
        <f t="shared" si="226"/>
        <v/>
      </c>
      <c r="E4146" s="531"/>
      <c r="F4146" s="531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2" t="str">
        <f t="shared" si="226"/>
        <v/>
      </c>
      <c r="E4147" s="531"/>
      <c r="F4147" s="531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2" t="str">
        <f t="shared" si="226"/>
        <v/>
      </c>
      <c r="E4148" s="531"/>
      <c r="F4148" s="531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2" t="str">
        <f t="shared" si="226"/>
        <v/>
      </c>
      <c r="E4149" s="531"/>
      <c r="F4149" s="531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2" t="str">
        <f t="shared" si="226"/>
        <v/>
      </c>
      <c r="E4150" s="531"/>
      <c r="F4150" s="531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2" t="str">
        <f t="shared" si="226"/>
        <v/>
      </c>
      <c r="E4151" s="531"/>
      <c r="F4151" s="531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2" t="str">
        <f t="shared" si="226"/>
        <v/>
      </c>
      <c r="E4152" s="531"/>
      <c r="F4152" s="531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2" t="str">
        <f t="shared" si="226"/>
        <v/>
      </c>
      <c r="E4153" s="531"/>
      <c r="F4153" s="531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2" t="str">
        <f t="shared" si="226"/>
        <v/>
      </c>
      <c r="E4154" s="531"/>
      <c r="F4154" s="531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2" t="str">
        <f t="shared" si="226"/>
        <v/>
      </c>
      <c r="E4155" s="531"/>
      <c r="F4155" s="531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2" t="str">
        <f t="shared" si="226"/>
        <v/>
      </c>
      <c r="E4156" s="531"/>
      <c r="F4156" s="531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2" t="str">
        <f t="shared" si="226"/>
        <v/>
      </c>
      <c r="E4157" s="531"/>
      <c r="F4157" s="531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2" t="str">
        <f t="shared" si="226"/>
        <v/>
      </c>
      <c r="E4158" s="531"/>
      <c r="F4158" s="531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2" t="str">
        <f t="shared" si="226"/>
        <v/>
      </c>
      <c r="E4159" s="531"/>
      <c r="F4159" s="531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2" t="str">
        <f t="shared" si="226"/>
        <v/>
      </c>
      <c r="E4160" s="531"/>
      <c r="F4160" s="531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2" t="str">
        <f t="shared" si="226"/>
        <v/>
      </c>
      <c r="E4161" s="531"/>
      <c r="F4161" s="531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2" t="str">
        <f t="shared" si="226"/>
        <v/>
      </c>
      <c r="E4162" s="531"/>
      <c r="F4162" s="531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2" t="str">
        <f t="shared" si="226"/>
        <v/>
      </c>
      <c r="E4163" s="531"/>
      <c r="F4163" s="531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2" t="str">
        <f t="shared" si="226"/>
        <v/>
      </c>
      <c r="E4164" s="531"/>
      <c r="F4164" s="531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2" t="str">
        <f t="shared" si="226"/>
        <v/>
      </c>
      <c r="E4165" s="531"/>
      <c r="F4165" s="531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2" t="str">
        <f t="shared" si="226"/>
        <v/>
      </c>
      <c r="E4166" s="531"/>
      <c r="F4166" s="531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2" t="str">
        <f t="shared" si="226"/>
        <v/>
      </c>
      <c r="E4167" s="531"/>
      <c r="F4167" s="531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2" t="str">
        <f t="shared" si="226"/>
        <v/>
      </c>
      <c r="E4168" s="531"/>
      <c r="F4168" s="531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2" t="str">
        <f t="shared" ref="D4169:D4232" si="229">IF(A4169&lt;&gt;"",PROPER(TEXT(A4169,"Mmmm")),"")</f>
        <v/>
      </c>
      <c r="E4169" s="531"/>
      <c r="F4169" s="531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2" t="str">
        <f t="shared" si="229"/>
        <v/>
      </c>
      <c r="E4170" s="531"/>
      <c r="F4170" s="531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2" t="str">
        <f t="shared" si="229"/>
        <v/>
      </c>
      <c r="E4171" s="531"/>
      <c r="F4171" s="531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2" t="str">
        <f t="shared" si="229"/>
        <v/>
      </c>
      <c r="E4172" s="531"/>
      <c r="F4172" s="531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2" t="str">
        <f t="shared" si="229"/>
        <v/>
      </c>
      <c r="E4173" s="531"/>
      <c r="F4173" s="531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2" t="str">
        <f t="shared" si="229"/>
        <v/>
      </c>
      <c r="E4174" s="531"/>
      <c r="F4174" s="531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2" t="str">
        <f t="shared" si="229"/>
        <v/>
      </c>
      <c r="E4175" s="531"/>
      <c r="F4175" s="531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2" t="str">
        <f t="shared" si="229"/>
        <v/>
      </c>
      <c r="E4176" s="531"/>
      <c r="F4176" s="531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2" t="str">
        <f t="shared" si="229"/>
        <v/>
      </c>
      <c r="E4177" s="531"/>
      <c r="F4177" s="531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2" t="str">
        <f t="shared" si="229"/>
        <v/>
      </c>
      <c r="E4178" s="531"/>
      <c r="F4178" s="531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2" t="str">
        <f t="shared" si="229"/>
        <v/>
      </c>
      <c r="E4179" s="531"/>
      <c r="F4179" s="531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2" t="str">
        <f t="shared" si="229"/>
        <v/>
      </c>
      <c r="E4180" s="531"/>
      <c r="F4180" s="531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2" t="str">
        <f t="shared" si="229"/>
        <v/>
      </c>
      <c r="E4181" s="531"/>
      <c r="F4181" s="531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2" t="str">
        <f t="shared" si="229"/>
        <v/>
      </c>
      <c r="E4182" s="531"/>
      <c r="F4182" s="531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2" t="str">
        <f t="shared" si="229"/>
        <v/>
      </c>
      <c r="E4183" s="531"/>
      <c r="F4183" s="531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2" t="str">
        <f t="shared" si="229"/>
        <v/>
      </c>
      <c r="E4184" s="531"/>
      <c r="F4184" s="531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2" t="str">
        <f t="shared" si="229"/>
        <v/>
      </c>
      <c r="E4185" s="531"/>
      <c r="F4185" s="531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2" t="str">
        <f t="shared" si="229"/>
        <v/>
      </c>
      <c r="E4186" s="531"/>
      <c r="F4186" s="531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2" t="str">
        <f t="shared" si="229"/>
        <v/>
      </c>
      <c r="E4187" s="531"/>
      <c r="F4187" s="531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2" t="str">
        <f t="shared" si="229"/>
        <v/>
      </c>
      <c r="E4188" s="531"/>
      <c r="F4188" s="531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2" t="str">
        <f t="shared" si="229"/>
        <v/>
      </c>
      <c r="E4189" s="531"/>
      <c r="F4189" s="531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2" t="str">
        <f t="shared" si="229"/>
        <v/>
      </c>
      <c r="E4190" s="531"/>
      <c r="F4190" s="531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2" t="str">
        <f t="shared" si="229"/>
        <v/>
      </c>
      <c r="E4191" s="531"/>
      <c r="F4191" s="531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2" t="str">
        <f t="shared" si="229"/>
        <v/>
      </c>
      <c r="E4192" s="531"/>
      <c r="F4192" s="531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2" t="str">
        <f t="shared" si="229"/>
        <v/>
      </c>
      <c r="E4193" s="531"/>
      <c r="F4193" s="531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2" t="str">
        <f t="shared" si="229"/>
        <v/>
      </c>
      <c r="E4194" s="531"/>
      <c r="F4194" s="531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2" t="str">
        <f t="shared" si="229"/>
        <v/>
      </c>
      <c r="E4195" s="531"/>
      <c r="F4195" s="531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2" t="str">
        <f t="shared" si="229"/>
        <v/>
      </c>
      <c r="E4196" s="531"/>
      <c r="F4196" s="531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2" t="str">
        <f t="shared" si="229"/>
        <v/>
      </c>
      <c r="E4197" s="531"/>
      <c r="F4197" s="531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2" t="str">
        <f t="shared" si="229"/>
        <v/>
      </c>
      <c r="E4198" s="531"/>
      <c r="F4198" s="531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2" t="str">
        <f t="shared" si="229"/>
        <v/>
      </c>
      <c r="E4199" s="531"/>
      <c r="F4199" s="531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2" t="str">
        <f t="shared" si="229"/>
        <v/>
      </c>
      <c r="E4200" s="531"/>
      <c r="F4200" s="531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2" t="str">
        <f t="shared" si="229"/>
        <v/>
      </c>
      <c r="E4201" s="531"/>
      <c r="F4201" s="531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2" t="str">
        <f t="shared" si="229"/>
        <v/>
      </c>
      <c r="E4202" s="531"/>
      <c r="F4202" s="531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2" t="str">
        <f t="shared" si="229"/>
        <v/>
      </c>
      <c r="E4203" s="531"/>
      <c r="F4203" s="531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2" t="str">
        <f t="shared" si="229"/>
        <v/>
      </c>
      <c r="E4204" s="531"/>
      <c r="F4204" s="531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2" t="str">
        <f t="shared" si="229"/>
        <v/>
      </c>
      <c r="E4205" s="531"/>
      <c r="F4205" s="531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2" t="str">
        <f t="shared" si="229"/>
        <v/>
      </c>
      <c r="E4206" s="531"/>
      <c r="F4206" s="531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2" t="str">
        <f t="shared" si="229"/>
        <v/>
      </c>
      <c r="E4207" s="531"/>
      <c r="F4207" s="531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2" t="str">
        <f t="shared" si="229"/>
        <v/>
      </c>
      <c r="E4208" s="531"/>
      <c r="F4208" s="531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2" t="str">
        <f t="shared" si="229"/>
        <v/>
      </c>
      <c r="E4209" s="531"/>
      <c r="F4209" s="531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2" t="str">
        <f t="shared" si="229"/>
        <v/>
      </c>
      <c r="E4210" s="531"/>
      <c r="F4210" s="531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2" t="str">
        <f t="shared" si="229"/>
        <v/>
      </c>
      <c r="E4211" s="531"/>
      <c r="F4211" s="531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2" t="str">
        <f t="shared" si="229"/>
        <v/>
      </c>
      <c r="E4212" s="531"/>
      <c r="F4212" s="531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2" t="str">
        <f t="shared" si="229"/>
        <v/>
      </c>
      <c r="E4213" s="531"/>
      <c r="F4213" s="531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2" t="str">
        <f t="shared" si="229"/>
        <v/>
      </c>
      <c r="E4214" s="531"/>
      <c r="F4214" s="531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2" t="str">
        <f t="shared" si="229"/>
        <v/>
      </c>
      <c r="E4215" s="531"/>
      <c r="F4215" s="531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2" t="str">
        <f t="shared" si="229"/>
        <v/>
      </c>
      <c r="E4216" s="531"/>
      <c r="F4216" s="531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2" t="str">
        <f t="shared" si="229"/>
        <v/>
      </c>
      <c r="E4217" s="531"/>
      <c r="F4217" s="531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2" t="str">
        <f t="shared" si="229"/>
        <v/>
      </c>
      <c r="E4218" s="531"/>
      <c r="F4218" s="531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2" t="str">
        <f t="shared" si="229"/>
        <v/>
      </c>
      <c r="E4219" s="531"/>
      <c r="F4219" s="531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2" t="str">
        <f t="shared" si="229"/>
        <v/>
      </c>
      <c r="E4220" s="531"/>
      <c r="F4220" s="531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2" t="str">
        <f t="shared" si="229"/>
        <v/>
      </c>
      <c r="E4221" s="531"/>
      <c r="F4221" s="531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2" t="str">
        <f t="shared" si="229"/>
        <v/>
      </c>
      <c r="E4222" s="531"/>
      <c r="F4222" s="531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2" t="str">
        <f t="shared" si="229"/>
        <v/>
      </c>
      <c r="E4223" s="531"/>
      <c r="F4223" s="531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2" t="str">
        <f t="shared" si="229"/>
        <v/>
      </c>
      <c r="E4224" s="531"/>
      <c r="F4224" s="531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2" t="str">
        <f t="shared" si="229"/>
        <v/>
      </c>
      <c r="E4225" s="531"/>
      <c r="F4225" s="531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2" t="str">
        <f t="shared" si="229"/>
        <v/>
      </c>
      <c r="E4226" s="531"/>
      <c r="F4226" s="531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2" t="str">
        <f t="shared" si="229"/>
        <v/>
      </c>
      <c r="E4227" s="531"/>
      <c r="F4227" s="531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2" t="str">
        <f t="shared" si="229"/>
        <v/>
      </c>
      <c r="E4228" s="531"/>
      <c r="F4228" s="531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2" t="str">
        <f t="shared" si="229"/>
        <v/>
      </c>
      <c r="E4229" s="531"/>
      <c r="F4229" s="531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2" t="str">
        <f t="shared" si="229"/>
        <v/>
      </c>
      <c r="E4230" s="531"/>
      <c r="F4230" s="531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2" t="str">
        <f t="shared" si="229"/>
        <v/>
      </c>
      <c r="E4231" s="531"/>
      <c r="F4231" s="531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2" t="str">
        <f t="shared" si="229"/>
        <v/>
      </c>
      <c r="E4232" s="531"/>
      <c r="F4232" s="531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2" t="str">
        <f t="shared" ref="D4233:D4296" si="232">IF(A4233&lt;&gt;"",PROPER(TEXT(A4233,"Mmmm")),"")</f>
        <v/>
      </c>
      <c r="E4233" s="531"/>
      <c r="F4233" s="531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2" t="str">
        <f t="shared" si="232"/>
        <v/>
      </c>
      <c r="E4234" s="531"/>
      <c r="F4234" s="531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2" t="str">
        <f t="shared" si="232"/>
        <v/>
      </c>
      <c r="E4235" s="531"/>
      <c r="F4235" s="531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2" t="str">
        <f t="shared" si="232"/>
        <v/>
      </c>
      <c r="E4236" s="531"/>
      <c r="F4236" s="531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2" t="str">
        <f t="shared" si="232"/>
        <v/>
      </c>
      <c r="E4237" s="531"/>
      <c r="F4237" s="531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2" t="str">
        <f t="shared" si="232"/>
        <v/>
      </c>
      <c r="E4238" s="531"/>
      <c r="F4238" s="531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2" t="str">
        <f t="shared" si="232"/>
        <v/>
      </c>
      <c r="E4239" s="531"/>
      <c r="F4239" s="531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2" t="str">
        <f t="shared" si="232"/>
        <v/>
      </c>
      <c r="E4240" s="531"/>
      <c r="F4240" s="531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2" t="str">
        <f t="shared" si="232"/>
        <v/>
      </c>
      <c r="E4241" s="531"/>
      <c r="F4241" s="531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2" t="str">
        <f t="shared" si="232"/>
        <v/>
      </c>
      <c r="E4242" s="531"/>
      <c r="F4242" s="531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2" t="str">
        <f t="shared" si="232"/>
        <v/>
      </c>
      <c r="E4243" s="531"/>
      <c r="F4243" s="531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2" t="str">
        <f t="shared" si="232"/>
        <v/>
      </c>
      <c r="E4244" s="531"/>
      <c r="F4244" s="531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2" t="str">
        <f t="shared" si="232"/>
        <v/>
      </c>
      <c r="E4245" s="531"/>
      <c r="F4245" s="531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2" t="str">
        <f t="shared" si="232"/>
        <v/>
      </c>
      <c r="E4246" s="531"/>
      <c r="F4246" s="531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2" t="str">
        <f t="shared" si="232"/>
        <v/>
      </c>
      <c r="E4247" s="531"/>
      <c r="F4247" s="531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2" t="str">
        <f t="shared" si="232"/>
        <v/>
      </c>
      <c r="E4248" s="531"/>
      <c r="F4248" s="531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2" t="str">
        <f t="shared" si="232"/>
        <v/>
      </c>
      <c r="E4249" s="531"/>
      <c r="F4249" s="531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2" t="str">
        <f t="shared" si="232"/>
        <v/>
      </c>
      <c r="E4250" s="531"/>
      <c r="F4250" s="531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2" t="str">
        <f t="shared" si="232"/>
        <v/>
      </c>
      <c r="E4251" s="531"/>
      <c r="F4251" s="531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2" t="str">
        <f t="shared" si="232"/>
        <v/>
      </c>
      <c r="E4252" s="531"/>
      <c r="F4252" s="531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2" t="str">
        <f t="shared" si="232"/>
        <v/>
      </c>
      <c r="E4253" s="531"/>
      <c r="F4253" s="531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2" t="str">
        <f t="shared" si="232"/>
        <v/>
      </c>
      <c r="E4254" s="531"/>
      <c r="F4254" s="531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2" t="str">
        <f t="shared" si="232"/>
        <v/>
      </c>
      <c r="E4255" s="531"/>
      <c r="F4255" s="531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2" t="str">
        <f t="shared" si="232"/>
        <v/>
      </c>
      <c r="E4256" s="531"/>
      <c r="F4256" s="531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2" t="str">
        <f t="shared" si="232"/>
        <v/>
      </c>
      <c r="E4257" s="531"/>
      <c r="F4257" s="531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2" t="str">
        <f t="shared" si="232"/>
        <v/>
      </c>
      <c r="E4258" s="531"/>
      <c r="F4258" s="531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2" t="str">
        <f t="shared" si="232"/>
        <v/>
      </c>
      <c r="E4259" s="531"/>
      <c r="F4259" s="531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2" t="str">
        <f t="shared" si="232"/>
        <v/>
      </c>
      <c r="E4260" s="531"/>
      <c r="F4260" s="531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2" t="str">
        <f t="shared" si="232"/>
        <v/>
      </c>
      <c r="E4261" s="531"/>
      <c r="F4261" s="531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2" t="str">
        <f t="shared" si="232"/>
        <v/>
      </c>
      <c r="E4262" s="531"/>
      <c r="F4262" s="531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2" t="str">
        <f t="shared" si="232"/>
        <v/>
      </c>
      <c r="E4263" s="531"/>
      <c r="F4263" s="531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2" t="str">
        <f t="shared" si="232"/>
        <v/>
      </c>
      <c r="E4264" s="531"/>
      <c r="F4264" s="531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2" t="str">
        <f t="shared" si="232"/>
        <v/>
      </c>
      <c r="E4265" s="531"/>
      <c r="F4265" s="531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2" t="str">
        <f t="shared" si="232"/>
        <v/>
      </c>
      <c r="E4266" s="531"/>
      <c r="F4266" s="531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2" t="str">
        <f t="shared" si="232"/>
        <v/>
      </c>
      <c r="E4267" s="531"/>
      <c r="F4267" s="531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2" t="str">
        <f t="shared" si="232"/>
        <v/>
      </c>
      <c r="E4268" s="531"/>
      <c r="F4268" s="531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2" t="str">
        <f t="shared" si="232"/>
        <v/>
      </c>
      <c r="E4269" s="531"/>
      <c r="F4269" s="531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2" t="str">
        <f t="shared" si="232"/>
        <v/>
      </c>
      <c r="E4270" s="531"/>
      <c r="F4270" s="531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2" t="str">
        <f t="shared" si="232"/>
        <v/>
      </c>
      <c r="E4271" s="531"/>
      <c r="F4271" s="531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2" t="str">
        <f t="shared" si="232"/>
        <v/>
      </c>
      <c r="E4272" s="531"/>
      <c r="F4272" s="531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2" t="str">
        <f t="shared" si="232"/>
        <v/>
      </c>
      <c r="E4273" s="531"/>
      <c r="F4273" s="531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2" t="str">
        <f t="shared" si="232"/>
        <v/>
      </c>
      <c r="E4274" s="531"/>
      <c r="F4274" s="531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2" t="str">
        <f t="shared" si="232"/>
        <v/>
      </c>
      <c r="E4275" s="531"/>
      <c r="F4275" s="531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2" t="str">
        <f t="shared" si="232"/>
        <v/>
      </c>
      <c r="E4276" s="531"/>
      <c r="F4276" s="531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2" t="str">
        <f t="shared" si="232"/>
        <v/>
      </c>
      <c r="E4277" s="531"/>
      <c r="F4277" s="531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2" t="str">
        <f t="shared" si="232"/>
        <v/>
      </c>
      <c r="E4278" s="531"/>
      <c r="F4278" s="531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2" t="str">
        <f t="shared" si="232"/>
        <v/>
      </c>
      <c r="E4279" s="531"/>
      <c r="F4279" s="531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2" t="str">
        <f t="shared" si="232"/>
        <v/>
      </c>
      <c r="E4280" s="531"/>
      <c r="F4280" s="531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2" t="str">
        <f t="shared" si="232"/>
        <v/>
      </c>
      <c r="E4281" s="531"/>
      <c r="F4281" s="531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2" t="str">
        <f t="shared" si="232"/>
        <v/>
      </c>
      <c r="E4282" s="531"/>
      <c r="F4282" s="531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2" t="str">
        <f t="shared" si="232"/>
        <v/>
      </c>
      <c r="E4283" s="531"/>
      <c r="F4283" s="531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2" t="str">
        <f t="shared" si="232"/>
        <v/>
      </c>
      <c r="E4284" s="531"/>
      <c r="F4284" s="531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2" t="str">
        <f t="shared" si="232"/>
        <v/>
      </c>
      <c r="E4285" s="531"/>
      <c r="F4285" s="531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2" t="str">
        <f t="shared" si="232"/>
        <v/>
      </c>
      <c r="E4286" s="531"/>
      <c r="F4286" s="531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2" t="str">
        <f t="shared" si="232"/>
        <v/>
      </c>
      <c r="E4287" s="531"/>
      <c r="F4287" s="531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2" t="str">
        <f t="shared" si="232"/>
        <v/>
      </c>
      <c r="E4288" s="531"/>
      <c r="F4288" s="531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2" t="str">
        <f t="shared" si="232"/>
        <v/>
      </c>
      <c r="E4289" s="531"/>
      <c r="F4289" s="531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2" t="str">
        <f t="shared" si="232"/>
        <v/>
      </c>
      <c r="E4290" s="531"/>
      <c r="F4290" s="531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2" t="str">
        <f t="shared" si="232"/>
        <v/>
      </c>
      <c r="E4291" s="531"/>
      <c r="F4291" s="531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2" t="str">
        <f t="shared" si="232"/>
        <v/>
      </c>
      <c r="E4292" s="531"/>
      <c r="F4292" s="531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2" t="str">
        <f t="shared" si="232"/>
        <v/>
      </c>
      <c r="E4293" s="531"/>
      <c r="F4293" s="531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2" t="str">
        <f t="shared" si="232"/>
        <v/>
      </c>
      <c r="E4294" s="531"/>
      <c r="F4294" s="531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2" t="str">
        <f t="shared" si="232"/>
        <v/>
      </c>
      <c r="E4295" s="531"/>
      <c r="F4295" s="531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2" t="str">
        <f t="shared" si="232"/>
        <v/>
      </c>
      <c r="E4296" s="531"/>
      <c r="F4296" s="531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2" t="str">
        <f t="shared" ref="D4297:D4360" si="235">IF(A4297&lt;&gt;"",PROPER(TEXT(A4297,"Mmmm")),"")</f>
        <v/>
      </c>
      <c r="E4297" s="531"/>
      <c r="F4297" s="531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2" t="str">
        <f t="shared" si="235"/>
        <v/>
      </c>
      <c r="E4298" s="531"/>
      <c r="F4298" s="531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2" t="str">
        <f t="shared" si="235"/>
        <v/>
      </c>
      <c r="E4299" s="531"/>
      <c r="F4299" s="531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2" t="str">
        <f t="shared" si="235"/>
        <v/>
      </c>
      <c r="E4300" s="531"/>
      <c r="F4300" s="531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2" t="str">
        <f t="shared" si="235"/>
        <v/>
      </c>
      <c r="E4301" s="531"/>
      <c r="F4301" s="531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2" t="str">
        <f t="shared" si="235"/>
        <v/>
      </c>
      <c r="E4302" s="531"/>
      <c r="F4302" s="531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2" t="str">
        <f t="shared" si="235"/>
        <v/>
      </c>
      <c r="E4303" s="531"/>
      <c r="F4303" s="531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2" t="str">
        <f t="shared" si="235"/>
        <v/>
      </c>
      <c r="E4304" s="531"/>
      <c r="F4304" s="531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2" t="str">
        <f t="shared" si="235"/>
        <v/>
      </c>
      <c r="E4305" s="531"/>
      <c r="F4305" s="531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2" t="str">
        <f t="shared" si="235"/>
        <v/>
      </c>
      <c r="E4306" s="531"/>
      <c r="F4306" s="531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2" t="str">
        <f t="shared" si="235"/>
        <v/>
      </c>
      <c r="E4307" s="531"/>
      <c r="F4307" s="531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2" t="str">
        <f t="shared" si="235"/>
        <v/>
      </c>
      <c r="E4308" s="531"/>
      <c r="F4308" s="531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2" t="str">
        <f t="shared" si="235"/>
        <v/>
      </c>
      <c r="E4309" s="531"/>
      <c r="F4309" s="531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2" t="str">
        <f t="shared" si="235"/>
        <v/>
      </c>
      <c r="E4310" s="531"/>
      <c r="F4310" s="531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2" t="str">
        <f t="shared" si="235"/>
        <v/>
      </c>
      <c r="E4311" s="531"/>
      <c r="F4311" s="531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2" t="str">
        <f t="shared" si="235"/>
        <v/>
      </c>
      <c r="E4312" s="531"/>
      <c r="F4312" s="531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2" t="str">
        <f t="shared" si="235"/>
        <v/>
      </c>
      <c r="E4313" s="531"/>
      <c r="F4313" s="531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2" t="str">
        <f t="shared" si="235"/>
        <v/>
      </c>
      <c r="E4314" s="531"/>
      <c r="F4314" s="531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2" t="str">
        <f t="shared" si="235"/>
        <v/>
      </c>
      <c r="E4315" s="531"/>
      <c r="F4315" s="531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2" t="str">
        <f t="shared" si="235"/>
        <v/>
      </c>
      <c r="E4316" s="531"/>
      <c r="F4316" s="531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2" t="str">
        <f t="shared" si="235"/>
        <v/>
      </c>
      <c r="E4317" s="531"/>
      <c r="F4317" s="531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2" t="str">
        <f t="shared" si="235"/>
        <v/>
      </c>
      <c r="E4318" s="531"/>
      <c r="F4318" s="531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2" t="str">
        <f t="shared" si="235"/>
        <v/>
      </c>
      <c r="E4319" s="531"/>
      <c r="F4319" s="531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2" t="str">
        <f t="shared" si="235"/>
        <v/>
      </c>
      <c r="E4320" s="531"/>
      <c r="F4320" s="531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2" t="str">
        <f t="shared" si="235"/>
        <v/>
      </c>
      <c r="E4321" s="531"/>
      <c r="F4321" s="531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2" t="str">
        <f t="shared" si="235"/>
        <v/>
      </c>
      <c r="E4322" s="531"/>
      <c r="F4322" s="531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2" t="str">
        <f t="shared" si="235"/>
        <v/>
      </c>
      <c r="E4323" s="531"/>
      <c r="F4323" s="531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2" t="str">
        <f t="shared" si="235"/>
        <v/>
      </c>
      <c r="E4324" s="531"/>
      <c r="F4324" s="531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2" t="str">
        <f t="shared" si="235"/>
        <v/>
      </c>
      <c r="E4325" s="531"/>
      <c r="F4325" s="531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2" t="str">
        <f t="shared" si="235"/>
        <v/>
      </c>
      <c r="E4326" s="531"/>
      <c r="F4326" s="531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2" t="str">
        <f t="shared" si="235"/>
        <v/>
      </c>
      <c r="E4327" s="531"/>
      <c r="F4327" s="531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2" t="str">
        <f t="shared" si="235"/>
        <v/>
      </c>
      <c r="E4328" s="531"/>
      <c r="F4328" s="531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2" t="str">
        <f t="shared" si="235"/>
        <v/>
      </c>
      <c r="E4329" s="531"/>
      <c r="F4329" s="531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2" t="str">
        <f t="shared" si="235"/>
        <v/>
      </c>
      <c r="E4330" s="531"/>
      <c r="F4330" s="531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2" t="str">
        <f t="shared" si="235"/>
        <v/>
      </c>
      <c r="E4331" s="531"/>
      <c r="F4331" s="531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2" t="str">
        <f t="shared" si="235"/>
        <v/>
      </c>
      <c r="E4332" s="531"/>
      <c r="F4332" s="531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2" t="str">
        <f t="shared" si="235"/>
        <v/>
      </c>
      <c r="E4333" s="531"/>
      <c r="F4333" s="531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2" t="str">
        <f t="shared" si="235"/>
        <v/>
      </c>
      <c r="E4334" s="531"/>
      <c r="F4334" s="531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2" t="str">
        <f t="shared" si="235"/>
        <v/>
      </c>
      <c r="E4335" s="531"/>
      <c r="F4335" s="531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2" t="str">
        <f t="shared" si="235"/>
        <v/>
      </c>
      <c r="E4336" s="531"/>
      <c r="F4336" s="531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2" t="str">
        <f t="shared" si="235"/>
        <v/>
      </c>
      <c r="E4337" s="531"/>
      <c r="F4337" s="531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2" t="str">
        <f t="shared" si="235"/>
        <v/>
      </c>
      <c r="E4338" s="531"/>
      <c r="F4338" s="531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2" t="str">
        <f t="shared" si="235"/>
        <v/>
      </c>
      <c r="E4339" s="531"/>
      <c r="F4339" s="531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2" t="str">
        <f t="shared" si="235"/>
        <v/>
      </c>
      <c r="E4340" s="531"/>
      <c r="F4340" s="531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2" t="str">
        <f t="shared" si="235"/>
        <v/>
      </c>
      <c r="E4341" s="531"/>
      <c r="F4341" s="531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2" t="str">
        <f t="shared" si="235"/>
        <v/>
      </c>
      <c r="E4342" s="531"/>
      <c r="F4342" s="531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2" t="str">
        <f t="shared" si="235"/>
        <v/>
      </c>
      <c r="E4343" s="531"/>
      <c r="F4343" s="531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2" t="str">
        <f t="shared" si="235"/>
        <v/>
      </c>
      <c r="E4344" s="531"/>
      <c r="F4344" s="531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2" t="str">
        <f t="shared" si="235"/>
        <v/>
      </c>
      <c r="E4345" s="531"/>
      <c r="F4345" s="531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2" t="str">
        <f t="shared" si="235"/>
        <v/>
      </c>
      <c r="E4346" s="531"/>
      <c r="F4346" s="531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2" t="str">
        <f t="shared" si="235"/>
        <v/>
      </c>
      <c r="E4347" s="531"/>
      <c r="F4347" s="531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2" t="str">
        <f t="shared" si="235"/>
        <v/>
      </c>
      <c r="E4348" s="531"/>
      <c r="F4348" s="531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2" t="str">
        <f t="shared" si="235"/>
        <v/>
      </c>
      <c r="E4349" s="531"/>
      <c r="F4349" s="531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2" t="str">
        <f t="shared" si="235"/>
        <v/>
      </c>
      <c r="E4350" s="531"/>
      <c r="F4350" s="531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2" t="str">
        <f t="shared" si="235"/>
        <v/>
      </c>
      <c r="E4351" s="531"/>
      <c r="F4351" s="531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2" t="str">
        <f t="shared" si="235"/>
        <v/>
      </c>
      <c r="E4352" s="531"/>
      <c r="F4352" s="531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2" t="str">
        <f t="shared" si="235"/>
        <v/>
      </c>
      <c r="E4353" s="531"/>
      <c r="F4353" s="531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2" t="str">
        <f t="shared" si="235"/>
        <v/>
      </c>
      <c r="E4354" s="531"/>
      <c r="F4354" s="531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2" t="str">
        <f t="shared" si="235"/>
        <v/>
      </c>
      <c r="E4355" s="531"/>
      <c r="F4355" s="531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2" t="str">
        <f t="shared" si="235"/>
        <v/>
      </c>
      <c r="E4356" s="531"/>
      <c r="F4356" s="531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2" t="str">
        <f t="shared" si="235"/>
        <v/>
      </c>
      <c r="E4357" s="531"/>
      <c r="F4357" s="531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2" t="str">
        <f t="shared" si="235"/>
        <v/>
      </c>
      <c r="E4358" s="531"/>
      <c r="F4358" s="531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2" t="str">
        <f t="shared" si="235"/>
        <v/>
      </c>
      <c r="E4359" s="531"/>
      <c r="F4359" s="531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2" t="str">
        <f t="shared" si="235"/>
        <v/>
      </c>
      <c r="E4360" s="531"/>
      <c r="F4360" s="531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2" t="str">
        <f t="shared" ref="D4361:D4424" si="238">IF(A4361&lt;&gt;"",PROPER(TEXT(A4361,"Mmmm")),"")</f>
        <v/>
      </c>
      <c r="E4361" s="531"/>
      <c r="F4361" s="531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2" t="str">
        <f t="shared" si="238"/>
        <v/>
      </c>
      <c r="E4362" s="531"/>
      <c r="F4362" s="531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2" t="str">
        <f t="shared" si="238"/>
        <v/>
      </c>
      <c r="E4363" s="531"/>
      <c r="F4363" s="531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2" t="str">
        <f t="shared" si="238"/>
        <v/>
      </c>
      <c r="E4364" s="531"/>
      <c r="F4364" s="531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2" t="str">
        <f t="shared" si="238"/>
        <v/>
      </c>
      <c r="E4365" s="531"/>
      <c r="F4365" s="531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2" t="str">
        <f t="shared" si="238"/>
        <v/>
      </c>
      <c r="E4366" s="531"/>
      <c r="F4366" s="531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2" t="str">
        <f t="shared" si="238"/>
        <v/>
      </c>
      <c r="E4367" s="531"/>
      <c r="F4367" s="531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2" t="str">
        <f t="shared" si="238"/>
        <v/>
      </c>
      <c r="E4368" s="531"/>
      <c r="F4368" s="531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2" t="str">
        <f t="shared" si="238"/>
        <v/>
      </c>
      <c r="E4369" s="531"/>
      <c r="F4369" s="531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2" t="str">
        <f t="shared" si="238"/>
        <v/>
      </c>
      <c r="E4370" s="531"/>
      <c r="F4370" s="531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2" t="str">
        <f t="shared" si="238"/>
        <v/>
      </c>
      <c r="E4371" s="531"/>
      <c r="F4371" s="531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2" t="str">
        <f t="shared" si="238"/>
        <v/>
      </c>
      <c r="E4372" s="531"/>
      <c r="F4372" s="531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2" t="str">
        <f t="shared" si="238"/>
        <v/>
      </c>
      <c r="E4373" s="531"/>
      <c r="F4373" s="531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2" t="str">
        <f t="shared" si="238"/>
        <v/>
      </c>
      <c r="E4374" s="531"/>
      <c r="F4374" s="531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2" t="str">
        <f t="shared" si="238"/>
        <v/>
      </c>
      <c r="E4375" s="531"/>
      <c r="F4375" s="531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2" t="str">
        <f t="shared" si="238"/>
        <v/>
      </c>
      <c r="E4376" s="531"/>
      <c r="F4376" s="531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2" t="str">
        <f t="shared" si="238"/>
        <v/>
      </c>
      <c r="E4377" s="531"/>
      <c r="F4377" s="531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2" t="str">
        <f t="shared" si="238"/>
        <v/>
      </c>
      <c r="E4378" s="531"/>
      <c r="F4378" s="531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2" t="str">
        <f t="shared" si="238"/>
        <v/>
      </c>
      <c r="E4379" s="531"/>
      <c r="F4379" s="531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2" t="str">
        <f t="shared" si="238"/>
        <v/>
      </c>
      <c r="E4380" s="531"/>
      <c r="F4380" s="531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2" t="str">
        <f t="shared" si="238"/>
        <v/>
      </c>
      <c r="E4381" s="531"/>
      <c r="F4381" s="531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2" t="str">
        <f t="shared" si="238"/>
        <v/>
      </c>
      <c r="E4382" s="531"/>
      <c r="F4382" s="531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2" t="str">
        <f t="shared" si="238"/>
        <v/>
      </c>
      <c r="E4383" s="531"/>
      <c r="F4383" s="531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2" t="str">
        <f t="shared" si="238"/>
        <v/>
      </c>
      <c r="E4384" s="531"/>
      <c r="F4384" s="531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2" t="str">
        <f t="shared" si="238"/>
        <v/>
      </c>
      <c r="E4385" s="531"/>
      <c r="F4385" s="531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2" t="str">
        <f t="shared" si="238"/>
        <v/>
      </c>
      <c r="E4386" s="531"/>
      <c r="F4386" s="531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2" t="str">
        <f t="shared" si="238"/>
        <v/>
      </c>
      <c r="E4387" s="531"/>
      <c r="F4387" s="531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2" t="str">
        <f t="shared" si="238"/>
        <v/>
      </c>
      <c r="E4388" s="531"/>
      <c r="F4388" s="531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2" t="str">
        <f t="shared" si="238"/>
        <v/>
      </c>
      <c r="E4389" s="531"/>
      <c r="F4389" s="531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2" t="str">
        <f t="shared" si="238"/>
        <v/>
      </c>
      <c r="E4390" s="531"/>
      <c r="F4390" s="531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2" t="str">
        <f t="shared" si="238"/>
        <v/>
      </c>
      <c r="E4391" s="531"/>
      <c r="F4391" s="531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2" t="str">
        <f t="shared" si="238"/>
        <v/>
      </c>
      <c r="E4392" s="531"/>
      <c r="F4392" s="531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2" t="str">
        <f t="shared" si="238"/>
        <v/>
      </c>
      <c r="E4393" s="531"/>
      <c r="F4393" s="531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2" t="str">
        <f t="shared" si="238"/>
        <v/>
      </c>
      <c r="E4394" s="531"/>
      <c r="F4394" s="531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2" t="str">
        <f t="shared" si="238"/>
        <v/>
      </c>
      <c r="E4395" s="531"/>
      <c r="F4395" s="531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2" t="str">
        <f t="shared" si="238"/>
        <v/>
      </c>
      <c r="E4396" s="531"/>
      <c r="F4396" s="531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2" t="str">
        <f t="shared" si="238"/>
        <v/>
      </c>
      <c r="E4397" s="531"/>
      <c r="F4397" s="531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2" t="str">
        <f t="shared" si="238"/>
        <v/>
      </c>
      <c r="E4398" s="531"/>
      <c r="F4398" s="531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2" t="str">
        <f t="shared" si="238"/>
        <v/>
      </c>
      <c r="E4399" s="531"/>
      <c r="F4399" s="531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2" t="str">
        <f t="shared" si="238"/>
        <v/>
      </c>
      <c r="E4400" s="531"/>
      <c r="F4400" s="531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2" t="str">
        <f t="shared" si="238"/>
        <v/>
      </c>
      <c r="E4401" s="531"/>
      <c r="F4401" s="531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2" t="str">
        <f t="shared" si="238"/>
        <v/>
      </c>
      <c r="E4402" s="531"/>
      <c r="F4402" s="531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2" t="str">
        <f t="shared" si="238"/>
        <v/>
      </c>
      <c r="E4403" s="531"/>
      <c r="F4403" s="531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2" t="str">
        <f t="shared" si="238"/>
        <v/>
      </c>
      <c r="E4404" s="531"/>
      <c r="F4404" s="531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2" t="str">
        <f t="shared" si="238"/>
        <v/>
      </c>
      <c r="E4405" s="531"/>
      <c r="F4405" s="531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2" t="str">
        <f t="shared" si="238"/>
        <v/>
      </c>
      <c r="E4406" s="531"/>
      <c r="F4406" s="531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2" t="str">
        <f t="shared" si="238"/>
        <v/>
      </c>
      <c r="E4407" s="531"/>
      <c r="F4407" s="531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2" t="str">
        <f t="shared" si="238"/>
        <v/>
      </c>
      <c r="E4408" s="531"/>
      <c r="F4408" s="531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2" t="str">
        <f t="shared" si="238"/>
        <v/>
      </c>
      <c r="E4409" s="531"/>
      <c r="F4409" s="531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2" t="str">
        <f t="shared" si="238"/>
        <v/>
      </c>
      <c r="E4410" s="531"/>
      <c r="F4410" s="531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2" t="str">
        <f t="shared" si="238"/>
        <v/>
      </c>
      <c r="E4411" s="531"/>
      <c r="F4411" s="531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2" t="str">
        <f t="shared" si="238"/>
        <v/>
      </c>
      <c r="E4412" s="531"/>
      <c r="F4412" s="531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2" t="str">
        <f t="shared" si="238"/>
        <v/>
      </c>
      <c r="E4413" s="531"/>
      <c r="F4413" s="531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2" t="str">
        <f t="shared" si="238"/>
        <v/>
      </c>
      <c r="E4414" s="531"/>
      <c r="F4414" s="531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2" t="str">
        <f t="shared" si="238"/>
        <v/>
      </c>
      <c r="E4415" s="531"/>
      <c r="F4415" s="531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2" t="str">
        <f t="shared" si="238"/>
        <v/>
      </c>
      <c r="E4416" s="531"/>
      <c r="F4416" s="531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2" t="str">
        <f t="shared" si="238"/>
        <v/>
      </c>
      <c r="E4417" s="531"/>
      <c r="F4417" s="531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2" t="str">
        <f t="shared" si="238"/>
        <v/>
      </c>
      <c r="E4418" s="531"/>
      <c r="F4418" s="531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2" t="str">
        <f t="shared" si="238"/>
        <v/>
      </c>
      <c r="E4419" s="531"/>
      <c r="F4419" s="531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2" t="str">
        <f t="shared" si="238"/>
        <v/>
      </c>
      <c r="E4420" s="531"/>
      <c r="F4420" s="531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2" t="str">
        <f t="shared" si="238"/>
        <v/>
      </c>
      <c r="E4421" s="531"/>
      <c r="F4421" s="531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2" t="str">
        <f t="shared" si="238"/>
        <v/>
      </c>
      <c r="E4422" s="531"/>
      <c r="F4422" s="531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2" t="str">
        <f t="shared" si="238"/>
        <v/>
      </c>
      <c r="E4423" s="531"/>
      <c r="F4423" s="531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2" t="str">
        <f t="shared" si="238"/>
        <v/>
      </c>
      <c r="E4424" s="531"/>
      <c r="F4424" s="531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2" t="str">
        <f t="shared" ref="D4425:D4488" si="241">IF(A4425&lt;&gt;"",PROPER(TEXT(A4425,"Mmmm")),"")</f>
        <v/>
      </c>
      <c r="E4425" s="531"/>
      <c r="F4425" s="531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2" t="str">
        <f t="shared" si="241"/>
        <v/>
      </c>
      <c r="E4426" s="531"/>
      <c r="F4426" s="531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2" t="str">
        <f t="shared" si="241"/>
        <v/>
      </c>
      <c r="E4427" s="531"/>
      <c r="F4427" s="531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2" t="str">
        <f t="shared" si="241"/>
        <v/>
      </c>
      <c r="E4428" s="531"/>
      <c r="F4428" s="531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2" t="str">
        <f t="shared" si="241"/>
        <v/>
      </c>
      <c r="E4429" s="531"/>
      <c r="F4429" s="531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2" t="str">
        <f t="shared" si="241"/>
        <v/>
      </c>
      <c r="E4430" s="531"/>
      <c r="F4430" s="531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2" t="str">
        <f t="shared" si="241"/>
        <v/>
      </c>
      <c r="E4431" s="531"/>
      <c r="F4431" s="531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2" t="str">
        <f t="shared" si="241"/>
        <v/>
      </c>
      <c r="E4432" s="531"/>
      <c r="F4432" s="531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2" t="str">
        <f t="shared" si="241"/>
        <v/>
      </c>
      <c r="E4433" s="531"/>
      <c r="F4433" s="531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2" t="str">
        <f t="shared" si="241"/>
        <v/>
      </c>
      <c r="E4434" s="531"/>
      <c r="F4434" s="531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2" t="str">
        <f t="shared" si="241"/>
        <v/>
      </c>
      <c r="E4435" s="531"/>
      <c r="F4435" s="531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2" t="str">
        <f t="shared" si="241"/>
        <v/>
      </c>
      <c r="E4436" s="531"/>
      <c r="F4436" s="531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2" t="str">
        <f t="shared" si="241"/>
        <v/>
      </c>
      <c r="E4437" s="531"/>
      <c r="F4437" s="531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2" t="str">
        <f t="shared" si="241"/>
        <v/>
      </c>
      <c r="E4438" s="531"/>
      <c r="F4438" s="531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2" t="str">
        <f t="shared" si="241"/>
        <v/>
      </c>
      <c r="E4439" s="531"/>
      <c r="F4439" s="531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2" t="str">
        <f t="shared" si="241"/>
        <v/>
      </c>
      <c r="E4440" s="531"/>
      <c r="F4440" s="531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2" t="str">
        <f t="shared" si="241"/>
        <v/>
      </c>
      <c r="E4441" s="531"/>
      <c r="F4441" s="531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2" t="str">
        <f t="shared" si="241"/>
        <v/>
      </c>
      <c r="E4442" s="531"/>
      <c r="F4442" s="531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2" t="str">
        <f t="shared" si="241"/>
        <v/>
      </c>
      <c r="E4443" s="531"/>
      <c r="F4443" s="531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2" t="str">
        <f t="shared" si="241"/>
        <v/>
      </c>
      <c r="E4444" s="531"/>
      <c r="F4444" s="531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2" t="str">
        <f t="shared" si="241"/>
        <v/>
      </c>
      <c r="E4445" s="531"/>
      <c r="F4445" s="531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2" t="str">
        <f t="shared" si="241"/>
        <v/>
      </c>
      <c r="E4446" s="531"/>
      <c r="F4446" s="531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2" t="str">
        <f t="shared" si="241"/>
        <v/>
      </c>
      <c r="E4447" s="531"/>
      <c r="F4447" s="531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2" t="str">
        <f t="shared" si="241"/>
        <v/>
      </c>
      <c r="E4448" s="531"/>
      <c r="F4448" s="531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2" t="str">
        <f t="shared" si="241"/>
        <v/>
      </c>
      <c r="E4449" s="531"/>
      <c r="F4449" s="531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2" t="str">
        <f t="shared" si="241"/>
        <v/>
      </c>
      <c r="E4450" s="531"/>
      <c r="F4450" s="531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2" t="str">
        <f t="shared" si="241"/>
        <v/>
      </c>
      <c r="E4451" s="531"/>
      <c r="F4451" s="531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2" t="str">
        <f t="shared" si="241"/>
        <v/>
      </c>
      <c r="E4452" s="531"/>
      <c r="F4452" s="531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2" t="str">
        <f t="shared" si="241"/>
        <v/>
      </c>
      <c r="E4453" s="531"/>
      <c r="F4453" s="531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2" t="str">
        <f t="shared" si="241"/>
        <v/>
      </c>
      <c r="E4454" s="531"/>
      <c r="F4454" s="531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2" t="str">
        <f t="shared" si="241"/>
        <v/>
      </c>
      <c r="E4455" s="531"/>
      <c r="F4455" s="531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2" t="str">
        <f t="shared" si="241"/>
        <v/>
      </c>
      <c r="E4456" s="531"/>
      <c r="F4456" s="531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2" t="str">
        <f t="shared" si="241"/>
        <v/>
      </c>
      <c r="E4457" s="531"/>
      <c r="F4457" s="531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2" t="str">
        <f t="shared" si="241"/>
        <v/>
      </c>
      <c r="E4458" s="531"/>
      <c r="F4458" s="531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2" t="str">
        <f t="shared" si="241"/>
        <v/>
      </c>
      <c r="E4459" s="531"/>
      <c r="F4459" s="531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2" t="str">
        <f t="shared" si="241"/>
        <v/>
      </c>
      <c r="E4460" s="531"/>
      <c r="F4460" s="531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2" t="str">
        <f t="shared" si="241"/>
        <v/>
      </c>
      <c r="E4461" s="531"/>
      <c r="F4461" s="531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2" t="str">
        <f t="shared" si="241"/>
        <v/>
      </c>
      <c r="E4462" s="531"/>
      <c r="F4462" s="531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2" t="str">
        <f t="shared" si="241"/>
        <v/>
      </c>
      <c r="E4463" s="531"/>
      <c r="F4463" s="531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2" t="str">
        <f t="shared" si="241"/>
        <v/>
      </c>
      <c r="E4464" s="531"/>
      <c r="F4464" s="531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2" t="str">
        <f t="shared" si="241"/>
        <v/>
      </c>
      <c r="E4465" s="531"/>
      <c r="F4465" s="531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2" t="str">
        <f t="shared" si="241"/>
        <v/>
      </c>
      <c r="E4466" s="531"/>
      <c r="F4466" s="531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2" t="str">
        <f t="shared" si="241"/>
        <v/>
      </c>
      <c r="E4467" s="531"/>
      <c r="F4467" s="531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2" t="str">
        <f t="shared" si="241"/>
        <v/>
      </c>
      <c r="E4468" s="531"/>
      <c r="F4468" s="531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2" t="str">
        <f t="shared" si="241"/>
        <v/>
      </c>
      <c r="E4469" s="531"/>
      <c r="F4469" s="531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2" t="str">
        <f t="shared" si="241"/>
        <v/>
      </c>
      <c r="E4470" s="531"/>
      <c r="F4470" s="531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2" t="str">
        <f t="shared" si="241"/>
        <v/>
      </c>
      <c r="E4471" s="531"/>
      <c r="F4471" s="531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2" t="str">
        <f t="shared" si="241"/>
        <v/>
      </c>
      <c r="E4472" s="531"/>
      <c r="F4472" s="531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2" t="str">
        <f t="shared" si="241"/>
        <v/>
      </c>
      <c r="E4473" s="531"/>
      <c r="F4473" s="531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2" t="str">
        <f t="shared" si="241"/>
        <v/>
      </c>
      <c r="E4474" s="531"/>
      <c r="F4474" s="531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2" t="str">
        <f t="shared" si="241"/>
        <v/>
      </c>
      <c r="E4475" s="531"/>
      <c r="F4475" s="531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2" t="str">
        <f t="shared" si="241"/>
        <v/>
      </c>
      <c r="E4476" s="531"/>
      <c r="F4476" s="531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2" t="str">
        <f t="shared" si="241"/>
        <v/>
      </c>
      <c r="E4477" s="531"/>
      <c r="F4477" s="531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2" t="str">
        <f t="shared" si="241"/>
        <v/>
      </c>
      <c r="E4478" s="531"/>
      <c r="F4478" s="531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2" t="str">
        <f t="shared" si="241"/>
        <v/>
      </c>
      <c r="E4479" s="531"/>
      <c r="F4479" s="531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2" t="str">
        <f t="shared" si="241"/>
        <v/>
      </c>
      <c r="E4480" s="531"/>
      <c r="F4480" s="531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2" t="str">
        <f t="shared" si="241"/>
        <v/>
      </c>
      <c r="E4481" s="531"/>
      <c r="F4481" s="531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2" t="str">
        <f t="shared" si="241"/>
        <v/>
      </c>
      <c r="E4482" s="531"/>
      <c r="F4482" s="531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2" t="str">
        <f t="shared" si="241"/>
        <v/>
      </c>
      <c r="E4483" s="531"/>
      <c r="F4483" s="531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2" t="str">
        <f t="shared" si="241"/>
        <v/>
      </c>
      <c r="E4484" s="531"/>
      <c r="F4484" s="531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2" t="str">
        <f t="shared" si="241"/>
        <v/>
      </c>
      <c r="E4485" s="531"/>
      <c r="F4485" s="531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2" t="str">
        <f t="shared" si="241"/>
        <v/>
      </c>
      <c r="E4486" s="531"/>
      <c r="F4486" s="531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2" t="str">
        <f t="shared" si="241"/>
        <v/>
      </c>
      <c r="E4487" s="531"/>
      <c r="F4487" s="531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2" t="str">
        <f t="shared" si="241"/>
        <v/>
      </c>
      <c r="E4488" s="531"/>
      <c r="F4488" s="531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2" t="str">
        <f t="shared" ref="D4489:D4552" si="244">IF(A4489&lt;&gt;"",PROPER(TEXT(A4489,"Mmmm")),"")</f>
        <v/>
      </c>
      <c r="E4489" s="531"/>
      <c r="F4489" s="531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2" t="str">
        <f t="shared" si="244"/>
        <v/>
      </c>
      <c r="E4490" s="531"/>
      <c r="F4490" s="531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2" t="str">
        <f t="shared" si="244"/>
        <v/>
      </c>
      <c r="E4491" s="531"/>
      <c r="F4491" s="531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2" t="str">
        <f t="shared" si="244"/>
        <v/>
      </c>
      <c r="E4492" s="531"/>
      <c r="F4492" s="531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2" t="str">
        <f t="shared" si="244"/>
        <v/>
      </c>
      <c r="E4493" s="531"/>
      <c r="F4493" s="531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2" t="str">
        <f t="shared" si="244"/>
        <v/>
      </c>
      <c r="E4494" s="531"/>
      <c r="F4494" s="531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2" t="str">
        <f t="shared" si="244"/>
        <v/>
      </c>
      <c r="E4495" s="531"/>
      <c r="F4495" s="531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2" t="str">
        <f t="shared" si="244"/>
        <v/>
      </c>
      <c r="E4496" s="531"/>
      <c r="F4496" s="531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2" t="str">
        <f t="shared" si="244"/>
        <v/>
      </c>
      <c r="E4497" s="531"/>
      <c r="F4497" s="531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2" t="str">
        <f t="shared" si="244"/>
        <v/>
      </c>
      <c r="E4498" s="531"/>
      <c r="F4498" s="531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2" t="str">
        <f t="shared" si="244"/>
        <v/>
      </c>
      <c r="E4499" s="531"/>
      <c r="F4499" s="531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2" t="str">
        <f t="shared" si="244"/>
        <v/>
      </c>
      <c r="E4500" s="531"/>
      <c r="F4500" s="531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2" t="str">
        <f t="shared" si="244"/>
        <v/>
      </c>
      <c r="E4501" s="531"/>
      <c r="F4501" s="531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2" t="str">
        <f t="shared" si="244"/>
        <v/>
      </c>
      <c r="E4502" s="531"/>
      <c r="F4502" s="531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2" t="str">
        <f t="shared" si="244"/>
        <v/>
      </c>
      <c r="E4503" s="531"/>
      <c r="F4503" s="531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2" t="str">
        <f t="shared" si="244"/>
        <v/>
      </c>
      <c r="E4504" s="531"/>
      <c r="F4504" s="531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2" t="str">
        <f t="shared" si="244"/>
        <v/>
      </c>
      <c r="E4505" s="531"/>
      <c r="F4505" s="531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2" t="str">
        <f t="shared" si="244"/>
        <v/>
      </c>
      <c r="E4506" s="531"/>
      <c r="F4506" s="531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2" t="str">
        <f t="shared" si="244"/>
        <v/>
      </c>
      <c r="E4507" s="531"/>
      <c r="F4507" s="531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2" t="str">
        <f t="shared" si="244"/>
        <v/>
      </c>
      <c r="E4508" s="531"/>
      <c r="F4508" s="531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2" t="str">
        <f t="shared" si="244"/>
        <v/>
      </c>
      <c r="E4509" s="531"/>
      <c r="F4509" s="531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2" t="str">
        <f t="shared" si="244"/>
        <v/>
      </c>
      <c r="E4510" s="531"/>
      <c r="F4510" s="531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2" t="str">
        <f t="shared" si="244"/>
        <v/>
      </c>
      <c r="E4511" s="531"/>
      <c r="F4511" s="531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2" t="str">
        <f t="shared" si="244"/>
        <v/>
      </c>
      <c r="E4512" s="531"/>
      <c r="F4512" s="531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2" t="str">
        <f t="shared" si="244"/>
        <v/>
      </c>
      <c r="E4513" s="531"/>
      <c r="F4513" s="531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2" t="str">
        <f t="shared" si="244"/>
        <v/>
      </c>
      <c r="E4514" s="531"/>
      <c r="F4514" s="531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2" t="str">
        <f t="shared" si="244"/>
        <v/>
      </c>
      <c r="E4515" s="531"/>
      <c r="F4515" s="531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2" t="str">
        <f t="shared" si="244"/>
        <v/>
      </c>
      <c r="E4516" s="531"/>
      <c r="F4516" s="531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2" t="str">
        <f t="shared" si="244"/>
        <v/>
      </c>
      <c r="E4517" s="531"/>
      <c r="F4517" s="531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2" t="str">
        <f t="shared" si="244"/>
        <v/>
      </c>
      <c r="E4518" s="531"/>
      <c r="F4518" s="531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2" t="str">
        <f t="shared" si="244"/>
        <v/>
      </c>
      <c r="E4519" s="531"/>
      <c r="F4519" s="531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2" t="str">
        <f t="shared" si="244"/>
        <v/>
      </c>
      <c r="E4520" s="531"/>
      <c r="F4520" s="531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2" t="str">
        <f t="shared" si="244"/>
        <v/>
      </c>
      <c r="E4521" s="531"/>
      <c r="F4521" s="531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2" t="str">
        <f t="shared" si="244"/>
        <v/>
      </c>
      <c r="E4522" s="531"/>
      <c r="F4522" s="531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2" t="str">
        <f t="shared" si="244"/>
        <v/>
      </c>
      <c r="E4523" s="531"/>
      <c r="F4523" s="531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2" t="str">
        <f t="shared" si="244"/>
        <v/>
      </c>
      <c r="E4524" s="531"/>
      <c r="F4524" s="531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2" t="str">
        <f t="shared" si="244"/>
        <v/>
      </c>
      <c r="E4525" s="531"/>
      <c r="F4525" s="531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2" t="str">
        <f t="shared" si="244"/>
        <v/>
      </c>
      <c r="E4526" s="531"/>
      <c r="F4526" s="531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2" t="str">
        <f t="shared" si="244"/>
        <v/>
      </c>
      <c r="E4527" s="531"/>
      <c r="F4527" s="531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2" t="str">
        <f t="shared" si="244"/>
        <v/>
      </c>
      <c r="E4528" s="531"/>
      <c r="F4528" s="531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2" t="str">
        <f t="shared" si="244"/>
        <v/>
      </c>
      <c r="E4529" s="531"/>
      <c r="F4529" s="531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2" t="str">
        <f t="shared" si="244"/>
        <v/>
      </c>
      <c r="E4530" s="531"/>
      <c r="F4530" s="531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2" t="str">
        <f t="shared" si="244"/>
        <v/>
      </c>
      <c r="E4531" s="531"/>
      <c r="F4531" s="531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2" t="str">
        <f t="shared" si="244"/>
        <v/>
      </c>
      <c r="E4532" s="531"/>
      <c r="F4532" s="531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2" t="str">
        <f t="shared" si="244"/>
        <v/>
      </c>
      <c r="E4533" s="531"/>
      <c r="F4533" s="531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2" t="str">
        <f t="shared" si="244"/>
        <v/>
      </c>
      <c r="E4534" s="531"/>
      <c r="F4534" s="531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2" t="str">
        <f t="shared" si="244"/>
        <v/>
      </c>
      <c r="E4535" s="531"/>
      <c r="F4535" s="531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2" t="str">
        <f t="shared" si="244"/>
        <v/>
      </c>
      <c r="E4536" s="531"/>
      <c r="F4536" s="531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2" t="str">
        <f t="shared" si="244"/>
        <v/>
      </c>
      <c r="E4537" s="531"/>
      <c r="F4537" s="531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2" t="str">
        <f t="shared" si="244"/>
        <v/>
      </c>
      <c r="E4538" s="531"/>
      <c r="F4538" s="531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2" t="str">
        <f t="shared" si="244"/>
        <v/>
      </c>
      <c r="E4539" s="531"/>
      <c r="F4539" s="531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2" t="str">
        <f t="shared" si="244"/>
        <v/>
      </c>
      <c r="E4540" s="531"/>
      <c r="F4540" s="531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2" t="str">
        <f t="shared" si="244"/>
        <v/>
      </c>
      <c r="E4541" s="531"/>
      <c r="F4541" s="531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2" t="str">
        <f t="shared" si="244"/>
        <v/>
      </c>
      <c r="E4542" s="531"/>
      <c r="F4542" s="531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2" t="str">
        <f t="shared" si="244"/>
        <v/>
      </c>
      <c r="E4543" s="531"/>
      <c r="F4543" s="531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2" t="str">
        <f t="shared" si="244"/>
        <v/>
      </c>
      <c r="E4544" s="531"/>
      <c r="F4544" s="531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2" t="str">
        <f t="shared" si="244"/>
        <v/>
      </c>
      <c r="E4545" s="531"/>
      <c r="F4545" s="531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2" t="str">
        <f t="shared" si="244"/>
        <v/>
      </c>
      <c r="E4546" s="531"/>
      <c r="F4546" s="531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2" t="str">
        <f t="shared" si="244"/>
        <v/>
      </c>
      <c r="E4547" s="531"/>
      <c r="F4547" s="531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2" t="str">
        <f t="shared" si="244"/>
        <v/>
      </c>
      <c r="E4548" s="531"/>
      <c r="F4548" s="531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2" t="str">
        <f t="shared" si="244"/>
        <v/>
      </c>
      <c r="E4549" s="531"/>
      <c r="F4549" s="531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2" t="str">
        <f t="shared" si="244"/>
        <v/>
      </c>
      <c r="E4550" s="531"/>
      <c r="F4550" s="531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2" t="str">
        <f t="shared" si="244"/>
        <v/>
      </c>
      <c r="E4551" s="531"/>
      <c r="F4551" s="531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2" t="str">
        <f t="shared" si="244"/>
        <v/>
      </c>
      <c r="E4552" s="531"/>
      <c r="F4552" s="531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2" t="str">
        <f t="shared" ref="D4553:D4616" si="247">IF(A4553&lt;&gt;"",PROPER(TEXT(A4553,"Mmmm")),"")</f>
        <v/>
      </c>
      <c r="E4553" s="531"/>
      <c r="F4553" s="531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2" t="str">
        <f t="shared" si="247"/>
        <v/>
      </c>
      <c r="E4554" s="531"/>
      <c r="F4554" s="531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2" t="str">
        <f t="shared" si="247"/>
        <v/>
      </c>
      <c r="E4555" s="531"/>
      <c r="F4555" s="531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2" t="str">
        <f t="shared" si="247"/>
        <v/>
      </c>
      <c r="E4556" s="531"/>
      <c r="F4556" s="531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2" t="str">
        <f t="shared" si="247"/>
        <v/>
      </c>
      <c r="E4557" s="531"/>
      <c r="F4557" s="531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2" t="str">
        <f t="shared" si="247"/>
        <v/>
      </c>
      <c r="E4558" s="531"/>
      <c r="F4558" s="531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2" t="str">
        <f t="shared" si="247"/>
        <v/>
      </c>
      <c r="E4559" s="531"/>
      <c r="F4559" s="531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2" t="str">
        <f t="shared" si="247"/>
        <v/>
      </c>
      <c r="E4560" s="531"/>
      <c r="F4560" s="531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2" t="str">
        <f t="shared" si="247"/>
        <v/>
      </c>
      <c r="E4561" s="531"/>
      <c r="F4561" s="531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2" t="str">
        <f t="shared" si="247"/>
        <v/>
      </c>
      <c r="E4562" s="531"/>
      <c r="F4562" s="531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2" t="str">
        <f t="shared" si="247"/>
        <v/>
      </c>
      <c r="E4563" s="531"/>
      <c r="F4563" s="531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2" t="str">
        <f t="shared" si="247"/>
        <v/>
      </c>
      <c r="E4564" s="531"/>
      <c r="F4564" s="531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2" t="str">
        <f t="shared" si="247"/>
        <v/>
      </c>
      <c r="E4565" s="531"/>
      <c r="F4565" s="531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2" t="str">
        <f t="shared" si="247"/>
        <v/>
      </c>
      <c r="E4566" s="531"/>
      <c r="F4566" s="531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2" t="str">
        <f t="shared" si="247"/>
        <v/>
      </c>
      <c r="E4567" s="531"/>
      <c r="F4567" s="531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2" t="str">
        <f t="shared" si="247"/>
        <v/>
      </c>
      <c r="E4568" s="531"/>
      <c r="F4568" s="531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2" t="str">
        <f t="shared" si="247"/>
        <v/>
      </c>
      <c r="E4569" s="531"/>
      <c r="F4569" s="531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2" t="str">
        <f t="shared" si="247"/>
        <v/>
      </c>
      <c r="E4570" s="531"/>
      <c r="F4570" s="531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2" t="str">
        <f t="shared" si="247"/>
        <v/>
      </c>
      <c r="E4571" s="531"/>
      <c r="F4571" s="531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2" t="str">
        <f t="shared" si="247"/>
        <v/>
      </c>
      <c r="E4572" s="531"/>
      <c r="F4572" s="531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2" t="str">
        <f t="shared" si="247"/>
        <v/>
      </c>
      <c r="E4573" s="531"/>
      <c r="F4573" s="531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2" t="str">
        <f t="shared" si="247"/>
        <v/>
      </c>
      <c r="E4574" s="531"/>
      <c r="F4574" s="531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2" t="str">
        <f t="shared" si="247"/>
        <v/>
      </c>
      <c r="E4575" s="531"/>
      <c r="F4575" s="531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2" t="str">
        <f t="shared" si="247"/>
        <v/>
      </c>
      <c r="E4576" s="531"/>
      <c r="F4576" s="531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2" t="str">
        <f t="shared" si="247"/>
        <v/>
      </c>
      <c r="E4577" s="531"/>
      <c r="F4577" s="531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2" t="str">
        <f t="shared" si="247"/>
        <v/>
      </c>
      <c r="E4579" s="531"/>
      <c r="F4579" s="531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2" t="str">
        <f t="shared" si="247"/>
        <v/>
      </c>
      <c r="E4580" s="531"/>
      <c r="F4580" s="531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2" t="str">
        <f t="shared" si="247"/>
        <v/>
      </c>
      <c r="E4581" s="531"/>
      <c r="F4581" s="531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2" t="str">
        <f t="shared" si="247"/>
        <v/>
      </c>
      <c r="E4582" s="531"/>
      <c r="F4582" s="531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2" t="str">
        <f t="shared" si="247"/>
        <v/>
      </c>
      <c r="E4583" s="531"/>
      <c r="F4583" s="531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2" t="str">
        <f t="shared" si="247"/>
        <v/>
      </c>
      <c r="E4584" s="531"/>
      <c r="F4584" s="531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2" t="str">
        <f t="shared" si="247"/>
        <v/>
      </c>
      <c r="E4585" s="531"/>
      <c r="F4585" s="531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2" t="str">
        <f t="shared" si="247"/>
        <v/>
      </c>
      <c r="E4586" s="531"/>
      <c r="F4586" s="531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2" t="str">
        <f t="shared" si="247"/>
        <v/>
      </c>
      <c r="E4587" s="531"/>
      <c r="F4587" s="531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2" t="str">
        <f t="shared" si="247"/>
        <v/>
      </c>
      <c r="E4588" s="531"/>
      <c r="F4588" s="531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2" t="str">
        <f t="shared" si="247"/>
        <v/>
      </c>
      <c r="E4589" s="531"/>
      <c r="F4589" s="531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2" t="str">
        <f t="shared" si="247"/>
        <v/>
      </c>
      <c r="E4590" s="531"/>
      <c r="F4590" s="531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2" t="str">
        <f t="shared" si="247"/>
        <v/>
      </c>
      <c r="E4591" s="531"/>
      <c r="F4591" s="531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2" t="str">
        <f t="shared" si="247"/>
        <v/>
      </c>
      <c r="E4592" s="531"/>
      <c r="F4592" s="531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2" t="str">
        <f t="shared" si="247"/>
        <v/>
      </c>
      <c r="E4593" s="531"/>
      <c r="F4593" s="531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2" t="str">
        <f t="shared" si="247"/>
        <v/>
      </c>
      <c r="E4594" s="531"/>
      <c r="F4594" s="531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2" t="str">
        <f t="shared" si="247"/>
        <v/>
      </c>
      <c r="E4595" s="531"/>
      <c r="F4595" s="531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2" t="str">
        <f t="shared" si="247"/>
        <v/>
      </c>
      <c r="E4596" s="531"/>
      <c r="F4596" s="531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2" t="str">
        <f t="shared" si="247"/>
        <v/>
      </c>
      <c r="E4597" s="531"/>
      <c r="F4597" s="531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2" t="str">
        <f t="shared" si="247"/>
        <v/>
      </c>
      <c r="E4598" s="531"/>
      <c r="F4598" s="531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2" t="str">
        <f t="shared" si="247"/>
        <v/>
      </c>
      <c r="E4599" s="531"/>
      <c r="F4599" s="531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2" t="str">
        <f t="shared" si="247"/>
        <v/>
      </c>
      <c r="E4600" s="531"/>
      <c r="F4600" s="531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2" t="str">
        <f t="shared" si="247"/>
        <v/>
      </c>
      <c r="E4601" s="531"/>
      <c r="F4601" s="531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2" t="str">
        <f t="shared" si="247"/>
        <v/>
      </c>
      <c r="E4602" s="531"/>
      <c r="F4602" s="531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2" t="str">
        <f t="shared" si="247"/>
        <v/>
      </c>
      <c r="E4603" s="531"/>
      <c r="F4603" s="531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2" t="str">
        <f t="shared" si="247"/>
        <v/>
      </c>
      <c r="E4604" s="531"/>
      <c r="F4604" s="531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2" t="str">
        <f t="shared" si="247"/>
        <v/>
      </c>
      <c r="E4605" s="531"/>
      <c r="F4605" s="531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2" t="str">
        <f t="shared" si="247"/>
        <v/>
      </c>
      <c r="E4606" s="531"/>
      <c r="F4606" s="531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2" t="str">
        <f t="shared" si="247"/>
        <v/>
      </c>
      <c r="E4607" s="531"/>
      <c r="F4607" s="531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2" t="str">
        <f t="shared" si="247"/>
        <v/>
      </c>
      <c r="E4608" s="531"/>
      <c r="F4608" s="531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2" t="str">
        <f t="shared" si="247"/>
        <v/>
      </c>
      <c r="E4609" s="531"/>
      <c r="F4609" s="531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2" t="str">
        <f t="shared" si="247"/>
        <v/>
      </c>
      <c r="E4610" s="531"/>
      <c r="F4610" s="531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2" t="str">
        <f t="shared" si="247"/>
        <v/>
      </c>
      <c r="E4611" s="531"/>
      <c r="F4611" s="531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2" t="str">
        <f t="shared" si="247"/>
        <v/>
      </c>
      <c r="E4612" s="531"/>
      <c r="F4612" s="531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2" t="str">
        <f t="shared" si="247"/>
        <v/>
      </c>
      <c r="E4613" s="531"/>
      <c r="F4613" s="531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2" t="str">
        <f t="shared" si="247"/>
        <v/>
      </c>
      <c r="E4614" s="531"/>
      <c r="F4614" s="531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2" t="str">
        <f t="shared" si="247"/>
        <v/>
      </c>
      <c r="E4615" s="531"/>
      <c r="F4615" s="531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2" t="str">
        <f t="shared" si="247"/>
        <v/>
      </c>
      <c r="E4616" s="531"/>
      <c r="F4616" s="531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2" t="str">
        <f t="shared" ref="D4617:D4680" si="250">IF(A4617&lt;&gt;"",PROPER(TEXT(A4617,"Mmmm")),"")</f>
        <v/>
      </c>
      <c r="E4617" s="531"/>
      <c r="F4617" s="531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2" t="str">
        <f t="shared" si="250"/>
        <v/>
      </c>
      <c r="E4618" s="531"/>
      <c r="F4618" s="531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2" t="str">
        <f t="shared" si="250"/>
        <v/>
      </c>
      <c r="E4619" s="531"/>
      <c r="F4619" s="531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2" t="str">
        <f t="shared" si="250"/>
        <v/>
      </c>
      <c r="E4620" s="531"/>
      <c r="F4620" s="531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2" t="str">
        <f t="shared" si="250"/>
        <v/>
      </c>
      <c r="E4621" s="531"/>
      <c r="F4621" s="531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2" t="str">
        <f t="shared" si="250"/>
        <v/>
      </c>
      <c r="E4622" s="531"/>
      <c r="F4622" s="531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2" t="str">
        <f t="shared" si="250"/>
        <v/>
      </c>
      <c r="E4623" s="531"/>
      <c r="F4623" s="531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2" t="str">
        <f t="shared" si="250"/>
        <v/>
      </c>
      <c r="E4624" s="531"/>
      <c r="F4624" s="531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2" t="str">
        <f t="shared" si="250"/>
        <v/>
      </c>
      <c r="E4625" s="531"/>
      <c r="F4625" s="531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2" t="str">
        <f t="shared" si="250"/>
        <v/>
      </c>
      <c r="E4626" s="531"/>
      <c r="F4626" s="531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2" t="str">
        <f t="shared" si="250"/>
        <v/>
      </c>
      <c r="E4627" s="531"/>
      <c r="F4627" s="531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2" t="str">
        <f t="shared" si="250"/>
        <v/>
      </c>
      <c r="E4628" s="531"/>
      <c r="F4628" s="531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2" t="str">
        <f t="shared" si="250"/>
        <v/>
      </c>
      <c r="E4629" s="531"/>
      <c r="F4629" s="531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2" t="str">
        <f t="shared" si="250"/>
        <v/>
      </c>
      <c r="E4630" s="531"/>
      <c r="F4630" s="531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2" t="str">
        <f t="shared" si="250"/>
        <v/>
      </c>
      <c r="E4631" s="531"/>
      <c r="F4631" s="531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2" t="str">
        <f t="shared" si="250"/>
        <v/>
      </c>
      <c r="E4632" s="531"/>
      <c r="F4632" s="531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2" t="str">
        <f t="shared" si="250"/>
        <v/>
      </c>
      <c r="E4633" s="531"/>
      <c r="F4633" s="531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2" t="str">
        <f t="shared" si="250"/>
        <v/>
      </c>
      <c r="E4634" s="531"/>
      <c r="F4634" s="531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2" t="str">
        <f t="shared" si="250"/>
        <v/>
      </c>
      <c r="E4635" s="531"/>
      <c r="F4635" s="531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2" t="str">
        <f t="shared" si="250"/>
        <v/>
      </c>
      <c r="E4636" s="531"/>
      <c r="F4636" s="531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2" t="str">
        <f t="shared" si="250"/>
        <v/>
      </c>
      <c r="E4637" s="531"/>
      <c r="F4637" s="531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2" t="str">
        <f t="shared" si="250"/>
        <v/>
      </c>
      <c r="E4638" s="531"/>
      <c r="F4638" s="531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2" t="str">
        <f t="shared" si="250"/>
        <v/>
      </c>
      <c r="E4639" s="531"/>
      <c r="F4639" s="531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2" t="str">
        <f t="shared" si="250"/>
        <v/>
      </c>
      <c r="E4640" s="531"/>
      <c r="F4640" s="531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2" t="str">
        <f t="shared" si="250"/>
        <v/>
      </c>
      <c r="E4641" s="531"/>
      <c r="F4641" s="531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2" t="str">
        <f t="shared" si="250"/>
        <v/>
      </c>
      <c r="E4642" s="531"/>
      <c r="F4642" s="531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2" t="str">
        <f t="shared" si="250"/>
        <v/>
      </c>
      <c r="E4643" s="531"/>
      <c r="F4643" s="531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2" t="str">
        <f t="shared" si="250"/>
        <v/>
      </c>
      <c r="E4644" s="531"/>
      <c r="F4644" s="531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2" t="str">
        <f t="shared" si="250"/>
        <v/>
      </c>
      <c r="E4645" s="531"/>
      <c r="F4645" s="531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2" t="str">
        <f t="shared" si="250"/>
        <v/>
      </c>
      <c r="E4646" s="531"/>
      <c r="F4646" s="531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2" t="str">
        <f t="shared" si="250"/>
        <v/>
      </c>
      <c r="E4647" s="531"/>
      <c r="F4647" s="531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2" t="str">
        <f t="shared" si="250"/>
        <v/>
      </c>
      <c r="E4648" s="531"/>
      <c r="F4648" s="531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2" t="str">
        <f t="shared" si="250"/>
        <v/>
      </c>
      <c r="E4649" s="531"/>
      <c r="F4649" s="531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2" t="str">
        <f t="shared" si="250"/>
        <v/>
      </c>
      <c r="E4650" s="531"/>
      <c r="F4650" s="531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2" t="str">
        <f t="shared" si="250"/>
        <v/>
      </c>
      <c r="E4651" s="531"/>
      <c r="F4651" s="531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2" t="str">
        <f t="shared" si="250"/>
        <v/>
      </c>
      <c r="E4652" s="531"/>
      <c r="F4652" s="531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2" t="str">
        <f t="shared" si="250"/>
        <v/>
      </c>
      <c r="E4653" s="531"/>
      <c r="F4653" s="531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2" t="str">
        <f t="shared" si="250"/>
        <v/>
      </c>
      <c r="E4654" s="531"/>
      <c r="F4654" s="531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2" t="str">
        <f t="shared" si="250"/>
        <v/>
      </c>
      <c r="E4655" s="531"/>
      <c r="F4655" s="531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2" t="str">
        <f t="shared" si="250"/>
        <v/>
      </c>
      <c r="E4656" s="531"/>
      <c r="F4656" s="531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2" t="str">
        <f t="shared" si="250"/>
        <v/>
      </c>
      <c r="E4657" s="531"/>
      <c r="F4657" s="531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2" t="str">
        <f t="shared" si="250"/>
        <v/>
      </c>
      <c r="E4658" s="531"/>
      <c r="F4658" s="531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2" t="str">
        <f t="shared" si="250"/>
        <v/>
      </c>
      <c r="E4659" s="531"/>
      <c r="F4659" s="531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2" t="str">
        <f t="shared" si="250"/>
        <v/>
      </c>
      <c r="E4660" s="531"/>
      <c r="F4660" s="531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2" t="str">
        <f t="shared" si="250"/>
        <v/>
      </c>
      <c r="E4661" s="531"/>
      <c r="F4661" s="531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2" t="str">
        <f t="shared" si="250"/>
        <v/>
      </c>
      <c r="E4662" s="531"/>
      <c r="F4662" s="531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2" t="str">
        <f t="shared" si="250"/>
        <v/>
      </c>
      <c r="E4663" s="531"/>
      <c r="F4663" s="531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2" t="str">
        <f t="shared" si="250"/>
        <v/>
      </c>
      <c r="E4664" s="531"/>
      <c r="F4664" s="531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2" t="str">
        <f t="shared" si="250"/>
        <v/>
      </c>
      <c r="E4665" s="531"/>
      <c r="F4665" s="531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2" t="str">
        <f t="shared" si="250"/>
        <v/>
      </c>
      <c r="E4666" s="531"/>
      <c r="F4666" s="531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2" t="str">
        <f t="shared" si="250"/>
        <v/>
      </c>
      <c r="E4667" s="531"/>
      <c r="F4667" s="531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2" t="str">
        <f t="shared" si="250"/>
        <v/>
      </c>
      <c r="E4668" s="531"/>
      <c r="F4668" s="531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2" t="str">
        <f t="shared" si="250"/>
        <v/>
      </c>
      <c r="E4669" s="531"/>
      <c r="F4669" s="531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2" t="str">
        <f t="shared" si="250"/>
        <v/>
      </c>
      <c r="E4670" s="531"/>
      <c r="F4670" s="531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2" t="str">
        <f t="shared" si="250"/>
        <v/>
      </c>
      <c r="E4671" s="531"/>
      <c r="F4671" s="531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2" t="str">
        <f t="shared" si="250"/>
        <v/>
      </c>
      <c r="E4672" s="531"/>
      <c r="F4672" s="531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2" t="str">
        <f t="shared" si="250"/>
        <v/>
      </c>
      <c r="E4673" s="531"/>
      <c r="F4673" s="531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2" t="str">
        <f t="shared" si="250"/>
        <v/>
      </c>
      <c r="E4674" s="531"/>
      <c r="F4674" s="531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2" t="str">
        <f t="shared" si="250"/>
        <v/>
      </c>
      <c r="E4675" s="531"/>
      <c r="F4675" s="531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2" t="str">
        <f t="shared" si="250"/>
        <v/>
      </c>
      <c r="E4676" s="531"/>
      <c r="F4676" s="531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2" t="str">
        <f t="shared" si="250"/>
        <v/>
      </c>
      <c r="E4677" s="531"/>
      <c r="F4677" s="531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2" t="str">
        <f t="shared" si="250"/>
        <v/>
      </c>
      <c r="E4678" s="531"/>
      <c r="F4678" s="531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2" t="str">
        <f t="shared" si="250"/>
        <v/>
      </c>
      <c r="E4679" s="531"/>
      <c r="F4679" s="531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2" t="str">
        <f t="shared" si="250"/>
        <v/>
      </c>
      <c r="E4680" s="531"/>
      <c r="F4680" s="531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2" t="str">
        <f t="shared" ref="D4681:D4744" si="253">IF(A4681&lt;&gt;"",PROPER(TEXT(A4681,"Mmmm")),"")</f>
        <v/>
      </c>
      <c r="E4681" s="531"/>
      <c r="F4681" s="531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2" t="str">
        <f t="shared" si="253"/>
        <v/>
      </c>
      <c r="E4682" s="531"/>
      <c r="F4682" s="531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2" t="str">
        <f t="shared" si="253"/>
        <v/>
      </c>
      <c r="E4683" s="531"/>
      <c r="F4683" s="531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2" t="str">
        <f t="shared" si="253"/>
        <v/>
      </c>
      <c r="E4684" s="531"/>
      <c r="F4684" s="531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2" t="str">
        <f t="shared" si="253"/>
        <v/>
      </c>
      <c r="E4685" s="531"/>
      <c r="F4685" s="531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2" t="str">
        <f t="shared" si="253"/>
        <v/>
      </c>
      <c r="E4686" s="531"/>
      <c r="F4686" s="531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2" t="str">
        <f t="shared" si="253"/>
        <v/>
      </c>
      <c r="E4687" s="531"/>
      <c r="F4687" s="531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2" t="str">
        <f t="shared" si="253"/>
        <v/>
      </c>
      <c r="E4688" s="531"/>
      <c r="F4688" s="531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2" t="str">
        <f t="shared" si="253"/>
        <v/>
      </c>
      <c r="E4689" s="531"/>
      <c r="F4689" s="531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2" t="str">
        <f t="shared" si="253"/>
        <v/>
      </c>
      <c r="E4690" s="531"/>
      <c r="F4690" s="531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2" t="str">
        <f t="shared" si="253"/>
        <v/>
      </c>
      <c r="E4691" s="531"/>
      <c r="F4691" s="531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2" t="str">
        <f t="shared" si="253"/>
        <v/>
      </c>
      <c r="E4692" s="531"/>
      <c r="F4692" s="531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2" t="str">
        <f t="shared" si="253"/>
        <v/>
      </c>
      <c r="E4693" s="531"/>
      <c r="F4693" s="531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2" t="str">
        <f t="shared" si="253"/>
        <v/>
      </c>
      <c r="E4694" s="531"/>
      <c r="F4694" s="531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2" t="str">
        <f t="shared" si="253"/>
        <v/>
      </c>
      <c r="E4695" s="531"/>
      <c r="F4695" s="531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2" t="str">
        <f t="shared" si="253"/>
        <v/>
      </c>
      <c r="E4696" s="531"/>
      <c r="F4696" s="531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2" t="str">
        <f t="shared" si="253"/>
        <v/>
      </c>
      <c r="E4697" s="531"/>
      <c r="F4697" s="531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2" t="str">
        <f t="shared" si="253"/>
        <v/>
      </c>
      <c r="E4698" s="531"/>
      <c r="F4698" s="531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2" t="str">
        <f t="shared" si="253"/>
        <v/>
      </c>
      <c r="E4699" s="531"/>
      <c r="F4699" s="531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2" t="str">
        <f t="shared" si="253"/>
        <v/>
      </c>
      <c r="E4700" s="531"/>
      <c r="F4700" s="531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2" t="str">
        <f t="shared" si="253"/>
        <v/>
      </c>
      <c r="E4701" s="531"/>
      <c r="F4701" s="531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2" t="str">
        <f t="shared" si="253"/>
        <v/>
      </c>
      <c r="E4702" s="531"/>
      <c r="F4702" s="531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2" t="str">
        <f t="shared" si="253"/>
        <v/>
      </c>
      <c r="E4703" s="531"/>
      <c r="F4703" s="531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2" t="str">
        <f t="shared" si="253"/>
        <v/>
      </c>
      <c r="E4704" s="531"/>
      <c r="F4704" s="531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2" t="str">
        <f t="shared" si="253"/>
        <v/>
      </c>
      <c r="E4705" s="531"/>
      <c r="F4705" s="531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2" t="str">
        <f t="shared" si="253"/>
        <v/>
      </c>
      <c r="E4706" s="531"/>
      <c r="F4706" s="531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2" t="str">
        <f t="shared" si="253"/>
        <v/>
      </c>
      <c r="E4707" s="531"/>
      <c r="F4707" s="531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2" t="str">
        <f t="shared" si="253"/>
        <v/>
      </c>
      <c r="E4708" s="531"/>
      <c r="F4708" s="531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2" t="str">
        <f t="shared" si="253"/>
        <v/>
      </c>
      <c r="E4709" s="531"/>
      <c r="F4709" s="531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2" t="str">
        <f t="shared" si="253"/>
        <v/>
      </c>
      <c r="E4710" s="531"/>
      <c r="F4710" s="531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2" t="str">
        <f t="shared" si="253"/>
        <v/>
      </c>
      <c r="E4711" s="531"/>
      <c r="F4711" s="531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2" t="str">
        <f t="shared" si="253"/>
        <v/>
      </c>
      <c r="E4712" s="531"/>
      <c r="F4712" s="531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2" t="str">
        <f t="shared" si="253"/>
        <v/>
      </c>
      <c r="E4713" s="531"/>
      <c r="F4713" s="531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2" t="str">
        <f t="shared" si="253"/>
        <v/>
      </c>
      <c r="E4714" s="531"/>
      <c r="F4714" s="531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2" t="str">
        <f t="shared" si="253"/>
        <v/>
      </c>
      <c r="E4715" s="531"/>
      <c r="F4715" s="531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2" t="str">
        <f t="shared" si="253"/>
        <v/>
      </c>
      <c r="E4716" s="531"/>
      <c r="F4716" s="531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2" t="str">
        <f t="shared" si="253"/>
        <v/>
      </c>
      <c r="E4717" s="531"/>
      <c r="F4717" s="531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2" t="str">
        <f t="shared" si="253"/>
        <v/>
      </c>
      <c r="E4718" s="531"/>
      <c r="F4718" s="531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2" t="str">
        <f t="shared" si="253"/>
        <v/>
      </c>
      <c r="E4719" s="531"/>
      <c r="F4719" s="531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2" t="str">
        <f t="shared" si="253"/>
        <v/>
      </c>
      <c r="E4720" s="531"/>
      <c r="F4720" s="531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2" t="str">
        <f t="shared" si="253"/>
        <v/>
      </c>
      <c r="E4721" s="531"/>
      <c r="F4721" s="531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2" t="str">
        <f t="shared" si="253"/>
        <v/>
      </c>
      <c r="E4722" s="531"/>
      <c r="F4722" s="531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2" t="str">
        <f t="shared" si="253"/>
        <v/>
      </c>
      <c r="E4723" s="531"/>
      <c r="F4723" s="531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2" t="str">
        <f t="shared" si="253"/>
        <v/>
      </c>
      <c r="E4724" s="531"/>
      <c r="F4724" s="531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2" t="str">
        <f t="shared" si="253"/>
        <v/>
      </c>
      <c r="E4725" s="531"/>
      <c r="F4725" s="531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2" t="str">
        <f t="shared" si="253"/>
        <v/>
      </c>
      <c r="E4726" s="531"/>
      <c r="F4726" s="531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2" t="str">
        <f t="shared" si="253"/>
        <v/>
      </c>
      <c r="E4727" s="531"/>
      <c r="F4727" s="531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2" t="str">
        <f t="shared" si="253"/>
        <v/>
      </c>
      <c r="E4728" s="531"/>
      <c r="F4728" s="531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2" t="str">
        <f t="shared" si="253"/>
        <v/>
      </c>
      <c r="E4729" s="531"/>
      <c r="F4729" s="531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2" t="str">
        <f t="shared" si="253"/>
        <v/>
      </c>
      <c r="E4730" s="531"/>
      <c r="F4730" s="531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2" t="str">
        <f t="shared" si="253"/>
        <v/>
      </c>
      <c r="E4731" s="531"/>
      <c r="F4731" s="531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2" t="str">
        <f t="shared" si="253"/>
        <v/>
      </c>
      <c r="E4732" s="531"/>
      <c r="F4732" s="531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2" t="str">
        <f t="shared" si="253"/>
        <v/>
      </c>
      <c r="E4733" s="531"/>
      <c r="F4733" s="531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2" t="str">
        <f t="shared" si="253"/>
        <v/>
      </c>
      <c r="E4734" s="531"/>
      <c r="F4734" s="531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2" t="str">
        <f t="shared" si="253"/>
        <v/>
      </c>
      <c r="E4735" s="531"/>
      <c r="F4735" s="531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2" t="str">
        <f t="shared" si="253"/>
        <v/>
      </c>
      <c r="E4736" s="531"/>
      <c r="F4736" s="531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2" t="str">
        <f t="shared" si="253"/>
        <v/>
      </c>
      <c r="E4737" s="531"/>
      <c r="F4737" s="531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2" t="str">
        <f t="shared" si="253"/>
        <v/>
      </c>
      <c r="E4738" s="531"/>
      <c r="F4738" s="531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2" t="str">
        <f t="shared" si="253"/>
        <v/>
      </c>
      <c r="E4739" s="531"/>
      <c r="F4739" s="531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2" t="str">
        <f t="shared" si="253"/>
        <v/>
      </c>
      <c r="E4740" s="531"/>
      <c r="F4740" s="531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2" t="str">
        <f t="shared" si="253"/>
        <v/>
      </c>
      <c r="E4741" s="531"/>
      <c r="F4741" s="531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2" t="str">
        <f t="shared" si="253"/>
        <v/>
      </c>
      <c r="E4742" s="531"/>
      <c r="F4742" s="531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2" t="str">
        <f t="shared" si="253"/>
        <v/>
      </c>
      <c r="E4743" s="531"/>
      <c r="F4743" s="531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2" t="str">
        <f t="shared" si="253"/>
        <v/>
      </c>
      <c r="E4744" s="531"/>
      <c r="F4744" s="531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2" t="str">
        <f t="shared" ref="D4745:D4808" si="256">IF(A4745&lt;&gt;"",PROPER(TEXT(A4745,"Mmmm")),"")</f>
        <v/>
      </c>
      <c r="E4745" s="531"/>
      <c r="F4745" s="531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2" t="str">
        <f t="shared" si="256"/>
        <v/>
      </c>
      <c r="E4746" s="531"/>
      <c r="F4746" s="531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2" t="str">
        <f t="shared" si="256"/>
        <v/>
      </c>
      <c r="E4747" s="531"/>
      <c r="F4747" s="531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2" t="str">
        <f t="shared" si="256"/>
        <v/>
      </c>
      <c r="E4748" s="531"/>
      <c r="F4748" s="531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2" t="str">
        <f t="shared" si="256"/>
        <v/>
      </c>
      <c r="E4749" s="531"/>
      <c r="F4749" s="531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2" t="str">
        <f t="shared" si="256"/>
        <v/>
      </c>
      <c r="E4750" s="531"/>
      <c r="F4750" s="531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2" t="str">
        <f t="shared" si="256"/>
        <v/>
      </c>
      <c r="E4751" s="531"/>
      <c r="F4751" s="531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2" t="str">
        <f t="shared" si="256"/>
        <v/>
      </c>
      <c r="E4752" s="531"/>
      <c r="F4752" s="531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2" t="str">
        <f t="shared" si="256"/>
        <v/>
      </c>
      <c r="E4753" s="531"/>
      <c r="F4753" s="531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2" t="str">
        <f t="shared" si="256"/>
        <v/>
      </c>
      <c r="E4754" s="531"/>
      <c r="F4754" s="531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2" t="str">
        <f t="shared" si="256"/>
        <v/>
      </c>
      <c r="E4755" s="531"/>
      <c r="F4755" s="531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2" t="str">
        <f t="shared" si="256"/>
        <v/>
      </c>
      <c r="E4756" s="531"/>
      <c r="F4756" s="531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2" t="str">
        <f t="shared" si="256"/>
        <v/>
      </c>
      <c r="E4757" s="531"/>
      <c r="F4757" s="531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2" t="str">
        <f t="shared" si="256"/>
        <v/>
      </c>
      <c r="E4758" s="531"/>
      <c r="F4758" s="531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2" t="str">
        <f t="shared" si="256"/>
        <v/>
      </c>
      <c r="E4759" s="531"/>
      <c r="F4759" s="531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2" t="str">
        <f t="shared" si="256"/>
        <v/>
      </c>
      <c r="E4760" s="531"/>
      <c r="F4760" s="531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2" t="str">
        <f t="shared" si="256"/>
        <v/>
      </c>
      <c r="E4761" s="531"/>
      <c r="F4761" s="531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2" t="str">
        <f t="shared" si="256"/>
        <v/>
      </c>
      <c r="E4762" s="531"/>
      <c r="F4762" s="531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2" t="str">
        <f t="shared" si="256"/>
        <v/>
      </c>
      <c r="E4763" s="531"/>
      <c r="F4763" s="531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2" t="str">
        <f t="shared" si="256"/>
        <v/>
      </c>
      <c r="E4764" s="531"/>
      <c r="F4764" s="531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2" t="str">
        <f t="shared" si="256"/>
        <v/>
      </c>
      <c r="E4765" s="531"/>
      <c r="F4765" s="531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2" t="str">
        <f t="shared" si="256"/>
        <v/>
      </c>
      <c r="E4766" s="531"/>
      <c r="F4766" s="531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2" t="str">
        <f t="shared" si="256"/>
        <v/>
      </c>
      <c r="E4767" s="531"/>
      <c r="F4767" s="531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2" t="str">
        <f t="shared" si="256"/>
        <v/>
      </c>
      <c r="E4768" s="531"/>
      <c r="F4768" s="531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2" t="str">
        <f t="shared" si="256"/>
        <v/>
      </c>
      <c r="E4769" s="531"/>
      <c r="F4769" s="531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2" t="str">
        <f t="shared" si="256"/>
        <v/>
      </c>
      <c r="E4770" s="531"/>
      <c r="F4770" s="531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2" t="str">
        <f t="shared" si="256"/>
        <v/>
      </c>
      <c r="E4771" s="531"/>
      <c r="F4771" s="531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2" t="str">
        <f t="shared" si="256"/>
        <v/>
      </c>
      <c r="E4772" s="531"/>
      <c r="F4772" s="531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2" t="str">
        <f t="shared" si="256"/>
        <v/>
      </c>
      <c r="E4773" s="531"/>
      <c r="F4773" s="531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2" t="str">
        <f t="shared" si="256"/>
        <v/>
      </c>
      <c r="E4774" s="531"/>
      <c r="F4774" s="531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2" t="str">
        <f t="shared" si="256"/>
        <v/>
      </c>
      <c r="E4775" s="531"/>
      <c r="F4775" s="531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2" t="str">
        <f t="shared" si="256"/>
        <v/>
      </c>
      <c r="E4776" s="531"/>
      <c r="F4776" s="531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2" t="str">
        <f t="shared" si="256"/>
        <v/>
      </c>
      <c r="E4777" s="531"/>
      <c r="F4777" s="531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2" t="str">
        <f t="shared" si="256"/>
        <v/>
      </c>
      <c r="E4778" s="531"/>
      <c r="F4778" s="531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2" t="str">
        <f t="shared" si="256"/>
        <v/>
      </c>
      <c r="E4779" s="531"/>
      <c r="F4779" s="531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2" t="str">
        <f t="shared" si="256"/>
        <v/>
      </c>
      <c r="E4780" s="531"/>
      <c r="F4780" s="531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2" t="str">
        <f t="shared" si="256"/>
        <v/>
      </c>
      <c r="E4781" s="531"/>
      <c r="F4781" s="531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2" t="str">
        <f t="shared" si="256"/>
        <v/>
      </c>
      <c r="E4782" s="531"/>
      <c r="F4782" s="531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2" t="str">
        <f t="shared" si="256"/>
        <v/>
      </c>
      <c r="E4783" s="531"/>
      <c r="F4783" s="531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2" t="str">
        <f t="shared" si="256"/>
        <v/>
      </c>
      <c r="E4784" s="531"/>
      <c r="F4784" s="531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2" t="str">
        <f t="shared" si="256"/>
        <v/>
      </c>
      <c r="E4785" s="531"/>
      <c r="F4785" s="531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2" t="str">
        <f t="shared" si="256"/>
        <v/>
      </c>
      <c r="E4786" s="531"/>
      <c r="F4786" s="531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2" t="str">
        <f t="shared" si="256"/>
        <v/>
      </c>
      <c r="E4787" s="531"/>
      <c r="F4787" s="531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2" t="str">
        <f t="shared" si="256"/>
        <v/>
      </c>
      <c r="E4788" s="531"/>
      <c r="F4788" s="531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2" t="str">
        <f t="shared" si="256"/>
        <v/>
      </c>
      <c r="E4789" s="531"/>
      <c r="F4789" s="531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2" t="str">
        <f t="shared" si="256"/>
        <v/>
      </c>
      <c r="E4790" s="531"/>
      <c r="F4790" s="531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2" t="str">
        <f t="shared" si="256"/>
        <v/>
      </c>
      <c r="E4791" s="531"/>
      <c r="F4791" s="531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2" t="str">
        <f t="shared" si="256"/>
        <v/>
      </c>
      <c r="E4792" s="531"/>
      <c r="F4792" s="531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2" t="str">
        <f t="shared" si="256"/>
        <v/>
      </c>
      <c r="E4793" s="531"/>
      <c r="F4793" s="531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2" t="str">
        <f t="shared" si="256"/>
        <v/>
      </c>
      <c r="E4794" s="531"/>
      <c r="F4794" s="531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2" t="str">
        <f t="shared" si="256"/>
        <v/>
      </c>
      <c r="E4795" s="531"/>
      <c r="F4795" s="531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2" t="str">
        <f t="shared" si="256"/>
        <v/>
      </c>
      <c r="E4796" s="531"/>
      <c r="F4796" s="531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2" t="str">
        <f t="shared" si="256"/>
        <v/>
      </c>
      <c r="E4797" s="531"/>
      <c r="F4797" s="531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2" t="str">
        <f t="shared" si="256"/>
        <v/>
      </c>
      <c r="E4798" s="531"/>
      <c r="F4798" s="531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2" t="str">
        <f t="shared" si="256"/>
        <v/>
      </c>
      <c r="E4799" s="531"/>
      <c r="F4799" s="531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2" t="str">
        <f t="shared" si="256"/>
        <v/>
      </c>
      <c r="E4800" s="531"/>
      <c r="F4800" s="531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2" t="str">
        <f t="shared" si="256"/>
        <v/>
      </c>
      <c r="E4801" s="531"/>
      <c r="F4801" s="531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2" t="str">
        <f t="shared" si="256"/>
        <v/>
      </c>
      <c r="E4802" s="531"/>
      <c r="F4802" s="531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2" t="str">
        <f t="shared" si="256"/>
        <v/>
      </c>
      <c r="E4803" s="531"/>
      <c r="F4803" s="531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2" t="str">
        <f t="shared" si="256"/>
        <v/>
      </c>
      <c r="E4804" s="531"/>
      <c r="F4804" s="531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2" t="str">
        <f t="shared" si="256"/>
        <v/>
      </c>
      <c r="E4805" s="531"/>
      <c r="F4805" s="531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2" t="str">
        <f t="shared" si="256"/>
        <v/>
      </c>
      <c r="E4806" s="531"/>
      <c r="F4806" s="531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2" t="str">
        <f t="shared" si="256"/>
        <v/>
      </c>
      <c r="E4807" s="531"/>
      <c r="F4807" s="531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2" t="str">
        <f t="shared" si="256"/>
        <v/>
      </c>
      <c r="E4808" s="531"/>
      <c r="F4808" s="531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2" t="str">
        <f t="shared" ref="D4809:D4872" si="259">IF(A4809&lt;&gt;"",PROPER(TEXT(A4809,"Mmmm")),"")</f>
        <v/>
      </c>
      <c r="E4809" s="531"/>
      <c r="F4809" s="531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2" t="str">
        <f t="shared" si="259"/>
        <v/>
      </c>
      <c r="E4810" s="531"/>
      <c r="F4810" s="531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2" t="str">
        <f t="shared" si="259"/>
        <v/>
      </c>
      <c r="E4811" s="531"/>
      <c r="F4811" s="531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2" t="str">
        <f t="shared" si="259"/>
        <v/>
      </c>
      <c r="E4812" s="531"/>
      <c r="F4812" s="531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2" t="str">
        <f t="shared" si="259"/>
        <v/>
      </c>
      <c r="E4813" s="531"/>
      <c r="F4813" s="531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2" t="str">
        <f t="shared" si="259"/>
        <v/>
      </c>
      <c r="E4814" s="531"/>
      <c r="F4814" s="531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2" t="str">
        <f t="shared" si="259"/>
        <v/>
      </c>
      <c r="E4815" s="531"/>
      <c r="F4815" s="531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2" t="str">
        <f t="shared" si="259"/>
        <v/>
      </c>
      <c r="E4816" s="531"/>
      <c r="F4816" s="531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2" t="str">
        <f t="shared" si="259"/>
        <v/>
      </c>
      <c r="E4817" s="531"/>
      <c r="F4817" s="531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2" t="str">
        <f t="shared" si="259"/>
        <v/>
      </c>
      <c r="E4818" s="531"/>
      <c r="F4818" s="531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2" t="str">
        <f t="shared" si="259"/>
        <v/>
      </c>
      <c r="E4819" s="531"/>
      <c r="F4819" s="531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2" t="str">
        <f t="shared" si="259"/>
        <v/>
      </c>
      <c r="E4820" s="531"/>
      <c r="F4820" s="531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2" t="str">
        <f t="shared" si="259"/>
        <v/>
      </c>
      <c r="E4821" s="531"/>
      <c r="F4821" s="531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2" t="str">
        <f t="shared" si="259"/>
        <v/>
      </c>
      <c r="E4822" s="531"/>
      <c r="F4822" s="531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2" t="str">
        <f t="shared" si="259"/>
        <v/>
      </c>
      <c r="E4823" s="531"/>
      <c r="F4823" s="531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2" t="str">
        <f t="shared" si="259"/>
        <v/>
      </c>
      <c r="E4824" s="531"/>
      <c r="F4824" s="531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2" t="str">
        <f t="shared" si="259"/>
        <v/>
      </c>
      <c r="E4825" s="531"/>
      <c r="F4825" s="531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2" t="str">
        <f t="shared" si="259"/>
        <v/>
      </c>
      <c r="E4826" s="531"/>
      <c r="F4826" s="531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2" t="str">
        <f t="shared" si="259"/>
        <v/>
      </c>
      <c r="E4827" s="531"/>
      <c r="F4827" s="531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2" t="str">
        <f t="shared" si="259"/>
        <v/>
      </c>
      <c r="E4828" s="531"/>
      <c r="F4828" s="531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2" t="str">
        <f t="shared" si="259"/>
        <v/>
      </c>
      <c r="E4829" s="531"/>
      <c r="F4829" s="531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2" t="str">
        <f t="shared" si="259"/>
        <v/>
      </c>
      <c r="E4830" s="531"/>
      <c r="F4830" s="531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2" t="str">
        <f t="shared" si="259"/>
        <v/>
      </c>
      <c r="E4831" s="531"/>
      <c r="F4831" s="531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2" t="str">
        <f t="shared" si="259"/>
        <v/>
      </c>
      <c r="E4832" s="531"/>
      <c r="F4832" s="531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2" t="str">
        <f t="shared" si="259"/>
        <v/>
      </c>
      <c r="E4833" s="531"/>
      <c r="F4833" s="531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2" t="str">
        <f t="shared" si="259"/>
        <v/>
      </c>
      <c r="E4834" s="531"/>
      <c r="F4834" s="531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2" t="str">
        <f t="shared" si="259"/>
        <v/>
      </c>
      <c r="E4835" s="531"/>
      <c r="F4835" s="531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2" t="str">
        <f t="shared" si="259"/>
        <v/>
      </c>
      <c r="E4836" s="531"/>
      <c r="F4836" s="531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2" t="str">
        <f t="shared" si="259"/>
        <v/>
      </c>
      <c r="E4837" s="531"/>
      <c r="F4837" s="531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2" t="str">
        <f t="shared" si="259"/>
        <v/>
      </c>
      <c r="E4838" s="531"/>
      <c r="F4838" s="531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2" t="str">
        <f t="shared" si="259"/>
        <v/>
      </c>
      <c r="E4839" s="531"/>
      <c r="F4839" s="531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2" t="str">
        <f t="shared" si="259"/>
        <v/>
      </c>
      <c r="E4840" s="531"/>
      <c r="F4840" s="531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2" t="str">
        <f t="shared" si="259"/>
        <v/>
      </c>
      <c r="E4841" s="531"/>
      <c r="F4841" s="531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2" t="str">
        <f t="shared" si="259"/>
        <v/>
      </c>
      <c r="E4842" s="531"/>
      <c r="F4842" s="531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2" t="str">
        <f t="shared" si="259"/>
        <v/>
      </c>
      <c r="E4843" s="531"/>
      <c r="F4843" s="531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2" t="str">
        <f t="shared" si="259"/>
        <v/>
      </c>
      <c r="E4844" s="531"/>
      <c r="F4844" s="531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2" t="str">
        <f t="shared" si="259"/>
        <v/>
      </c>
      <c r="E4845" s="531"/>
      <c r="F4845" s="531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2" t="str">
        <f t="shared" si="259"/>
        <v/>
      </c>
      <c r="E4846" s="531"/>
      <c r="F4846" s="531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2" t="str">
        <f t="shared" si="259"/>
        <v/>
      </c>
      <c r="E4847" s="531"/>
      <c r="F4847" s="531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2" t="str">
        <f t="shared" si="259"/>
        <v/>
      </c>
      <c r="E4848" s="531"/>
      <c r="F4848" s="531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2" t="str">
        <f t="shared" si="259"/>
        <v/>
      </c>
      <c r="E4849" s="531"/>
      <c r="F4849" s="531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2" t="str">
        <f t="shared" si="259"/>
        <v/>
      </c>
      <c r="E4850" s="531"/>
      <c r="F4850" s="531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2" t="str">
        <f t="shared" si="259"/>
        <v/>
      </c>
      <c r="E4851" s="531"/>
      <c r="F4851" s="531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2" t="str">
        <f t="shared" si="259"/>
        <v/>
      </c>
      <c r="E4852" s="531"/>
      <c r="F4852" s="531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2" t="str">
        <f t="shared" si="259"/>
        <v/>
      </c>
      <c r="E4853" s="531"/>
      <c r="F4853" s="531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2" t="str">
        <f t="shared" si="259"/>
        <v/>
      </c>
      <c r="E4854" s="531"/>
      <c r="F4854" s="531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2" t="str">
        <f t="shared" si="259"/>
        <v/>
      </c>
      <c r="E4855" s="531"/>
      <c r="F4855" s="531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2" t="str">
        <f t="shared" si="259"/>
        <v/>
      </c>
      <c r="E4856" s="531"/>
      <c r="F4856" s="531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2" t="str">
        <f t="shared" si="259"/>
        <v/>
      </c>
      <c r="E4857" s="531"/>
      <c r="F4857" s="531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2" t="str">
        <f t="shared" si="259"/>
        <v/>
      </c>
      <c r="E4858" s="531"/>
      <c r="F4858" s="531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2" t="str">
        <f t="shared" si="259"/>
        <v/>
      </c>
      <c r="E4859" s="531"/>
      <c r="F4859" s="531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2" t="str">
        <f t="shared" si="259"/>
        <v/>
      </c>
      <c r="E4860" s="531"/>
      <c r="F4860" s="531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2" t="str">
        <f t="shared" si="259"/>
        <v/>
      </c>
      <c r="E4861" s="531"/>
      <c r="F4861" s="531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2" t="str">
        <f t="shared" si="259"/>
        <v/>
      </c>
      <c r="E4862" s="531"/>
      <c r="F4862" s="531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2" t="str">
        <f t="shared" si="259"/>
        <v/>
      </c>
      <c r="E4863" s="531"/>
      <c r="F4863" s="531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2" t="str">
        <f t="shared" si="259"/>
        <v/>
      </c>
      <c r="E4864" s="531"/>
      <c r="F4864" s="531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2" t="str">
        <f t="shared" si="259"/>
        <v/>
      </c>
      <c r="E4865" s="531"/>
      <c r="F4865" s="531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2" t="str">
        <f t="shared" si="259"/>
        <v/>
      </c>
      <c r="E4866" s="531"/>
      <c r="F4866" s="531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2" t="str">
        <f t="shared" si="259"/>
        <v/>
      </c>
      <c r="E4867" s="531"/>
      <c r="F4867" s="531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2" t="str">
        <f t="shared" si="259"/>
        <v/>
      </c>
      <c r="E4868" s="531"/>
      <c r="F4868" s="531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2" t="str">
        <f t="shared" si="259"/>
        <v/>
      </c>
      <c r="E4869" s="531"/>
      <c r="F4869" s="531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2" t="str">
        <f t="shared" si="259"/>
        <v/>
      </c>
      <c r="E4870" s="531"/>
      <c r="F4870" s="531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2" t="str">
        <f t="shared" si="259"/>
        <v/>
      </c>
      <c r="E4871" s="531"/>
      <c r="F4871" s="531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2" t="str">
        <f t="shared" si="259"/>
        <v/>
      </c>
      <c r="E4872" s="531"/>
      <c r="F4872" s="531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2" t="str">
        <f t="shared" ref="D4873:D4936" si="262">IF(A4873&lt;&gt;"",PROPER(TEXT(A4873,"Mmmm")),"")</f>
        <v/>
      </c>
      <c r="E4873" s="531"/>
      <c r="F4873" s="531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2" t="str">
        <f t="shared" si="262"/>
        <v/>
      </c>
      <c r="E4874" s="531"/>
      <c r="F4874" s="531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2" t="str">
        <f t="shared" si="262"/>
        <v/>
      </c>
      <c r="E4875" s="531"/>
      <c r="F4875" s="531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2" t="str">
        <f t="shared" si="262"/>
        <v/>
      </c>
      <c r="E4876" s="531"/>
      <c r="F4876" s="531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2" t="str">
        <f t="shared" si="262"/>
        <v/>
      </c>
      <c r="E4877" s="531"/>
      <c r="F4877" s="531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2" t="str">
        <f t="shared" si="262"/>
        <v/>
      </c>
      <c r="E4878" s="531"/>
      <c r="F4878" s="531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2" t="str">
        <f t="shared" si="262"/>
        <v/>
      </c>
      <c r="E4879" s="531"/>
      <c r="F4879" s="531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2" t="str">
        <f t="shared" si="262"/>
        <v/>
      </c>
      <c r="E4880" s="531"/>
      <c r="F4880" s="531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2" t="str">
        <f t="shared" si="262"/>
        <v/>
      </c>
      <c r="E4881" s="531"/>
      <c r="F4881" s="531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2" t="str">
        <f t="shared" si="262"/>
        <v/>
      </c>
      <c r="E4882" s="531"/>
      <c r="F4882" s="531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2" t="str">
        <f t="shared" si="262"/>
        <v/>
      </c>
      <c r="E4883" s="531"/>
      <c r="F4883" s="531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2" t="str">
        <f t="shared" si="262"/>
        <v/>
      </c>
      <c r="E4884" s="531"/>
      <c r="F4884" s="531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2" t="str">
        <f t="shared" si="262"/>
        <v/>
      </c>
      <c r="E4885" s="531"/>
      <c r="F4885" s="531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2" t="str">
        <f t="shared" si="262"/>
        <v/>
      </c>
      <c r="E4886" s="531"/>
      <c r="F4886" s="531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2" t="str">
        <f t="shared" si="262"/>
        <v/>
      </c>
      <c r="E4887" s="531"/>
      <c r="F4887" s="531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2" t="str">
        <f t="shared" si="262"/>
        <v/>
      </c>
      <c r="E4888" s="531"/>
      <c r="F4888" s="531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2" t="str">
        <f t="shared" si="262"/>
        <v/>
      </c>
      <c r="E4889" s="531"/>
      <c r="F4889" s="531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2" t="str">
        <f t="shared" si="262"/>
        <v/>
      </c>
      <c r="E4890" s="531"/>
      <c r="F4890" s="531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2" t="str">
        <f t="shared" si="262"/>
        <v/>
      </c>
      <c r="E4891" s="531"/>
      <c r="F4891" s="531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2" t="str">
        <f t="shared" si="262"/>
        <v/>
      </c>
      <c r="E4892" s="531"/>
      <c r="F4892" s="531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2" t="str">
        <f t="shared" si="262"/>
        <v/>
      </c>
      <c r="E4893" s="531"/>
      <c r="F4893" s="531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2" t="str">
        <f t="shared" si="262"/>
        <v/>
      </c>
      <c r="E4894" s="531"/>
      <c r="F4894" s="531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2" t="str">
        <f t="shared" si="262"/>
        <v/>
      </c>
      <c r="E4895" s="531"/>
      <c r="F4895" s="531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2" t="str">
        <f t="shared" si="262"/>
        <v/>
      </c>
      <c r="E4896" s="531"/>
      <c r="F4896" s="531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2" t="str">
        <f t="shared" si="262"/>
        <v/>
      </c>
      <c r="E4897" s="531"/>
      <c r="F4897" s="531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2" t="str">
        <f t="shared" si="262"/>
        <v/>
      </c>
      <c r="E4898" s="531"/>
      <c r="F4898" s="531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2" t="str">
        <f t="shared" si="262"/>
        <v/>
      </c>
      <c r="E4899" s="531"/>
      <c r="F4899" s="531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2" t="str">
        <f t="shared" si="262"/>
        <v/>
      </c>
      <c r="E4900" s="531"/>
      <c r="F4900" s="531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2" t="str">
        <f t="shared" si="262"/>
        <v/>
      </c>
      <c r="E4901" s="531"/>
      <c r="F4901" s="531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2" t="str">
        <f t="shared" si="262"/>
        <v/>
      </c>
      <c r="E4902" s="531"/>
      <c r="F4902" s="531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2" t="str">
        <f t="shared" si="262"/>
        <v/>
      </c>
      <c r="E4903" s="531"/>
      <c r="F4903" s="531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2" t="str">
        <f t="shared" si="262"/>
        <v/>
      </c>
      <c r="E4904" s="531"/>
      <c r="F4904" s="531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2" t="str">
        <f t="shared" si="262"/>
        <v/>
      </c>
      <c r="E4905" s="531"/>
      <c r="F4905" s="531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2" t="str">
        <f t="shared" si="262"/>
        <v/>
      </c>
      <c r="E4906" s="531"/>
      <c r="F4906" s="531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2" t="str">
        <f t="shared" si="262"/>
        <v/>
      </c>
      <c r="E4907" s="531"/>
      <c r="F4907" s="531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2" t="str">
        <f t="shared" si="262"/>
        <v/>
      </c>
      <c r="E4908" s="531"/>
      <c r="F4908" s="531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2" t="str">
        <f t="shared" si="262"/>
        <v/>
      </c>
      <c r="E4909" s="531"/>
      <c r="F4909" s="531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2" t="str">
        <f t="shared" si="262"/>
        <v/>
      </c>
      <c r="E4910" s="531"/>
      <c r="F4910" s="531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2" t="str">
        <f t="shared" si="262"/>
        <v/>
      </c>
      <c r="E4911" s="531"/>
      <c r="F4911" s="531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2" t="str">
        <f t="shared" si="262"/>
        <v/>
      </c>
      <c r="E4912" s="531"/>
      <c r="F4912" s="531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2" t="str">
        <f t="shared" si="262"/>
        <v/>
      </c>
      <c r="E4913" s="531"/>
      <c r="F4913" s="531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2" t="str">
        <f t="shared" si="262"/>
        <v/>
      </c>
      <c r="E4914" s="531"/>
      <c r="F4914" s="531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2" t="str">
        <f t="shared" si="262"/>
        <v/>
      </c>
      <c r="E4915" s="531"/>
      <c r="F4915" s="531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2" t="str">
        <f t="shared" si="262"/>
        <v/>
      </c>
      <c r="E4916" s="531"/>
      <c r="F4916" s="531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2" t="str">
        <f t="shared" si="262"/>
        <v/>
      </c>
      <c r="E4917" s="531"/>
      <c r="F4917" s="531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2" t="str">
        <f t="shared" si="262"/>
        <v/>
      </c>
      <c r="E4918" s="531"/>
      <c r="F4918" s="531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2" t="str">
        <f t="shared" si="262"/>
        <v/>
      </c>
      <c r="E4919" s="531"/>
      <c r="F4919" s="531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2" t="str">
        <f t="shared" si="262"/>
        <v/>
      </c>
      <c r="E4920" s="531"/>
      <c r="F4920" s="531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2" t="str">
        <f t="shared" si="262"/>
        <v/>
      </c>
      <c r="E4921" s="531"/>
      <c r="F4921" s="531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2" t="str">
        <f t="shared" si="262"/>
        <v/>
      </c>
      <c r="E4922" s="531"/>
      <c r="F4922" s="531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2" t="str">
        <f t="shared" si="262"/>
        <v/>
      </c>
      <c r="E4923" s="531"/>
      <c r="F4923" s="531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2" t="str">
        <f t="shared" si="262"/>
        <v/>
      </c>
      <c r="E4924" s="531"/>
      <c r="F4924" s="531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2" t="str">
        <f t="shared" si="262"/>
        <v/>
      </c>
      <c r="E4925" s="531"/>
      <c r="F4925" s="531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2" t="str">
        <f t="shared" si="262"/>
        <v/>
      </c>
      <c r="E4926" s="531"/>
      <c r="F4926" s="531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2" t="str">
        <f t="shared" si="262"/>
        <v/>
      </c>
      <c r="E4927" s="531"/>
      <c r="F4927" s="531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2" t="str">
        <f t="shared" si="262"/>
        <v/>
      </c>
      <c r="E4928" s="531"/>
      <c r="F4928" s="531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2" t="str">
        <f t="shared" si="262"/>
        <v/>
      </c>
      <c r="E4929" s="531"/>
      <c r="F4929" s="531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2" t="str">
        <f t="shared" si="262"/>
        <v/>
      </c>
      <c r="E4930" s="531"/>
      <c r="F4930" s="531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2" t="str">
        <f t="shared" si="262"/>
        <v/>
      </c>
      <c r="E4931" s="531"/>
      <c r="F4931" s="531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2" t="str">
        <f t="shared" si="262"/>
        <v/>
      </c>
      <c r="E4932" s="531"/>
      <c r="F4932" s="531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2" t="str">
        <f t="shared" si="262"/>
        <v/>
      </c>
      <c r="E4933" s="531"/>
      <c r="F4933" s="531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2" t="str">
        <f t="shared" si="262"/>
        <v/>
      </c>
      <c r="E4934" s="531"/>
      <c r="F4934" s="531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2" t="str">
        <f t="shared" si="262"/>
        <v/>
      </c>
      <c r="E4935" s="531"/>
      <c r="F4935" s="531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2" t="str">
        <f t="shared" si="262"/>
        <v/>
      </c>
      <c r="E4936" s="531"/>
      <c r="F4936" s="531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2" t="str">
        <f t="shared" ref="D4937:D5000" si="265">IF(A4937&lt;&gt;"",PROPER(TEXT(A4937,"Mmmm")),"")</f>
        <v/>
      </c>
      <c r="E4937" s="531"/>
      <c r="F4937" s="531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2" t="str">
        <f t="shared" si="265"/>
        <v/>
      </c>
      <c r="E4938" s="531"/>
      <c r="F4938" s="531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2" t="str">
        <f t="shared" si="265"/>
        <v/>
      </c>
      <c r="E4939" s="531"/>
      <c r="F4939" s="531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2" t="str">
        <f t="shared" si="265"/>
        <v/>
      </c>
      <c r="E4940" s="531"/>
      <c r="F4940" s="531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2" t="str">
        <f t="shared" si="265"/>
        <v/>
      </c>
      <c r="E4941" s="531"/>
      <c r="F4941" s="531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2" t="str">
        <f t="shared" si="265"/>
        <v/>
      </c>
      <c r="E4942" s="531"/>
      <c r="F4942" s="531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2" t="str">
        <f t="shared" si="265"/>
        <v/>
      </c>
      <c r="E4943" s="531"/>
      <c r="F4943" s="531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2" t="str">
        <f t="shared" si="265"/>
        <v/>
      </c>
      <c r="E4944" s="531"/>
      <c r="F4944" s="531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2" t="str">
        <f t="shared" si="265"/>
        <v/>
      </c>
      <c r="E4945" s="531"/>
      <c r="F4945" s="531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2" t="str">
        <f t="shared" si="265"/>
        <v/>
      </c>
      <c r="E4946" s="531"/>
      <c r="F4946" s="531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2" t="str">
        <f t="shared" si="265"/>
        <v/>
      </c>
      <c r="E4947" s="531"/>
      <c r="F4947" s="531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2" t="str">
        <f t="shared" si="265"/>
        <v/>
      </c>
      <c r="E4948" s="531"/>
      <c r="F4948" s="531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2" t="str">
        <f t="shared" si="265"/>
        <v/>
      </c>
      <c r="E4949" s="531"/>
      <c r="F4949" s="531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2" t="str">
        <f t="shared" si="265"/>
        <v/>
      </c>
      <c r="E4950" s="531"/>
      <c r="F4950" s="531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2" t="str">
        <f t="shared" si="265"/>
        <v/>
      </c>
      <c r="E4951" s="531"/>
      <c r="F4951" s="531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2" t="str">
        <f t="shared" si="265"/>
        <v/>
      </c>
      <c r="E4952" s="531"/>
      <c r="F4952" s="531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2" t="str">
        <f t="shared" si="265"/>
        <v/>
      </c>
      <c r="E4953" s="531"/>
      <c r="F4953" s="531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2" t="str">
        <f t="shared" si="265"/>
        <v/>
      </c>
      <c r="E4954" s="531"/>
      <c r="F4954" s="531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2" t="str">
        <f t="shared" si="265"/>
        <v/>
      </c>
      <c r="E4955" s="531"/>
      <c r="F4955" s="531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2" t="str">
        <f t="shared" si="265"/>
        <v/>
      </c>
      <c r="E4956" s="531"/>
      <c r="F4956" s="531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2" t="str">
        <f t="shared" si="265"/>
        <v/>
      </c>
      <c r="E4957" s="531"/>
      <c r="F4957" s="531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2" t="str">
        <f t="shared" si="265"/>
        <v/>
      </c>
      <c r="E4958" s="531"/>
      <c r="F4958" s="531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2" t="str">
        <f t="shared" si="265"/>
        <v/>
      </c>
      <c r="E4959" s="531"/>
      <c r="F4959" s="531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2" t="str">
        <f t="shared" si="265"/>
        <v/>
      </c>
      <c r="E4960" s="531"/>
      <c r="F4960" s="531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2" t="str">
        <f t="shared" si="265"/>
        <v/>
      </c>
      <c r="E4961" s="531"/>
      <c r="F4961" s="531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2" t="str">
        <f t="shared" si="265"/>
        <v/>
      </c>
      <c r="E4962" s="531"/>
      <c r="F4962" s="531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2" t="str">
        <f t="shared" si="265"/>
        <v/>
      </c>
      <c r="E4963" s="531"/>
      <c r="F4963" s="531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2" t="str">
        <f t="shared" si="265"/>
        <v/>
      </c>
      <c r="E4964" s="531"/>
      <c r="F4964" s="531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2" t="str">
        <f t="shared" si="265"/>
        <v/>
      </c>
      <c r="E4965" s="531"/>
      <c r="F4965" s="531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2" t="str">
        <f t="shared" si="265"/>
        <v/>
      </c>
      <c r="E4966" s="531"/>
      <c r="F4966" s="531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2" t="str">
        <f t="shared" si="265"/>
        <v/>
      </c>
      <c r="E4967" s="531"/>
      <c r="F4967" s="531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2" t="str">
        <f t="shared" si="265"/>
        <v/>
      </c>
      <c r="E4968" s="531"/>
      <c r="F4968" s="531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2" t="str">
        <f t="shared" si="265"/>
        <v/>
      </c>
      <c r="E4969" s="531"/>
      <c r="F4969" s="531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2" t="str">
        <f t="shared" si="265"/>
        <v/>
      </c>
      <c r="E4970" s="531"/>
      <c r="F4970" s="531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2" t="str">
        <f t="shared" si="265"/>
        <v/>
      </c>
      <c r="E4971" s="531"/>
      <c r="F4971" s="531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2" t="str">
        <f t="shared" si="265"/>
        <v/>
      </c>
      <c r="E4972" s="531"/>
      <c r="F4972" s="531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2" t="str">
        <f t="shared" si="265"/>
        <v/>
      </c>
      <c r="E4973" s="531"/>
      <c r="F4973" s="531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2" t="str">
        <f t="shared" si="265"/>
        <v/>
      </c>
      <c r="E4974" s="531"/>
      <c r="F4974" s="531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2" t="str">
        <f t="shared" si="265"/>
        <v/>
      </c>
      <c r="E4975" s="531"/>
      <c r="F4975" s="531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2" t="str">
        <f t="shared" si="265"/>
        <v/>
      </c>
      <c r="E4976" s="531"/>
      <c r="F4976" s="531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2" t="str">
        <f t="shared" si="265"/>
        <v/>
      </c>
      <c r="E4977" s="531"/>
      <c r="F4977" s="531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2" t="str">
        <f t="shared" si="265"/>
        <v/>
      </c>
      <c r="E4978" s="531"/>
      <c r="F4978" s="531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2" t="str">
        <f t="shared" si="265"/>
        <v/>
      </c>
      <c r="E4979" s="531"/>
      <c r="F4979" s="531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2" t="str">
        <f t="shared" si="265"/>
        <v/>
      </c>
      <c r="E4980" s="531"/>
      <c r="F4980" s="531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2" t="str">
        <f t="shared" si="265"/>
        <v/>
      </c>
      <c r="E4981" s="531"/>
      <c r="F4981" s="531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2" t="str">
        <f t="shared" si="265"/>
        <v/>
      </c>
      <c r="E4982" s="531"/>
      <c r="F4982" s="531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2" t="str">
        <f t="shared" si="265"/>
        <v/>
      </c>
      <c r="E4983" s="531"/>
      <c r="F4983" s="531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2" t="str">
        <f t="shared" si="265"/>
        <v/>
      </c>
      <c r="E4984" s="531"/>
      <c r="F4984" s="531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2" t="str">
        <f t="shared" si="265"/>
        <v/>
      </c>
      <c r="E4985" s="531"/>
      <c r="F4985" s="531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2" t="str">
        <f t="shared" si="265"/>
        <v/>
      </c>
      <c r="E4986" s="531"/>
      <c r="F4986" s="531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2" t="str">
        <f t="shared" si="265"/>
        <v/>
      </c>
      <c r="E4987" s="531"/>
      <c r="F4987" s="531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2" t="str">
        <f t="shared" si="265"/>
        <v/>
      </c>
      <c r="E4988" s="531"/>
      <c r="F4988" s="531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2" t="str">
        <f t="shared" si="265"/>
        <v/>
      </c>
      <c r="E4989" s="531"/>
      <c r="F4989" s="531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2" t="str">
        <f t="shared" si="265"/>
        <v/>
      </c>
      <c r="E4990" s="531"/>
      <c r="F4990" s="531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2" t="str">
        <f t="shared" si="265"/>
        <v/>
      </c>
      <c r="E4991" s="531"/>
      <c r="F4991" s="531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2" t="str">
        <f t="shared" si="265"/>
        <v/>
      </c>
      <c r="E4992" s="531"/>
      <c r="F4992" s="531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2" t="str">
        <f t="shared" si="265"/>
        <v/>
      </c>
      <c r="E4993" s="531"/>
      <c r="F4993" s="531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2" t="str">
        <f t="shared" si="265"/>
        <v/>
      </c>
      <c r="E4994" s="531"/>
      <c r="F4994" s="531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2" t="str">
        <f t="shared" si="265"/>
        <v/>
      </c>
      <c r="E4995" s="531"/>
      <c r="F4995" s="531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2" t="str">
        <f t="shared" si="265"/>
        <v/>
      </c>
      <c r="E4996" s="531"/>
      <c r="F4996" s="531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2" t="str">
        <f t="shared" si="265"/>
        <v/>
      </c>
      <c r="E4997" s="531"/>
      <c r="F4997" s="531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2" t="str">
        <f t="shared" si="265"/>
        <v/>
      </c>
      <c r="E4998" s="531"/>
      <c r="F4998" s="531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2" t="str">
        <f t="shared" si="265"/>
        <v/>
      </c>
      <c r="E4999" s="531"/>
      <c r="F4999" s="531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2" t="str">
        <f t="shared" si="265"/>
        <v/>
      </c>
      <c r="E5000" s="531"/>
      <c r="F5000" s="531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2" t="str">
        <f t="shared" ref="D5001:D5064" si="268">IF(A5001&lt;&gt;"",PROPER(TEXT(A5001,"Mmmm")),"")</f>
        <v/>
      </c>
      <c r="E5001" s="531"/>
      <c r="F5001" s="531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2" t="str">
        <f t="shared" si="268"/>
        <v/>
      </c>
      <c r="E5002" s="531"/>
      <c r="F5002" s="531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2" t="str">
        <f t="shared" si="268"/>
        <v/>
      </c>
      <c r="E5003" s="531"/>
      <c r="F5003" s="531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2" t="str">
        <f t="shared" si="268"/>
        <v/>
      </c>
      <c r="E5004" s="531"/>
      <c r="F5004" s="531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2" t="str">
        <f t="shared" si="268"/>
        <v/>
      </c>
      <c r="E5005" s="531"/>
      <c r="F5005" s="531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2" t="str">
        <f t="shared" si="268"/>
        <v/>
      </c>
      <c r="E5006" s="531"/>
      <c r="F5006" s="531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2" t="str">
        <f t="shared" si="268"/>
        <v/>
      </c>
      <c r="E5007" s="531"/>
      <c r="F5007" s="531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2" t="str">
        <f t="shared" si="268"/>
        <v/>
      </c>
      <c r="E5008" s="531"/>
      <c r="F5008" s="531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2" t="str">
        <f t="shared" si="268"/>
        <v/>
      </c>
      <c r="E5009" s="531"/>
      <c r="F5009" s="531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2" t="str">
        <f t="shared" si="268"/>
        <v/>
      </c>
      <c r="E5010" s="531"/>
      <c r="F5010" s="531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2" t="str">
        <f t="shared" si="268"/>
        <v/>
      </c>
      <c r="E5011" s="531"/>
      <c r="F5011" s="531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2" t="str">
        <f t="shared" si="268"/>
        <v/>
      </c>
      <c r="E5012" s="531"/>
      <c r="F5012" s="531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2" t="str">
        <f t="shared" si="268"/>
        <v/>
      </c>
      <c r="E5013" s="531"/>
      <c r="F5013" s="531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2" t="str">
        <f t="shared" si="268"/>
        <v/>
      </c>
      <c r="E5014" s="531"/>
      <c r="F5014" s="531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2" t="str">
        <f t="shared" si="268"/>
        <v/>
      </c>
      <c r="E5015" s="531"/>
      <c r="F5015" s="531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2" t="str">
        <f t="shared" si="268"/>
        <v/>
      </c>
      <c r="E5016" s="531"/>
      <c r="F5016" s="531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2" t="str">
        <f t="shared" si="268"/>
        <v/>
      </c>
      <c r="E5017" s="531"/>
      <c r="F5017" s="531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2" t="str">
        <f t="shared" si="268"/>
        <v/>
      </c>
      <c r="E5018" s="531"/>
      <c r="F5018" s="531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2" t="str">
        <f t="shared" si="268"/>
        <v/>
      </c>
      <c r="E5019" s="531"/>
      <c r="F5019" s="531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2" t="str">
        <f t="shared" si="268"/>
        <v/>
      </c>
      <c r="E5020" s="531"/>
      <c r="F5020" s="531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2" t="str">
        <f t="shared" si="268"/>
        <v/>
      </c>
      <c r="E5021" s="531"/>
      <c r="F5021" s="531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2" t="str">
        <f t="shared" si="268"/>
        <v/>
      </c>
      <c r="E5022" s="531"/>
      <c r="F5022" s="531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2" t="str">
        <f t="shared" si="268"/>
        <v/>
      </c>
      <c r="E5023" s="531"/>
      <c r="F5023" s="531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2" t="str">
        <f t="shared" si="268"/>
        <v/>
      </c>
      <c r="E5024" s="531"/>
      <c r="F5024" s="531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2" t="str">
        <f t="shared" si="268"/>
        <v/>
      </c>
      <c r="E5025" s="531"/>
      <c r="F5025" s="531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2" t="str">
        <f t="shared" si="268"/>
        <v/>
      </c>
      <c r="E5026" s="531"/>
      <c r="F5026" s="531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2" t="str">
        <f t="shared" si="268"/>
        <v/>
      </c>
      <c r="E5027" s="531"/>
      <c r="F5027" s="531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2" t="str">
        <f t="shared" si="268"/>
        <v/>
      </c>
      <c r="E5028" s="531"/>
      <c r="F5028" s="531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2" t="str">
        <f t="shared" si="268"/>
        <v/>
      </c>
      <c r="E5029" s="531"/>
      <c r="F5029" s="531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2" t="str">
        <f t="shared" si="268"/>
        <v/>
      </c>
      <c r="E5030" s="531"/>
      <c r="F5030" s="531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2" t="str">
        <f t="shared" si="268"/>
        <v/>
      </c>
      <c r="E5031" s="531"/>
      <c r="F5031" s="531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2" t="str">
        <f t="shared" si="268"/>
        <v/>
      </c>
      <c r="E5032" s="531"/>
      <c r="F5032" s="531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2" t="str">
        <f t="shared" si="268"/>
        <v/>
      </c>
      <c r="E5033" s="531"/>
      <c r="F5033" s="531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2" t="str">
        <f t="shared" si="268"/>
        <v/>
      </c>
      <c r="E5034" s="531"/>
      <c r="F5034" s="531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2" t="str">
        <f t="shared" si="268"/>
        <v/>
      </c>
      <c r="E5035" s="531"/>
      <c r="F5035" s="531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2" t="str">
        <f t="shared" si="268"/>
        <v/>
      </c>
      <c r="E5036" s="531"/>
      <c r="F5036" s="531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2" t="str">
        <f t="shared" si="268"/>
        <v/>
      </c>
      <c r="E5037" s="531"/>
      <c r="F5037" s="531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2" t="str">
        <f t="shared" si="268"/>
        <v/>
      </c>
      <c r="E5038" s="531"/>
      <c r="F5038" s="531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2" t="str">
        <f t="shared" si="268"/>
        <v/>
      </c>
      <c r="E5039" s="531"/>
      <c r="F5039" s="531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2" t="str">
        <f t="shared" si="268"/>
        <v/>
      </c>
      <c r="E5040" s="531"/>
      <c r="F5040" s="531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2" t="str">
        <f t="shared" si="268"/>
        <v/>
      </c>
      <c r="E5041" s="531"/>
      <c r="F5041" s="531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2" t="str">
        <f t="shared" si="268"/>
        <v/>
      </c>
      <c r="E5042" s="531"/>
      <c r="F5042" s="531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2" t="str">
        <f t="shared" si="268"/>
        <v/>
      </c>
      <c r="E5043" s="531"/>
      <c r="F5043" s="531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2" t="str">
        <f t="shared" si="268"/>
        <v/>
      </c>
      <c r="E5044" s="531"/>
      <c r="F5044" s="531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2" t="str">
        <f t="shared" si="268"/>
        <v/>
      </c>
      <c r="E5045" s="531"/>
      <c r="F5045" s="531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2" t="str">
        <f t="shared" si="268"/>
        <v/>
      </c>
      <c r="E5046" s="531"/>
      <c r="F5046" s="531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2" t="str">
        <f t="shared" si="268"/>
        <v/>
      </c>
      <c r="E5047" s="531"/>
      <c r="F5047" s="531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2" t="str">
        <f t="shared" si="268"/>
        <v/>
      </c>
      <c r="E5048" s="531"/>
      <c r="F5048" s="531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2" t="str">
        <f t="shared" si="268"/>
        <v/>
      </c>
      <c r="E5049" s="531"/>
      <c r="F5049" s="531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2" t="str">
        <f t="shared" si="268"/>
        <v/>
      </c>
      <c r="E5050" s="531"/>
      <c r="F5050" s="531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2" t="str">
        <f t="shared" si="268"/>
        <v/>
      </c>
      <c r="E5051" s="531"/>
      <c r="F5051" s="531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2" t="str">
        <f t="shared" si="268"/>
        <v/>
      </c>
      <c r="E5052" s="531"/>
      <c r="F5052" s="531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2" t="str">
        <f t="shared" si="268"/>
        <v/>
      </c>
      <c r="E5053" s="531"/>
      <c r="F5053" s="531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2" t="str">
        <f t="shared" si="268"/>
        <v/>
      </c>
      <c r="E5054" s="531"/>
      <c r="F5054" s="531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2" t="str">
        <f t="shared" si="268"/>
        <v/>
      </c>
      <c r="E5055" s="531"/>
      <c r="F5055" s="531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2" t="str">
        <f t="shared" si="268"/>
        <v/>
      </c>
      <c r="E5056" s="531"/>
      <c r="F5056" s="531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2" t="str">
        <f t="shared" si="268"/>
        <v/>
      </c>
      <c r="E5057" s="531"/>
      <c r="F5057" s="531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2" t="str">
        <f t="shared" si="268"/>
        <v/>
      </c>
      <c r="E5058" s="531"/>
      <c r="F5058" s="531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2" t="str">
        <f t="shared" si="268"/>
        <v/>
      </c>
      <c r="E5059" s="531"/>
      <c r="F5059" s="531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2" t="str">
        <f t="shared" si="268"/>
        <v/>
      </c>
      <c r="E5060" s="531"/>
      <c r="F5060" s="531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2" t="str">
        <f t="shared" si="268"/>
        <v/>
      </c>
      <c r="E5061" s="531"/>
      <c r="F5061" s="531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2" t="str">
        <f t="shared" si="268"/>
        <v/>
      </c>
      <c r="E5062" s="531"/>
      <c r="F5062" s="531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2" t="str">
        <f t="shared" si="268"/>
        <v/>
      </c>
      <c r="E5063" s="531"/>
      <c r="F5063" s="531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2" t="str">
        <f t="shared" si="268"/>
        <v/>
      </c>
      <c r="E5064" s="531"/>
      <c r="F5064" s="531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2" t="str">
        <f t="shared" ref="D5065:D5128" si="271">IF(A5065&lt;&gt;"",PROPER(TEXT(A5065,"Mmmm")),"")</f>
        <v/>
      </c>
      <c r="E5065" s="531"/>
      <c r="F5065" s="531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2" t="str">
        <f t="shared" si="271"/>
        <v/>
      </c>
      <c r="E5066" s="531"/>
      <c r="F5066" s="531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2" t="str">
        <f t="shared" si="271"/>
        <v/>
      </c>
      <c r="E5067" s="531"/>
      <c r="F5067" s="531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2" t="str">
        <f t="shared" si="271"/>
        <v/>
      </c>
      <c r="E5068" s="531"/>
      <c r="F5068" s="531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2" t="str">
        <f t="shared" si="271"/>
        <v/>
      </c>
      <c r="E5069" s="531"/>
      <c r="F5069" s="531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2" t="str">
        <f t="shared" si="271"/>
        <v/>
      </c>
      <c r="E5070" s="531"/>
      <c r="F5070" s="531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2" t="str">
        <f t="shared" si="271"/>
        <v/>
      </c>
      <c r="E5071" s="531"/>
      <c r="F5071" s="531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2" t="str">
        <f t="shared" si="271"/>
        <v/>
      </c>
      <c r="E5072" s="531"/>
      <c r="F5072" s="531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2" t="str">
        <f t="shared" si="271"/>
        <v/>
      </c>
      <c r="E5073" s="531"/>
      <c r="F5073" s="531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2" t="str">
        <f t="shared" si="271"/>
        <v/>
      </c>
      <c r="E5074" s="531"/>
      <c r="F5074" s="531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2" t="str">
        <f t="shared" si="271"/>
        <v/>
      </c>
      <c r="E5075" s="531"/>
      <c r="F5075" s="531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2" t="str">
        <f t="shared" si="271"/>
        <v/>
      </c>
      <c r="E5076" s="531"/>
      <c r="F5076" s="531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2" t="str">
        <f t="shared" si="271"/>
        <v/>
      </c>
      <c r="E5077" s="531"/>
      <c r="F5077" s="531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2" t="str">
        <f t="shared" si="271"/>
        <v/>
      </c>
      <c r="E5078" s="531"/>
      <c r="F5078" s="531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2" t="str">
        <f t="shared" si="271"/>
        <v/>
      </c>
      <c r="E5079" s="531"/>
      <c r="F5079" s="531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2" t="str">
        <f t="shared" si="271"/>
        <v/>
      </c>
      <c r="E5080" s="531"/>
      <c r="F5080" s="531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2" t="str">
        <f t="shared" si="271"/>
        <v/>
      </c>
      <c r="E5081" s="531"/>
      <c r="F5081" s="531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2" t="str">
        <f t="shared" si="271"/>
        <v/>
      </c>
      <c r="E5082" s="531"/>
      <c r="F5082" s="531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2" t="str">
        <f t="shared" si="271"/>
        <v/>
      </c>
      <c r="E5083" s="531"/>
      <c r="F5083" s="531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2" t="str">
        <f t="shared" si="271"/>
        <v/>
      </c>
      <c r="E5084" s="531"/>
      <c r="F5084" s="531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2" t="str">
        <f t="shared" si="271"/>
        <v/>
      </c>
      <c r="E5085" s="531"/>
      <c r="F5085" s="531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2" t="str">
        <f t="shared" si="271"/>
        <v/>
      </c>
      <c r="E5086" s="531"/>
      <c r="F5086" s="531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2" t="str">
        <f t="shared" si="271"/>
        <v/>
      </c>
      <c r="E5087" s="531"/>
      <c r="F5087" s="531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2" t="str">
        <f t="shared" si="271"/>
        <v/>
      </c>
      <c r="E5088" s="531"/>
      <c r="F5088" s="531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2" t="str">
        <f t="shared" si="271"/>
        <v/>
      </c>
      <c r="E5089" s="531"/>
      <c r="F5089" s="531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2" t="str">
        <f t="shared" si="271"/>
        <v/>
      </c>
      <c r="E5090" s="531"/>
      <c r="F5090" s="531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2" t="str">
        <f t="shared" si="271"/>
        <v/>
      </c>
      <c r="E5091" s="531"/>
      <c r="F5091" s="531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2" t="str">
        <f t="shared" si="271"/>
        <v/>
      </c>
      <c r="E5092" s="531"/>
      <c r="F5092" s="531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2" t="str">
        <f t="shared" si="271"/>
        <v/>
      </c>
      <c r="E5093" s="531"/>
      <c r="F5093" s="531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2" t="str">
        <f t="shared" si="271"/>
        <v/>
      </c>
      <c r="E5094" s="531"/>
      <c r="F5094" s="531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2" t="str">
        <f t="shared" si="271"/>
        <v/>
      </c>
      <c r="E5095" s="531"/>
      <c r="F5095" s="531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2" t="str">
        <f t="shared" si="271"/>
        <v/>
      </c>
      <c r="E5096" s="531"/>
      <c r="F5096" s="531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2" t="str">
        <f t="shared" si="271"/>
        <v/>
      </c>
      <c r="E5097" s="531"/>
      <c r="F5097" s="531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2" t="str">
        <f t="shared" si="271"/>
        <v/>
      </c>
      <c r="E5098" s="531"/>
      <c r="F5098" s="531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2" t="str">
        <f t="shared" si="271"/>
        <v/>
      </c>
      <c r="E5099" s="531"/>
      <c r="F5099" s="531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2" t="str">
        <f t="shared" si="271"/>
        <v/>
      </c>
      <c r="E5100" s="531"/>
      <c r="F5100" s="531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2" t="str">
        <f t="shared" si="271"/>
        <v/>
      </c>
      <c r="E5101" s="531"/>
      <c r="F5101" s="531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2" t="str">
        <f t="shared" si="271"/>
        <v/>
      </c>
      <c r="E5102" s="531"/>
      <c r="F5102" s="531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2" t="str">
        <f t="shared" si="271"/>
        <v/>
      </c>
      <c r="E5103" s="531"/>
      <c r="F5103" s="531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2" t="str">
        <f t="shared" si="271"/>
        <v/>
      </c>
      <c r="E5104" s="531"/>
      <c r="F5104" s="531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2" t="str">
        <f t="shared" si="271"/>
        <v/>
      </c>
      <c r="E5105" s="531"/>
      <c r="F5105" s="531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2" t="str">
        <f t="shared" si="271"/>
        <v/>
      </c>
      <c r="E5106" s="531"/>
      <c r="F5106" s="531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2" t="str">
        <f t="shared" si="271"/>
        <v/>
      </c>
      <c r="E5107" s="531"/>
      <c r="F5107" s="531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2" t="str">
        <f t="shared" si="271"/>
        <v/>
      </c>
      <c r="E5108" s="531"/>
      <c r="F5108" s="531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2" t="str">
        <f t="shared" si="271"/>
        <v/>
      </c>
      <c r="E5109" s="531"/>
      <c r="F5109" s="531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2" t="str">
        <f t="shared" si="271"/>
        <v/>
      </c>
      <c r="E5110" s="531"/>
      <c r="F5110" s="531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2" t="str">
        <f t="shared" si="271"/>
        <v/>
      </c>
      <c r="E5111" s="531"/>
      <c r="F5111" s="531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2" t="str">
        <f t="shared" si="271"/>
        <v/>
      </c>
      <c r="E5112" s="531"/>
      <c r="F5112" s="531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2" t="str">
        <f t="shared" si="271"/>
        <v/>
      </c>
      <c r="E5113" s="531"/>
      <c r="F5113" s="531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2" t="str">
        <f t="shared" si="271"/>
        <v/>
      </c>
      <c r="E5114" s="531"/>
      <c r="F5114" s="531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2" t="str">
        <f t="shared" si="271"/>
        <v/>
      </c>
      <c r="E5115" s="531"/>
      <c r="F5115" s="531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2" t="str">
        <f t="shared" si="271"/>
        <v/>
      </c>
      <c r="E5116" s="531"/>
      <c r="F5116" s="531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2" t="str">
        <f t="shared" si="271"/>
        <v/>
      </c>
      <c r="E5117" s="531"/>
      <c r="F5117" s="531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2" t="str">
        <f t="shared" si="271"/>
        <v/>
      </c>
      <c r="E5118" s="531"/>
      <c r="F5118" s="531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2" t="str">
        <f t="shared" si="271"/>
        <v/>
      </c>
      <c r="E5119" s="531"/>
      <c r="F5119" s="531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2" t="str">
        <f t="shared" si="271"/>
        <v/>
      </c>
      <c r="E5120" s="531"/>
      <c r="F5120" s="531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2" t="str">
        <f t="shared" si="271"/>
        <v/>
      </c>
      <c r="E5121" s="531"/>
      <c r="F5121" s="531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2" t="str">
        <f t="shared" si="271"/>
        <v/>
      </c>
      <c r="E5122" s="531"/>
      <c r="F5122" s="531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2" t="str">
        <f t="shared" si="271"/>
        <v/>
      </c>
      <c r="E5123" s="531"/>
      <c r="F5123" s="531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2" t="str">
        <f t="shared" si="271"/>
        <v/>
      </c>
      <c r="E5124" s="531"/>
      <c r="F5124" s="531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2" t="str">
        <f t="shared" si="271"/>
        <v/>
      </c>
      <c r="E5125" s="531"/>
      <c r="F5125" s="531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2" t="str">
        <f t="shared" si="271"/>
        <v/>
      </c>
      <c r="E5126" s="531"/>
      <c r="F5126" s="531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2" t="str">
        <f t="shared" si="271"/>
        <v/>
      </c>
      <c r="E5127" s="531"/>
      <c r="F5127" s="531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2" t="str">
        <f t="shared" si="271"/>
        <v/>
      </c>
      <c r="E5128" s="531"/>
      <c r="F5128" s="531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2" t="str">
        <f t="shared" ref="D5129:D5192" si="274">IF(A5129&lt;&gt;"",PROPER(TEXT(A5129,"Mmmm")),"")</f>
        <v/>
      </c>
      <c r="E5129" s="531"/>
      <c r="F5129" s="531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2" t="str">
        <f t="shared" si="274"/>
        <v/>
      </c>
      <c r="E5130" s="531"/>
      <c r="F5130" s="531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2" t="str">
        <f t="shared" si="274"/>
        <v/>
      </c>
      <c r="E5131" s="531"/>
      <c r="F5131" s="531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2" t="str">
        <f t="shared" si="274"/>
        <v/>
      </c>
      <c r="E5132" s="531"/>
      <c r="F5132" s="531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2" t="str">
        <f t="shared" si="274"/>
        <v/>
      </c>
      <c r="E5133" s="531"/>
      <c r="F5133" s="531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2" t="str">
        <f t="shared" si="274"/>
        <v/>
      </c>
      <c r="E5134" s="531"/>
      <c r="F5134" s="531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2" t="str">
        <f t="shared" si="274"/>
        <v/>
      </c>
      <c r="E5135" s="531"/>
      <c r="F5135" s="531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2" t="str">
        <f t="shared" si="274"/>
        <v/>
      </c>
      <c r="E5136" s="531"/>
      <c r="F5136" s="531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2" t="str">
        <f t="shared" si="274"/>
        <v/>
      </c>
      <c r="E5137" s="531"/>
      <c r="F5137" s="531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2" t="str">
        <f t="shared" si="274"/>
        <v/>
      </c>
      <c r="E5138" s="531"/>
      <c r="F5138" s="531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2" t="str">
        <f t="shared" si="274"/>
        <v/>
      </c>
      <c r="E5139" s="531"/>
      <c r="F5139" s="531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2" t="str">
        <f t="shared" si="274"/>
        <v/>
      </c>
      <c r="E5140" s="531"/>
      <c r="F5140" s="531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2" t="str">
        <f t="shared" si="274"/>
        <v/>
      </c>
      <c r="E5141" s="531"/>
      <c r="F5141" s="531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2" t="str">
        <f t="shared" si="274"/>
        <v/>
      </c>
      <c r="E5142" s="531"/>
      <c r="F5142" s="531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2" t="str">
        <f t="shared" si="274"/>
        <v/>
      </c>
      <c r="E5143" s="531"/>
      <c r="F5143" s="531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2" t="str">
        <f t="shared" si="274"/>
        <v/>
      </c>
      <c r="E5144" s="531"/>
      <c r="F5144" s="531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2" t="str">
        <f t="shared" si="274"/>
        <v/>
      </c>
      <c r="E5145" s="531"/>
      <c r="F5145" s="531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2" t="str">
        <f t="shared" si="274"/>
        <v/>
      </c>
      <c r="E5146" s="531"/>
      <c r="F5146" s="531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2" t="str">
        <f t="shared" si="274"/>
        <v/>
      </c>
      <c r="E5147" s="531"/>
      <c r="F5147" s="531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2" t="str">
        <f t="shared" si="274"/>
        <v/>
      </c>
      <c r="E5148" s="531"/>
      <c r="F5148" s="531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2" t="str">
        <f t="shared" si="274"/>
        <v/>
      </c>
      <c r="E5149" s="531"/>
      <c r="F5149" s="531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2" t="str">
        <f t="shared" si="274"/>
        <v/>
      </c>
      <c r="E5150" s="531"/>
      <c r="F5150" s="531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2" t="str">
        <f t="shared" si="274"/>
        <v/>
      </c>
      <c r="E5151" s="531"/>
      <c r="F5151" s="531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2" t="str">
        <f t="shared" si="274"/>
        <v/>
      </c>
      <c r="E5152" s="531"/>
      <c r="F5152" s="531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2" t="str">
        <f t="shared" si="274"/>
        <v/>
      </c>
      <c r="E5153" s="531"/>
      <c r="F5153" s="531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2" t="str">
        <f t="shared" si="274"/>
        <v/>
      </c>
      <c r="E5154" s="531"/>
      <c r="F5154" s="531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2" t="str">
        <f t="shared" si="274"/>
        <v/>
      </c>
      <c r="E5155" s="531"/>
      <c r="F5155" s="531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2" t="str">
        <f t="shared" si="274"/>
        <v/>
      </c>
      <c r="E5156" s="531"/>
      <c r="F5156" s="531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2" t="str">
        <f t="shared" si="274"/>
        <v/>
      </c>
      <c r="E5157" s="531"/>
      <c r="F5157" s="531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2" t="str">
        <f t="shared" si="274"/>
        <v/>
      </c>
      <c r="E5158" s="531"/>
      <c r="F5158" s="531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2" t="str">
        <f t="shared" si="274"/>
        <v/>
      </c>
      <c r="E5159" s="531"/>
      <c r="F5159" s="531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2" t="str">
        <f t="shared" si="274"/>
        <v/>
      </c>
      <c r="E5160" s="531"/>
      <c r="F5160" s="531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2" t="str">
        <f t="shared" si="274"/>
        <v/>
      </c>
      <c r="E5161" s="531"/>
      <c r="F5161" s="531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2" t="str">
        <f t="shared" si="274"/>
        <v/>
      </c>
      <c r="E5162" s="531"/>
      <c r="F5162" s="531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2" t="str">
        <f t="shared" si="274"/>
        <v/>
      </c>
      <c r="E5163" s="531"/>
      <c r="F5163" s="531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2" t="str">
        <f t="shared" si="274"/>
        <v/>
      </c>
      <c r="E5164" s="531"/>
      <c r="F5164" s="531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2" t="str">
        <f t="shared" si="274"/>
        <v/>
      </c>
      <c r="E5165" s="531"/>
      <c r="F5165" s="531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2" t="str">
        <f t="shared" si="274"/>
        <v/>
      </c>
      <c r="E5166" s="531"/>
      <c r="F5166" s="531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2" t="str">
        <f t="shared" si="274"/>
        <v/>
      </c>
      <c r="E5167" s="531"/>
      <c r="F5167" s="531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2" t="str">
        <f t="shared" si="274"/>
        <v/>
      </c>
      <c r="E5168" s="531"/>
      <c r="F5168" s="531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2" t="str">
        <f t="shared" si="274"/>
        <v/>
      </c>
      <c r="E5169" s="531"/>
      <c r="F5169" s="531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2" t="str">
        <f t="shared" si="274"/>
        <v/>
      </c>
      <c r="E5170" s="531"/>
      <c r="F5170" s="531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2" t="str">
        <f t="shared" si="274"/>
        <v/>
      </c>
      <c r="E5171" s="531"/>
      <c r="F5171" s="531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2" t="str">
        <f t="shared" si="274"/>
        <v/>
      </c>
      <c r="E5172" s="531"/>
      <c r="F5172" s="531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2" t="str">
        <f t="shared" si="274"/>
        <v/>
      </c>
      <c r="E5173" s="531"/>
      <c r="F5173" s="531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2" t="str">
        <f t="shared" si="274"/>
        <v/>
      </c>
      <c r="E5174" s="531"/>
      <c r="F5174" s="531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2" t="str">
        <f t="shared" si="274"/>
        <v/>
      </c>
      <c r="E5175" s="531"/>
      <c r="F5175" s="531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2" t="str">
        <f t="shared" si="274"/>
        <v/>
      </c>
      <c r="E5176" s="531"/>
      <c r="F5176" s="531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2" t="str">
        <f t="shared" si="274"/>
        <v/>
      </c>
      <c r="E5177" s="531"/>
      <c r="F5177" s="531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2" t="str">
        <f t="shared" si="274"/>
        <v/>
      </c>
      <c r="E5178" s="531"/>
      <c r="F5178" s="531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2" t="str">
        <f t="shared" si="274"/>
        <v/>
      </c>
      <c r="E5179" s="531"/>
      <c r="F5179" s="531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2" t="str">
        <f t="shared" si="274"/>
        <v/>
      </c>
      <c r="E5180" s="531"/>
      <c r="F5180" s="531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2" t="str">
        <f t="shared" si="274"/>
        <v/>
      </c>
      <c r="E5181" s="531"/>
      <c r="F5181" s="531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2" t="str">
        <f t="shared" si="274"/>
        <v/>
      </c>
      <c r="E5182" s="531"/>
      <c r="F5182" s="531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2" t="str">
        <f t="shared" si="274"/>
        <v/>
      </c>
      <c r="E5183" s="531"/>
      <c r="F5183" s="531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2" t="str">
        <f t="shared" si="274"/>
        <v/>
      </c>
      <c r="E5184" s="531"/>
      <c r="F5184" s="531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2" t="str">
        <f t="shared" si="274"/>
        <v/>
      </c>
      <c r="E5185" s="531"/>
      <c r="F5185" s="531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2" t="str">
        <f t="shared" si="274"/>
        <v/>
      </c>
      <c r="E5186" s="531"/>
      <c r="F5186" s="531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2" t="str">
        <f t="shared" si="274"/>
        <v/>
      </c>
      <c r="E5187" s="531"/>
      <c r="F5187" s="531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2" t="str">
        <f t="shared" si="274"/>
        <v/>
      </c>
      <c r="E5188" s="531"/>
      <c r="F5188" s="531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2" t="str">
        <f t="shared" si="274"/>
        <v/>
      </c>
      <c r="E5189" s="531"/>
      <c r="F5189" s="531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2" t="str">
        <f t="shared" si="274"/>
        <v/>
      </c>
      <c r="E5190" s="531"/>
      <c r="F5190" s="531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2" t="str">
        <f t="shared" si="274"/>
        <v/>
      </c>
      <c r="E5191" s="531"/>
      <c r="F5191" s="531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2" t="str">
        <f t="shared" si="274"/>
        <v/>
      </c>
      <c r="E5192" s="531"/>
      <c r="F5192" s="531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2" t="str">
        <f t="shared" ref="D5193:D5256" si="277">IF(A5193&lt;&gt;"",PROPER(TEXT(A5193,"Mmmm")),"")</f>
        <v/>
      </c>
      <c r="E5193" s="531"/>
      <c r="F5193" s="531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2" t="str">
        <f t="shared" si="277"/>
        <v/>
      </c>
      <c r="E5194" s="531"/>
      <c r="F5194" s="531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2" t="str">
        <f t="shared" si="277"/>
        <v/>
      </c>
      <c r="E5195" s="531"/>
      <c r="F5195" s="531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2" t="str">
        <f t="shared" si="277"/>
        <v/>
      </c>
      <c r="E5196" s="531"/>
      <c r="F5196" s="531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2" t="str">
        <f t="shared" si="277"/>
        <v/>
      </c>
      <c r="E5197" s="531"/>
      <c r="F5197" s="531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2" t="str">
        <f t="shared" si="277"/>
        <v/>
      </c>
      <c r="E5198" s="531"/>
      <c r="F5198" s="531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2" t="str">
        <f t="shared" si="277"/>
        <v/>
      </c>
      <c r="E5199" s="531"/>
      <c r="F5199" s="531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2" t="str">
        <f t="shared" si="277"/>
        <v/>
      </c>
      <c r="E5200" s="531"/>
      <c r="F5200" s="531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2" t="str">
        <f t="shared" si="277"/>
        <v/>
      </c>
      <c r="E5201" s="531"/>
      <c r="F5201" s="531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2" t="str">
        <f t="shared" si="277"/>
        <v/>
      </c>
      <c r="E5202" s="531"/>
      <c r="F5202" s="531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2" t="str">
        <f t="shared" si="277"/>
        <v/>
      </c>
      <c r="E5203" s="531"/>
      <c r="F5203" s="531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2" t="str">
        <f t="shared" si="277"/>
        <v/>
      </c>
      <c r="E5204" s="531"/>
      <c r="F5204" s="531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2" t="str">
        <f t="shared" si="277"/>
        <v/>
      </c>
      <c r="E5205" s="531"/>
      <c r="F5205" s="531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2" t="str">
        <f t="shared" si="277"/>
        <v/>
      </c>
      <c r="E5206" s="531"/>
      <c r="F5206" s="531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2" t="str">
        <f t="shared" si="277"/>
        <v/>
      </c>
      <c r="E5207" s="531"/>
      <c r="F5207" s="531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2" t="str">
        <f t="shared" si="277"/>
        <v/>
      </c>
      <c r="E5208" s="531"/>
      <c r="F5208" s="531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2" t="str">
        <f t="shared" si="277"/>
        <v/>
      </c>
      <c r="E5209" s="531"/>
      <c r="F5209" s="531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2" t="str">
        <f t="shared" si="277"/>
        <v/>
      </c>
      <c r="E5210" s="531"/>
      <c r="F5210" s="531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2" t="str">
        <f t="shared" si="277"/>
        <v/>
      </c>
      <c r="E5211" s="531"/>
      <c r="F5211" s="531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2" t="str">
        <f t="shared" si="277"/>
        <v/>
      </c>
      <c r="E5212" s="531"/>
      <c r="F5212" s="531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2" t="str">
        <f t="shared" si="277"/>
        <v/>
      </c>
      <c r="E5213" s="531"/>
      <c r="F5213" s="531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2" t="str">
        <f t="shared" si="277"/>
        <v/>
      </c>
      <c r="E5214" s="531"/>
      <c r="F5214" s="531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2" t="str">
        <f t="shared" si="277"/>
        <v/>
      </c>
      <c r="E5215" s="531"/>
      <c r="F5215" s="531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2" t="str">
        <f t="shared" si="277"/>
        <v/>
      </c>
      <c r="E5216" s="531"/>
      <c r="F5216" s="531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2" t="str">
        <f t="shared" si="277"/>
        <v/>
      </c>
      <c r="E5217" s="531"/>
      <c r="F5217" s="531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2" t="str">
        <f t="shared" si="277"/>
        <v/>
      </c>
      <c r="E5218" s="531"/>
      <c r="F5218" s="531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2" t="str">
        <f t="shared" si="277"/>
        <v/>
      </c>
      <c r="E5219" s="531"/>
      <c r="F5219" s="531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2" t="str">
        <f t="shared" si="277"/>
        <v/>
      </c>
      <c r="E5220" s="531"/>
      <c r="F5220" s="531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2" t="str">
        <f t="shared" si="277"/>
        <v/>
      </c>
      <c r="E5221" s="531"/>
      <c r="F5221" s="531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2" t="str">
        <f t="shared" si="277"/>
        <v/>
      </c>
      <c r="E5222" s="531"/>
      <c r="F5222" s="531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2" t="str">
        <f t="shared" si="277"/>
        <v/>
      </c>
      <c r="E5223" s="531"/>
      <c r="F5223" s="531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2" t="str">
        <f t="shared" si="277"/>
        <v/>
      </c>
      <c r="E5224" s="531"/>
      <c r="F5224" s="531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2" t="str">
        <f t="shared" si="277"/>
        <v/>
      </c>
      <c r="E5225" s="531"/>
      <c r="F5225" s="531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2" t="str">
        <f t="shared" si="277"/>
        <v/>
      </c>
      <c r="E5226" s="531"/>
      <c r="F5226" s="531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2" t="str">
        <f t="shared" si="277"/>
        <v/>
      </c>
      <c r="E5227" s="531"/>
      <c r="F5227" s="531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2" t="str">
        <f t="shared" si="277"/>
        <v/>
      </c>
      <c r="E5228" s="531"/>
      <c r="F5228" s="531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2" t="str">
        <f t="shared" si="277"/>
        <v/>
      </c>
      <c r="E5229" s="531"/>
      <c r="F5229" s="531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2" t="str">
        <f t="shared" si="277"/>
        <v/>
      </c>
      <c r="E5230" s="531"/>
      <c r="F5230" s="531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2" t="str">
        <f t="shared" si="277"/>
        <v/>
      </c>
      <c r="E5231" s="531"/>
      <c r="F5231" s="531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2" t="str">
        <f t="shared" si="277"/>
        <v/>
      </c>
      <c r="E5232" s="531"/>
      <c r="F5232" s="531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2" t="str">
        <f t="shared" si="277"/>
        <v/>
      </c>
      <c r="E5233" s="531"/>
      <c r="F5233" s="531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2" t="str">
        <f t="shared" si="277"/>
        <v/>
      </c>
      <c r="E5234" s="531"/>
      <c r="F5234" s="531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2" t="str">
        <f t="shared" si="277"/>
        <v/>
      </c>
      <c r="E5235" s="531"/>
      <c r="F5235" s="531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2" t="str">
        <f t="shared" si="277"/>
        <v/>
      </c>
      <c r="E5236" s="531"/>
      <c r="F5236" s="531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2" t="str">
        <f t="shared" si="277"/>
        <v/>
      </c>
      <c r="E5237" s="531"/>
      <c r="F5237" s="531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2" t="str">
        <f t="shared" si="277"/>
        <v/>
      </c>
      <c r="E5238" s="531"/>
      <c r="F5238" s="531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2" t="str">
        <f t="shared" si="277"/>
        <v/>
      </c>
      <c r="E5239" s="531"/>
      <c r="F5239" s="531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2" t="str">
        <f t="shared" si="277"/>
        <v/>
      </c>
      <c r="E5240" s="531"/>
      <c r="F5240" s="531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2" t="str">
        <f t="shared" si="277"/>
        <v/>
      </c>
      <c r="E5241" s="531"/>
      <c r="F5241" s="531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2" t="str">
        <f t="shared" si="277"/>
        <v/>
      </c>
      <c r="E5242" s="531"/>
      <c r="F5242" s="531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2" t="str">
        <f t="shared" si="277"/>
        <v/>
      </c>
      <c r="E5243" s="531"/>
      <c r="F5243" s="531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2" t="str">
        <f t="shared" si="277"/>
        <v/>
      </c>
      <c r="E5244" s="531"/>
      <c r="F5244" s="531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2" t="str">
        <f t="shared" si="277"/>
        <v/>
      </c>
      <c r="E5245" s="531"/>
      <c r="F5245" s="531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2" t="str">
        <f t="shared" si="277"/>
        <v/>
      </c>
      <c r="E5246" s="531"/>
      <c r="F5246" s="531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2" t="str">
        <f t="shared" si="277"/>
        <v/>
      </c>
      <c r="E5247" s="531"/>
      <c r="F5247" s="531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2" t="str">
        <f t="shared" si="277"/>
        <v/>
      </c>
      <c r="E5248" s="531"/>
      <c r="F5248" s="531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2" t="str">
        <f t="shared" si="277"/>
        <v/>
      </c>
      <c r="E5249" s="531"/>
      <c r="F5249" s="531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2" t="str">
        <f t="shared" si="277"/>
        <v/>
      </c>
      <c r="E5250" s="531"/>
      <c r="F5250" s="531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2" t="str">
        <f t="shared" si="277"/>
        <v/>
      </c>
      <c r="E5251" s="531"/>
      <c r="F5251" s="531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2" t="str">
        <f t="shared" si="277"/>
        <v/>
      </c>
      <c r="E5252" s="531"/>
      <c r="F5252" s="531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2" t="str">
        <f t="shared" si="277"/>
        <v/>
      </c>
      <c r="E5253" s="531"/>
      <c r="F5253" s="531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2" t="str">
        <f t="shared" si="277"/>
        <v/>
      </c>
      <c r="E5254" s="531"/>
      <c r="F5254" s="531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2" t="str">
        <f t="shared" si="277"/>
        <v/>
      </c>
      <c r="E5255" s="531"/>
      <c r="F5255" s="531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2" t="str">
        <f t="shared" si="277"/>
        <v/>
      </c>
      <c r="E5256" s="531"/>
      <c r="F5256" s="531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2" t="str">
        <f t="shared" ref="D5257:D5320" si="280">IF(A5257&lt;&gt;"",PROPER(TEXT(A5257,"Mmmm")),"")</f>
        <v/>
      </c>
      <c r="E5257" s="531"/>
      <c r="F5257" s="531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2" t="str">
        <f t="shared" si="280"/>
        <v/>
      </c>
      <c r="E5258" s="531"/>
      <c r="F5258" s="531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2" t="str">
        <f t="shared" si="280"/>
        <v/>
      </c>
      <c r="E5259" s="531"/>
      <c r="F5259" s="531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2" t="str">
        <f t="shared" si="280"/>
        <v/>
      </c>
      <c r="E5260" s="531"/>
      <c r="F5260" s="531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2" t="str">
        <f t="shared" si="280"/>
        <v/>
      </c>
      <c r="E5261" s="531"/>
      <c r="F5261" s="531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2" t="str">
        <f t="shared" si="280"/>
        <v/>
      </c>
      <c r="E5262" s="531"/>
      <c r="F5262" s="531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2" t="str">
        <f t="shared" si="280"/>
        <v/>
      </c>
      <c r="E5263" s="531"/>
      <c r="F5263" s="531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2" t="str">
        <f t="shared" si="280"/>
        <v/>
      </c>
      <c r="E5264" s="531"/>
      <c r="F5264" s="531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2" t="str">
        <f t="shared" si="280"/>
        <v/>
      </c>
      <c r="E5265" s="531"/>
      <c r="F5265" s="531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2" t="str">
        <f t="shared" si="280"/>
        <v/>
      </c>
      <c r="E5266" s="531"/>
      <c r="F5266" s="531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2" t="str">
        <f t="shared" si="280"/>
        <v/>
      </c>
      <c r="E5267" s="531"/>
      <c r="F5267" s="531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2" t="str">
        <f t="shared" si="280"/>
        <v/>
      </c>
      <c r="E5268" s="531"/>
      <c r="F5268" s="531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2" t="str">
        <f t="shared" si="280"/>
        <v/>
      </c>
      <c r="E5269" s="531"/>
      <c r="F5269" s="531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2" t="str">
        <f t="shared" si="280"/>
        <v/>
      </c>
      <c r="E5270" s="531"/>
      <c r="F5270" s="531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2" t="str">
        <f t="shared" si="280"/>
        <v/>
      </c>
      <c r="E5271" s="531"/>
      <c r="F5271" s="531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2" t="str">
        <f t="shared" si="280"/>
        <v/>
      </c>
      <c r="E5272" s="531"/>
      <c r="F5272" s="531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2" t="str">
        <f t="shared" si="280"/>
        <v/>
      </c>
      <c r="E5273" s="531"/>
      <c r="F5273" s="531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2" t="str">
        <f t="shared" si="280"/>
        <v/>
      </c>
      <c r="E5274" s="531"/>
      <c r="F5274" s="531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2" t="str">
        <f t="shared" si="280"/>
        <v/>
      </c>
      <c r="E5275" s="531"/>
      <c r="F5275" s="531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2" t="str">
        <f t="shared" si="280"/>
        <v/>
      </c>
      <c r="E5276" s="531"/>
      <c r="F5276" s="531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2" t="str">
        <f t="shared" si="280"/>
        <v/>
      </c>
      <c r="E5277" s="531"/>
      <c r="F5277" s="531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2" t="str">
        <f t="shared" si="280"/>
        <v/>
      </c>
      <c r="E5278" s="531"/>
      <c r="F5278" s="531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2" t="str">
        <f t="shared" si="280"/>
        <v/>
      </c>
      <c r="E5279" s="531"/>
      <c r="F5279" s="531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2" t="str">
        <f t="shared" si="280"/>
        <v/>
      </c>
      <c r="E5280" s="531"/>
      <c r="F5280" s="531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2" t="str">
        <f t="shared" si="280"/>
        <v/>
      </c>
      <c r="E5281" s="531"/>
      <c r="F5281" s="531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2" t="str">
        <f t="shared" si="280"/>
        <v/>
      </c>
      <c r="E5282" s="531"/>
      <c r="F5282" s="531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2" t="str">
        <f t="shared" si="280"/>
        <v/>
      </c>
      <c r="E5283" s="531"/>
      <c r="F5283" s="531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2" t="str">
        <f t="shared" si="280"/>
        <v/>
      </c>
      <c r="E5284" s="531"/>
      <c r="F5284" s="531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2" t="str">
        <f t="shared" si="280"/>
        <v/>
      </c>
      <c r="E5285" s="531"/>
      <c r="F5285" s="531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2" t="str">
        <f t="shared" si="280"/>
        <v/>
      </c>
      <c r="E5286" s="531"/>
      <c r="F5286" s="531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2" t="str">
        <f t="shared" si="280"/>
        <v/>
      </c>
      <c r="E5287" s="531"/>
      <c r="F5287" s="531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2" t="str">
        <f t="shared" si="280"/>
        <v/>
      </c>
      <c r="E5288" s="531"/>
      <c r="F5288" s="531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2" t="str">
        <f t="shared" si="280"/>
        <v/>
      </c>
      <c r="E5289" s="531"/>
      <c r="F5289" s="531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2" t="str">
        <f t="shared" si="280"/>
        <v/>
      </c>
      <c r="E5290" s="531"/>
      <c r="F5290" s="531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2" t="str">
        <f t="shared" si="280"/>
        <v/>
      </c>
      <c r="E5291" s="531"/>
      <c r="F5291" s="531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2" t="str">
        <f t="shared" si="280"/>
        <v/>
      </c>
      <c r="E5292" s="531"/>
      <c r="F5292" s="531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2" t="str">
        <f t="shared" si="280"/>
        <v/>
      </c>
      <c r="E5293" s="531"/>
      <c r="F5293" s="531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2" t="str">
        <f t="shared" si="280"/>
        <v/>
      </c>
      <c r="E5294" s="531"/>
      <c r="F5294" s="531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2" t="str">
        <f t="shared" si="280"/>
        <v/>
      </c>
      <c r="E5295" s="531"/>
      <c r="F5295" s="531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2" t="str">
        <f t="shared" si="280"/>
        <v/>
      </c>
      <c r="E5296" s="531"/>
      <c r="F5296" s="531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2" t="str">
        <f t="shared" si="280"/>
        <v/>
      </c>
      <c r="E5297" s="531"/>
      <c r="F5297" s="531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2" t="str">
        <f t="shared" si="280"/>
        <v/>
      </c>
      <c r="E5298" s="531"/>
      <c r="F5298" s="531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2" t="str">
        <f t="shared" si="280"/>
        <v/>
      </c>
      <c r="E5299" s="531"/>
      <c r="F5299" s="531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2" t="str">
        <f t="shared" si="280"/>
        <v/>
      </c>
      <c r="E5300" s="531"/>
      <c r="F5300" s="531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2" t="str">
        <f t="shared" si="280"/>
        <v/>
      </c>
      <c r="E5301" s="531"/>
      <c r="F5301" s="531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2" t="str">
        <f t="shared" si="280"/>
        <v/>
      </c>
      <c r="E5302" s="531"/>
      <c r="F5302" s="531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2" t="str">
        <f t="shared" si="280"/>
        <v/>
      </c>
      <c r="E5303" s="531"/>
      <c r="F5303" s="531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2" t="str">
        <f t="shared" si="280"/>
        <v/>
      </c>
      <c r="E5304" s="531"/>
      <c r="F5304" s="531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2" t="str">
        <f t="shared" si="280"/>
        <v/>
      </c>
      <c r="E5305" s="531"/>
      <c r="F5305" s="531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2" t="str">
        <f t="shared" si="280"/>
        <v/>
      </c>
      <c r="E5306" s="531"/>
      <c r="F5306" s="531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2" t="str">
        <f t="shared" si="280"/>
        <v/>
      </c>
      <c r="E5307" s="531"/>
      <c r="F5307" s="531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2" t="str">
        <f t="shared" si="280"/>
        <v/>
      </c>
      <c r="E5308" s="531"/>
      <c r="F5308" s="531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2" t="str">
        <f t="shared" si="280"/>
        <v/>
      </c>
      <c r="E5309" s="531"/>
      <c r="F5309" s="531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2" t="str">
        <f t="shared" si="280"/>
        <v/>
      </c>
      <c r="E5310" s="531"/>
      <c r="F5310" s="531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2" t="str">
        <f t="shared" si="280"/>
        <v/>
      </c>
      <c r="E5311" s="531"/>
      <c r="F5311" s="531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2" t="str">
        <f t="shared" si="280"/>
        <v/>
      </c>
      <c r="E5312" s="531"/>
      <c r="F5312" s="531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2" t="str">
        <f t="shared" si="280"/>
        <v/>
      </c>
      <c r="E5313" s="531"/>
      <c r="F5313" s="531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2" t="str">
        <f t="shared" si="280"/>
        <v/>
      </c>
      <c r="E5314" s="531"/>
      <c r="F5314" s="531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2" t="str">
        <f t="shared" si="280"/>
        <v/>
      </c>
      <c r="E5315" s="531"/>
      <c r="F5315" s="531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2" t="str">
        <f t="shared" si="280"/>
        <v/>
      </c>
      <c r="E5316" s="531"/>
      <c r="F5316" s="531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2" t="str">
        <f t="shared" si="280"/>
        <v/>
      </c>
      <c r="E5317" s="531"/>
      <c r="F5317" s="531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2" t="str">
        <f t="shared" si="280"/>
        <v/>
      </c>
      <c r="E5318" s="531"/>
      <c r="F5318" s="531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2" t="str">
        <f t="shared" si="280"/>
        <v/>
      </c>
      <c r="E5319" s="531"/>
      <c r="F5319" s="531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2" t="str">
        <f t="shared" si="280"/>
        <v/>
      </c>
      <c r="E5320" s="531"/>
      <c r="F5320" s="531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2" t="str">
        <f t="shared" ref="D5321:D5384" si="283">IF(A5321&lt;&gt;"",PROPER(TEXT(A5321,"Mmmm")),"")</f>
        <v/>
      </c>
      <c r="E5321" s="531"/>
      <c r="F5321" s="531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2" t="str">
        <f t="shared" si="283"/>
        <v/>
      </c>
      <c r="E5322" s="531"/>
      <c r="F5322" s="531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2" t="str">
        <f t="shared" si="283"/>
        <v/>
      </c>
      <c r="E5323" s="531"/>
      <c r="F5323" s="531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2" t="str">
        <f t="shared" si="283"/>
        <v/>
      </c>
      <c r="E5324" s="531"/>
      <c r="F5324" s="531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2" t="str">
        <f t="shared" si="283"/>
        <v/>
      </c>
      <c r="E5325" s="531"/>
      <c r="F5325" s="531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2" t="str">
        <f t="shared" si="283"/>
        <v/>
      </c>
      <c r="E5326" s="531"/>
      <c r="F5326" s="531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2" t="str">
        <f t="shared" si="283"/>
        <v/>
      </c>
      <c r="E5327" s="531"/>
      <c r="F5327" s="531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2" t="str">
        <f t="shared" si="283"/>
        <v/>
      </c>
      <c r="E5328" s="531"/>
      <c r="F5328" s="531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2" t="str">
        <f t="shared" si="283"/>
        <v/>
      </c>
      <c r="E5329" s="531"/>
      <c r="F5329" s="531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2" t="str">
        <f t="shared" si="283"/>
        <v/>
      </c>
      <c r="E5330" s="531"/>
      <c r="F5330" s="531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2" t="str">
        <f t="shared" si="283"/>
        <v/>
      </c>
      <c r="E5331" s="531"/>
      <c r="F5331" s="531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2" t="str">
        <f t="shared" si="283"/>
        <v/>
      </c>
      <c r="E5332" s="531"/>
      <c r="F5332" s="531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2" t="str">
        <f t="shared" si="283"/>
        <v/>
      </c>
      <c r="E5333" s="531"/>
      <c r="F5333" s="531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2" t="str">
        <f t="shared" si="283"/>
        <v/>
      </c>
      <c r="E5334" s="531"/>
      <c r="F5334" s="531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2" t="str">
        <f t="shared" si="283"/>
        <v/>
      </c>
      <c r="E5335" s="531"/>
      <c r="F5335" s="531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2" t="str">
        <f t="shared" si="283"/>
        <v/>
      </c>
      <c r="E5336" s="531"/>
      <c r="F5336" s="531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2" t="str">
        <f t="shared" si="283"/>
        <v/>
      </c>
      <c r="E5337" s="531"/>
      <c r="F5337" s="531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2" t="str">
        <f t="shared" si="283"/>
        <v/>
      </c>
      <c r="E5338" s="531"/>
      <c r="F5338" s="531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2" t="str">
        <f t="shared" si="283"/>
        <v/>
      </c>
      <c r="E5339" s="531"/>
      <c r="F5339" s="531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2" t="str">
        <f t="shared" si="283"/>
        <v/>
      </c>
      <c r="E5340" s="531"/>
      <c r="F5340" s="531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2" t="str">
        <f t="shared" si="283"/>
        <v/>
      </c>
      <c r="E5341" s="531"/>
      <c r="F5341" s="531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2" t="str">
        <f t="shared" si="283"/>
        <v/>
      </c>
      <c r="E5342" s="531"/>
      <c r="F5342" s="531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2" t="str">
        <f t="shared" si="283"/>
        <v/>
      </c>
      <c r="E5343" s="531"/>
      <c r="F5343" s="531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2" t="str">
        <f t="shared" si="283"/>
        <v/>
      </c>
      <c r="E5344" s="531"/>
      <c r="F5344" s="531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2" t="str">
        <f t="shared" si="283"/>
        <v/>
      </c>
      <c r="E5345" s="531"/>
      <c r="F5345" s="531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2" t="str">
        <f t="shared" si="283"/>
        <v/>
      </c>
      <c r="E5346" s="531"/>
      <c r="F5346" s="531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2" t="str">
        <f t="shared" si="283"/>
        <v/>
      </c>
      <c r="E5347" s="531"/>
      <c r="F5347" s="531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2" t="str">
        <f t="shared" si="283"/>
        <v/>
      </c>
      <c r="E5348" s="531"/>
      <c r="F5348" s="531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2" t="str">
        <f t="shared" si="283"/>
        <v/>
      </c>
      <c r="E5349" s="531"/>
      <c r="F5349" s="531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2" t="str">
        <f t="shared" si="283"/>
        <v/>
      </c>
      <c r="E5350" s="531"/>
      <c r="F5350" s="531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2" t="str">
        <f t="shared" si="283"/>
        <v/>
      </c>
      <c r="E5351" s="531"/>
      <c r="F5351" s="531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2" t="str">
        <f t="shared" si="283"/>
        <v/>
      </c>
      <c r="E5352" s="531"/>
      <c r="F5352" s="531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2" t="str">
        <f t="shared" si="283"/>
        <v/>
      </c>
      <c r="E5353" s="531"/>
      <c r="F5353" s="531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2" t="str">
        <f t="shared" si="283"/>
        <v/>
      </c>
      <c r="E5354" s="531"/>
      <c r="F5354" s="531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2" t="str">
        <f t="shared" si="283"/>
        <v/>
      </c>
      <c r="E5355" s="531"/>
      <c r="F5355" s="531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2" t="str">
        <f t="shared" si="283"/>
        <v/>
      </c>
      <c r="E5356" s="531"/>
      <c r="F5356" s="531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2" t="str">
        <f t="shared" si="283"/>
        <v/>
      </c>
      <c r="E5357" s="531"/>
      <c r="F5357" s="531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2" t="str">
        <f t="shared" si="283"/>
        <v/>
      </c>
      <c r="E5358" s="531"/>
      <c r="F5358" s="531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2" t="str">
        <f t="shared" si="283"/>
        <v/>
      </c>
      <c r="E5359" s="531"/>
      <c r="F5359" s="531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2" t="str">
        <f t="shared" si="283"/>
        <v/>
      </c>
      <c r="E5360" s="531"/>
      <c r="F5360" s="531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2" t="str">
        <f t="shared" si="283"/>
        <v/>
      </c>
      <c r="E5361" s="531"/>
      <c r="F5361" s="531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2" t="str">
        <f t="shared" si="283"/>
        <v/>
      </c>
      <c r="E5362" s="531"/>
      <c r="F5362" s="531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2" t="str">
        <f t="shared" si="283"/>
        <v/>
      </c>
      <c r="E5363" s="531"/>
      <c r="F5363" s="531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2" t="str">
        <f t="shared" si="283"/>
        <v/>
      </c>
      <c r="E5364" s="531"/>
      <c r="F5364" s="531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2" t="str">
        <f t="shared" si="283"/>
        <v/>
      </c>
      <c r="E5365" s="531"/>
      <c r="F5365" s="531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2" t="str">
        <f t="shared" si="283"/>
        <v/>
      </c>
      <c r="E5366" s="531"/>
      <c r="F5366" s="531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2" t="str">
        <f t="shared" si="283"/>
        <v/>
      </c>
      <c r="E5367" s="531"/>
      <c r="F5367" s="531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2" t="str">
        <f t="shared" si="283"/>
        <v/>
      </c>
      <c r="E5368" s="531"/>
      <c r="F5368" s="531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2" t="str">
        <f t="shared" si="283"/>
        <v/>
      </c>
      <c r="E5369" s="531"/>
      <c r="F5369" s="531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2" t="str">
        <f t="shared" si="283"/>
        <v/>
      </c>
      <c r="E5370" s="531"/>
      <c r="F5370" s="531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2" t="str">
        <f t="shared" si="283"/>
        <v/>
      </c>
      <c r="E5371" s="531"/>
      <c r="F5371" s="531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2" t="str">
        <f t="shared" si="283"/>
        <v/>
      </c>
      <c r="E5372" s="531"/>
      <c r="F5372" s="531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2" t="str">
        <f t="shared" si="283"/>
        <v/>
      </c>
      <c r="E5373" s="531"/>
      <c r="F5373" s="531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2" t="str">
        <f t="shared" si="283"/>
        <v/>
      </c>
      <c r="E5374" s="531"/>
      <c r="F5374" s="531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2" t="str">
        <f t="shared" si="283"/>
        <v/>
      </c>
      <c r="E5375" s="531"/>
      <c r="F5375" s="531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2" t="str">
        <f t="shared" si="283"/>
        <v/>
      </c>
      <c r="E5376" s="531"/>
      <c r="F5376" s="531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2" t="str">
        <f t="shared" si="283"/>
        <v/>
      </c>
      <c r="E5377" s="531"/>
      <c r="F5377" s="531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2" t="str">
        <f t="shared" si="283"/>
        <v/>
      </c>
      <c r="E5378" s="531"/>
      <c r="F5378" s="531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2" t="str">
        <f t="shared" si="283"/>
        <v/>
      </c>
      <c r="E5379" s="531"/>
      <c r="F5379" s="531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2" t="str">
        <f t="shared" si="283"/>
        <v/>
      </c>
      <c r="E5380" s="531"/>
      <c r="F5380" s="531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2" t="str">
        <f t="shared" si="283"/>
        <v/>
      </c>
      <c r="E5381" s="531"/>
      <c r="F5381" s="531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2" t="str">
        <f t="shared" si="283"/>
        <v/>
      </c>
      <c r="E5382" s="531"/>
      <c r="F5382" s="531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2" t="str">
        <f t="shared" si="283"/>
        <v/>
      </c>
      <c r="E5383" s="531"/>
      <c r="F5383" s="531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2" t="str">
        <f t="shared" si="283"/>
        <v/>
      </c>
      <c r="E5384" s="531"/>
      <c r="F5384" s="531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2" t="str">
        <f t="shared" ref="D5385:D5448" si="286">IF(A5385&lt;&gt;"",PROPER(TEXT(A5385,"Mmmm")),"")</f>
        <v/>
      </c>
      <c r="E5385" s="531"/>
      <c r="F5385" s="531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2" t="str">
        <f t="shared" si="286"/>
        <v/>
      </c>
      <c r="E5386" s="531"/>
      <c r="F5386" s="531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2" t="str">
        <f t="shared" si="286"/>
        <v/>
      </c>
      <c r="E5387" s="531"/>
      <c r="F5387" s="531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2" t="str">
        <f t="shared" si="286"/>
        <v/>
      </c>
      <c r="E5388" s="531"/>
      <c r="F5388" s="531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2" t="str">
        <f t="shared" si="286"/>
        <v/>
      </c>
      <c r="E5389" s="531"/>
      <c r="F5389" s="531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2" t="str">
        <f t="shared" si="286"/>
        <v/>
      </c>
      <c r="E5390" s="531"/>
      <c r="F5390" s="531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2" t="str">
        <f t="shared" si="286"/>
        <v/>
      </c>
      <c r="E5391" s="531"/>
      <c r="F5391" s="531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2" t="str">
        <f t="shared" si="286"/>
        <v/>
      </c>
      <c r="E5392" s="531"/>
      <c r="F5392" s="531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2" t="str">
        <f t="shared" si="286"/>
        <v/>
      </c>
      <c r="E5393" s="531"/>
      <c r="F5393" s="531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2" t="str">
        <f t="shared" si="286"/>
        <v/>
      </c>
      <c r="E5394" s="531"/>
      <c r="F5394" s="531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2" t="str">
        <f t="shared" si="286"/>
        <v/>
      </c>
      <c r="E5395" s="531"/>
      <c r="F5395" s="531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2" t="str">
        <f t="shared" si="286"/>
        <v/>
      </c>
      <c r="E5396" s="531"/>
      <c r="F5396" s="531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2" t="str">
        <f t="shared" si="286"/>
        <v/>
      </c>
      <c r="E5397" s="531"/>
      <c r="F5397" s="531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2" t="str">
        <f t="shared" si="286"/>
        <v/>
      </c>
      <c r="E5398" s="531"/>
      <c r="F5398" s="531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2" t="str">
        <f t="shared" si="286"/>
        <v/>
      </c>
      <c r="E5399" s="531"/>
      <c r="F5399" s="531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2" t="str">
        <f t="shared" si="286"/>
        <v/>
      </c>
      <c r="E5400" s="531"/>
      <c r="F5400" s="531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2" t="str">
        <f t="shared" si="286"/>
        <v/>
      </c>
      <c r="E5401" s="531"/>
      <c r="F5401" s="531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2" t="str">
        <f t="shared" si="286"/>
        <v/>
      </c>
      <c r="E5402" s="531"/>
      <c r="F5402" s="531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2" t="str">
        <f t="shared" si="286"/>
        <v/>
      </c>
      <c r="E5403" s="531"/>
      <c r="F5403" s="531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2" t="str">
        <f t="shared" si="286"/>
        <v/>
      </c>
      <c r="E5404" s="531"/>
      <c r="F5404" s="531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2" t="str">
        <f t="shared" si="286"/>
        <v/>
      </c>
      <c r="E5405" s="531"/>
      <c r="F5405" s="531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2" t="str">
        <f t="shared" si="286"/>
        <v/>
      </c>
      <c r="E5406" s="531"/>
      <c r="F5406" s="531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2" t="str">
        <f t="shared" si="286"/>
        <v/>
      </c>
      <c r="E5407" s="531"/>
      <c r="F5407" s="531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2" t="str">
        <f t="shared" si="286"/>
        <v/>
      </c>
      <c r="E5408" s="531"/>
      <c r="F5408" s="531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2" t="str">
        <f t="shared" si="286"/>
        <v/>
      </c>
      <c r="E5409" s="531"/>
      <c r="F5409" s="531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2" t="str">
        <f t="shared" si="286"/>
        <v/>
      </c>
      <c r="E5410" s="531"/>
      <c r="F5410" s="531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2" t="str">
        <f t="shared" si="286"/>
        <v/>
      </c>
      <c r="E5411" s="531"/>
      <c r="F5411" s="531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2" t="str">
        <f t="shared" si="286"/>
        <v/>
      </c>
      <c r="E5412" s="531"/>
      <c r="F5412" s="531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2" t="str">
        <f t="shared" si="286"/>
        <v/>
      </c>
      <c r="E5413" s="531"/>
      <c r="F5413" s="531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2" t="str">
        <f t="shared" si="286"/>
        <v/>
      </c>
      <c r="E5414" s="531"/>
      <c r="F5414" s="531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2" t="str">
        <f t="shared" si="286"/>
        <v/>
      </c>
      <c r="E5415" s="531"/>
      <c r="F5415" s="531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2" t="str">
        <f t="shared" si="286"/>
        <v/>
      </c>
      <c r="E5416" s="531"/>
      <c r="F5416" s="531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2" t="str">
        <f t="shared" si="286"/>
        <v/>
      </c>
      <c r="E5417" s="531"/>
      <c r="F5417" s="531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2" t="str">
        <f t="shared" si="286"/>
        <v/>
      </c>
      <c r="E5418" s="531"/>
      <c r="F5418" s="531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2" t="str">
        <f t="shared" si="286"/>
        <v/>
      </c>
      <c r="E5419" s="531"/>
      <c r="F5419" s="531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2" t="str">
        <f t="shared" si="286"/>
        <v/>
      </c>
      <c r="E5420" s="531"/>
      <c r="F5420" s="531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2" t="str">
        <f t="shared" si="286"/>
        <v/>
      </c>
      <c r="E5421" s="531"/>
      <c r="F5421" s="531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2" t="str">
        <f t="shared" si="286"/>
        <v/>
      </c>
      <c r="E5422" s="531"/>
      <c r="F5422" s="531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2" t="str">
        <f t="shared" si="286"/>
        <v/>
      </c>
      <c r="E5423" s="531"/>
      <c r="F5423" s="531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2" t="str">
        <f t="shared" si="286"/>
        <v/>
      </c>
      <c r="E5424" s="531"/>
      <c r="F5424" s="531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2" t="str">
        <f t="shared" si="286"/>
        <v/>
      </c>
      <c r="E5425" s="531"/>
      <c r="F5425" s="531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2" t="str">
        <f t="shared" si="286"/>
        <v/>
      </c>
      <c r="E5426" s="531"/>
      <c r="F5426" s="531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2" t="str">
        <f t="shared" si="286"/>
        <v/>
      </c>
      <c r="E5427" s="531"/>
      <c r="F5427" s="531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2" t="str">
        <f t="shared" si="286"/>
        <v/>
      </c>
      <c r="E5428" s="531"/>
      <c r="F5428" s="531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2" t="str">
        <f t="shared" si="286"/>
        <v/>
      </c>
      <c r="E5429" s="531"/>
      <c r="F5429" s="531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2" t="str">
        <f t="shared" si="286"/>
        <v/>
      </c>
      <c r="E5430" s="531"/>
      <c r="F5430" s="531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2" t="str">
        <f t="shared" si="286"/>
        <v/>
      </c>
      <c r="E5431" s="531"/>
      <c r="F5431" s="531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2" t="str">
        <f t="shared" si="286"/>
        <v/>
      </c>
      <c r="E5432" s="531"/>
      <c r="F5432" s="531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2" t="str">
        <f t="shared" si="286"/>
        <v/>
      </c>
      <c r="E5433" s="531"/>
      <c r="F5433" s="531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2" t="str">
        <f t="shared" si="286"/>
        <v/>
      </c>
      <c r="E5434" s="531"/>
      <c r="F5434" s="531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2" t="str">
        <f t="shared" si="286"/>
        <v/>
      </c>
      <c r="E5435" s="531"/>
      <c r="F5435" s="531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2" t="str">
        <f t="shared" si="286"/>
        <v/>
      </c>
      <c r="E5436" s="531"/>
      <c r="F5436" s="531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2" t="str">
        <f t="shared" si="286"/>
        <v/>
      </c>
      <c r="E5437" s="531"/>
      <c r="F5437" s="531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2" t="str">
        <f t="shared" si="286"/>
        <v/>
      </c>
      <c r="E5438" s="531"/>
      <c r="F5438" s="531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2" t="str">
        <f t="shared" si="286"/>
        <v/>
      </c>
      <c r="E5439" s="531"/>
      <c r="F5439" s="531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2" t="str">
        <f t="shared" si="286"/>
        <v/>
      </c>
      <c r="E5440" s="531"/>
      <c r="F5440" s="531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2" t="str">
        <f t="shared" si="286"/>
        <v/>
      </c>
      <c r="E5441" s="531"/>
      <c r="F5441" s="531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2" t="str">
        <f t="shared" si="286"/>
        <v/>
      </c>
      <c r="E5442" s="531"/>
      <c r="F5442" s="531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2" t="str">
        <f t="shared" si="286"/>
        <v/>
      </c>
      <c r="E5443" s="531"/>
      <c r="F5443" s="531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2" t="str">
        <f t="shared" si="286"/>
        <v/>
      </c>
      <c r="E5444" s="531"/>
      <c r="F5444" s="531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2" t="str">
        <f t="shared" si="286"/>
        <v/>
      </c>
      <c r="E5445" s="531"/>
      <c r="F5445" s="531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2" t="str">
        <f t="shared" si="286"/>
        <v/>
      </c>
      <c r="E5446" s="531"/>
      <c r="F5446" s="531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2" t="str">
        <f t="shared" si="286"/>
        <v/>
      </c>
      <c r="E5447" s="531"/>
      <c r="F5447" s="531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2" t="str">
        <f t="shared" si="286"/>
        <v/>
      </c>
      <c r="E5448" s="531"/>
      <c r="F5448" s="531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2" t="str">
        <f t="shared" ref="D5449:D5512" si="289">IF(A5449&lt;&gt;"",PROPER(TEXT(A5449,"Mmmm")),"")</f>
        <v/>
      </c>
      <c r="E5449" s="531"/>
      <c r="F5449" s="531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2" t="str">
        <f t="shared" si="289"/>
        <v/>
      </c>
      <c r="E5450" s="531"/>
      <c r="F5450" s="531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2" t="str">
        <f t="shared" si="289"/>
        <v/>
      </c>
      <c r="E5451" s="531"/>
      <c r="F5451" s="531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2" t="str">
        <f t="shared" si="289"/>
        <v/>
      </c>
      <c r="E5452" s="531"/>
      <c r="F5452" s="531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2" t="str">
        <f t="shared" si="289"/>
        <v/>
      </c>
      <c r="E5453" s="531"/>
      <c r="F5453" s="531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2" t="str">
        <f t="shared" si="289"/>
        <v/>
      </c>
      <c r="E5454" s="531"/>
      <c r="F5454" s="531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2" t="str">
        <f t="shared" si="289"/>
        <v/>
      </c>
      <c r="E5455" s="531"/>
      <c r="F5455" s="531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2" t="str">
        <f t="shared" si="289"/>
        <v/>
      </c>
      <c r="E5456" s="531"/>
      <c r="F5456" s="531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2" t="str">
        <f t="shared" si="289"/>
        <v/>
      </c>
      <c r="E5457" s="531"/>
      <c r="F5457" s="531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2" t="str">
        <f t="shared" si="289"/>
        <v/>
      </c>
      <c r="E5458" s="531"/>
      <c r="F5458" s="531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2" t="str">
        <f t="shared" si="289"/>
        <v/>
      </c>
      <c r="E5459" s="531"/>
      <c r="F5459" s="531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2" t="str">
        <f t="shared" si="289"/>
        <v/>
      </c>
      <c r="E5460" s="531"/>
      <c r="F5460" s="531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2" t="str">
        <f t="shared" si="289"/>
        <v/>
      </c>
      <c r="E5461" s="531"/>
      <c r="F5461" s="531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2" t="str">
        <f t="shared" si="289"/>
        <v/>
      </c>
      <c r="E5462" s="531"/>
      <c r="F5462" s="531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2" t="str">
        <f t="shared" si="289"/>
        <v/>
      </c>
      <c r="E5463" s="531"/>
      <c r="F5463" s="531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2" t="str">
        <f t="shared" si="289"/>
        <v/>
      </c>
      <c r="E5464" s="531"/>
      <c r="F5464" s="531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2" t="str">
        <f t="shared" si="289"/>
        <v/>
      </c>
      <c r="E5465" s="531"/>
      <c r="F5465" s="531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2" t="str">
        <f t="shared" si="289"/>
        <v/>
      </c>
      <c r="E5466" s="531"/>
      <c r="F5466" s="531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2" t="str">
        <f t="shared" si="289"/>
        <v/>
      </c>
      <c r="E5467" s="531"/>
      <c r="F5467" s="531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2" t="str">
        <f t="shared" si="289"/>
        <v/>
      </c>
      <c r="E5468" s="531"/>
      <c r="F5468" s="531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2" t="str">
        <f t="shared" si="289"/>
        <v/>
      </c>
      <c r="E5469" s="531"/>
      <c r="F5469" s="531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2" t="str">
        <f t="shared" si="289"/>
        <v/>
      </c>
      <c r="E5470" s="531"/>
      <c r="F5470" s="531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2" t="str">
        <f t="shared" si="289"/>
        <v/>
      </c>
      <c r="E5471" s="531"/>
      <c r="F5471" s="531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2" t="str">
        <f t="shared" si="289"/>
        <v/>
      </c>
      <c r="E5472" s="531"/>
      <c r="F5472" s="531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2" t="str">
        <f t="shared" si="289"/>
        <v/>
      </c>
      <c r="E5473" s="531"/>
      <c r="F5473" s="531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2" t="str">
        <f t="shared" si="289"/>
        <v/>
      </c>
      <c r="E5474" s="531"/>
      <c r="F5474" s="531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2" t="str">
        <f t="shared" si="289"/>
        <v/>
      </c>
      <c r="E5475" s="531"/>
      <c r="F5475" s="531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2" t="str">
        <f t="shared" si="289"/>
        <v/>
      </c>
      <c r="E5476" s="531"/>
      <c r="F5476" s="531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2" t="str">
        <f t="shared" si="289"/>
        <v/>
      </c>
      <c r="E5477" s="531"/>
      <c r="F5477" s="531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2" t="str">
        <f t="shared" si="289"/>
        <v/>
      </c>
      <c r="E5478" s="531"/>
      <c r="F5478" s="531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2" t="str">
        <f t="shared" si="289"/>
        <v/>
      </c>
      <c r="E5479" s="531"/>
      <c r="F5479" s="531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2" t="str">
        <f t="shared" si="289"/>
        <v/>
      </c>
      <c r="E5480" s="531"/>
      <c r="F5480" s="531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2" t="str">
        <f t="shared" si="289"/>
        <v/>
      </c>
      <c r="E5481" s="531"/>
      <c r="F5481" s="531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2" t="str">
        <f t="shared" si="289"/>
        <v/>
      </c>
      <c r="E5482" s="531"/>
      <c r="F5482" s="531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2" t="str">
        <f t="shared" si="289"/>
        <v/>
      </c>
      <c r="E5483" s="531"/>
      <c r="F5483" s="531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2" t="str">
        <f t="shared" si="289"/>
        <v/>
      </c>
      <c r="E5484" s="531"/>
      <c r="F5484" s="531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2" t="str">
        <f t="shared" si="289"/>
        <v/>
      </c>
      <c r="E5485" s="531"/>
      <c r="F5485" s="531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2" t="str">
        <f t="shared" si="289"/>
        <v/>
      </c>
      <c r="E5486" s="531"/>
      <c r="F5486" s="531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2" t="str">
        <f t="shared" si="289"/>
        <v/>
      </c>
      <c r="E5487" s="531"/>
      <c r="F5487" s="531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2" t="str">
        <f t="shared" si="289"/>
        <v/>
      </c>
      <c r="E5488" s="531"/>
      <c r="F5488" s="531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2" t="str">
        <f t="shared" si="289"/>
        <v/>
      </c>
      <c r="E5489" s="531"/>
      <c r="F5489" s="531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2" t="str">
        <f t="shared" si="289"/>
        <v/>
      </c>
      <c r="E5490" s="531"/>
      <c r="F5490" s="531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2" t="str">
        <f t="shared" si="289"/>
        <v/>
      </c>
      <c r="E5491" s="531"/>
      <c r="F5491" s="531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2" t="str">
        <f t="shared" si="289"/>
        <v/>
      </c>
      <c r="E5492" s="531"/>
      <c r="F5492" s="531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2" t="str">
        <f t="shared" si="289"/>
        <v/>
      </c>
      <c r="E5493" s="531"/>
      <c r="F5493" s="531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2" t="str">
        <f t="shared" si="289"/>
        <v/>
      </c>
      <c r="E5494" s="531"/>
      <c r="F5494" s="531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2" t="str">
        <f t="shared" si="289"/>
        <v/>
      </c>
      <c r="E5495" s="531"/>
      <c r="F5495" s="531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2" t="str">
        <f t="shared" si="289"/>
        <v/>
      </c>
      <c r="E5496" s="531"/>
      <c r="F5496" s="531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2" t="str">
        <f t="shared" si="289"/>
        <v/>
      </c>
      <c r="E5497" s="531"/>
      <c r="F5497" s="531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2" t="str">
        <f t="shared" si="289"/>
        <v/>
      </c>
      <c r="E5498" s="531"/>
      <c r="F5498" s="531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2" t="str">
        <f t="shared" si="289"/>
        <v/>
      </c>
      <c r="E5499" s="531"/>
      <c r="F5499" s="531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2" t="str">
        <f t="shared" si="289"/>
        <v/>
      </c>
      <c r="E5500" s="531"/>
      <c r="F5500" s="531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2" t="str">
        <f t="shared" si="289"/>
        <v/>
      </c>
      <c r="E5501" s="531"/>
      <c r="F5501" s="531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2" t="str">
        <f t="shared" si="289"/>
        <v/>
      </c>
      <c r="E5502" s="531"/>
      <c r="F5502" s="531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2" t="str">
        <f t="shared" si="289"/>
        <v/>
      </c>
      <c r="E5503" s="531"/>
      <c r="F5503" s="531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2" t="str">
        <f t="shared" si="289"/>
        <v/>
      </c>
      <c r="E5504" s="531"/>
      <c r="F5504" s="531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2" t="str">
        <f t="shared" si="289"/>
        <v/>
      </c>
      <c r="E5505" s="531"/>
      <c r="F5505" s="531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2" t="str">
        <f t="shared" si="289"/>
        <v/>
      </c>
      <c r="E5506" s="531"/>
      <c r="F5506" s="531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2" t="str">
        <f t="shared" si="289"/>
        <v/>
      </c>
      <c r="E5507" s="531"/>
      <c r="F5507" s="531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2" t="str">
        <f t="shared" si="289"/>
        <v/>
      </c>
      <c r="E5508" s="531"/>
      <c r="F5508" s="531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2" t="str">
        <f t="shared" si="289"/>
        <v/>
      </c>
      <c r="E5509" s="531"/>
      <c r="F5509" s="531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2" t="str">
        <f t="shared" si="289"/>
        <v/>
      </c>
      <c r="E5510" s="531"/>
      <c r="F5510" s="531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2" t="str">
        <f t="shared" si="289"/>
        <v/>
      </c>
      <c r="E5511" s="531"/>
      <c r="F5511" s="531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2" t="str">
        <f t="shared" si="289"/>
        <v/>
      </c>
      <c r="E5512" s="531"/>
      <c r="F5512" s="531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2" t="str">
        <f t="shared" ref="D5513:D5576" si="292">IF(A5513&lt;&gt;"",PROPER(TEXT(A5513,"Mmmm")),"")</f>
        <v/>
      </c>
      <c r="E5513" s="531"/>
      <c r="F5513" s="531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2" t="str">
        <f t="shared" si="292"/>
        <v/>
      </c>
      <c r="E5514" s="531"/>
      <c r="F5514" s="531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2" t="str">
        <f t="shared" si="292"/>
        <v/>
      </c>
      <c r="E5515" s="531"/>
      <c r="F5515" s="531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2" t="str">
        <f t="shared" si="292"/>
        <v/>
      </c>
      <c r="E5516" s="531"/>
      <c r="F5516" s="531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2" t="str">
        <f t="shared" si="292"/>
        <v/>
      </c>
      <c r="E5517" s="531"/>
      <c r="F5517" s="531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2" t="str">
        <f t="shared" si="292"/>
        <v/>
      </c>
      <c r="E5518" s="531"/>
      <c r="F5518" s="531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2" t="str">
        <f t="shared" si="292"/>
        <v/>
      </c>
      <c r="E5519" s="531"/>
      <c r="F5519" s="531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2" t="str">
        <f t="shared" si="292"/>
        <v/>
      </c>
      <c r="E5520" s="531"/>
      <c r="F5520" s="531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2" t="str">
        <f t="shared" si="292"/>
        <v/>
      </c>
      <c r="E5521" s="531"/>
      <c r="F5521" s="531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2" t="str">
        <f t="shared" si="292"/>
        <v/>
      </c>
      <c r="E5522" s="531"/>
      <c r="F5522" s="531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2" t="str">
        <f t="shared" si="292"/>
        <v/>
      </c>
      <c r="E5523" s="531"/>
      <c r="F5523" s="531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2" t="str">
        <f t="shared" si="292"/>
        <v/>
      </c>
      <c r="E5524" s="531"/>
      <c r="F5524" s="531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2" t="str">
        <f t="shared" si="292"/>
        <v/>
      </c>
      <c r="E5525" s="531"/>
      <c r="F5525" s="531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2" t="str">
        <f t="shared" si="292"/>
        <v/>
      </c>
      <c r="E5526" s="531"/>
      <c r="F5526" s="531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2" t="str">
        <f t="shared" si="292"/>
        <v/>
      </c>
      <c r="E5527" s="531"/>
      <c r="F5527" s="531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2" t="str">
        <f t="shared" si="292"/>
        <v/>
      </c>
      <c r="E5528" s="531"/>
      <c r="F5528" s="531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2" t="str">
        <f t="shared" si="292"/>
        <v/>
      </c>
      <c r="E5529" s="531"/>
      <c r="F5529" s="531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2" t="str">
        <f t="shared" si="292"/>
        <v/>
      </c>
      <c r="E5530" s="531"/>
      <c r="F5530" s="531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2" t="str">
        <f t="shared" si="292"/>
        <v/>
      </c>
      <c r="E5531" s="531"/>
      <c r="F5531" s="531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2" t="str">
        <f t="shared" si="292"/>
        <v/>
      </c>
      <c r="E5532" s="531"/>
      <c r="F5532" s="531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2" t="str">
        <f t="shared" si="292"/>
        <v/>
      </c>
      <c r="E5533" s="531"/>
      <c r="F5533" s="531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2" t="str">
        <f t="shared" si="292"/>
        <v/>
      </c>
      <c r="E5534" s="531"/>
      <c r="F5534" s="531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2" t="str">
        <f t="shared" si="292"/>
        <v/>
      </c>
      <c r="E5535" s="531"/>
      <c r="F5535" s="531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2" t="str">
        <f t="shared" si="292"/>
        <v/>
      </c>
      <c r="E5536" s="531"/>
      <c r="F5536" s="531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2" t="str">
        <f t="shared" si="292"/>
        <v/>
      </c>
      <c r="E5537" s="531"/>
      <c r="F5537" s="531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2" t="str">
        <f t="shared" si="292"/>
        <v/>
      </c>
      <c r="E5538" s="531"/>
      <c r="F5538" s="531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2" t="str">
        <f t="shared" si="292"/>
        <v/>
      </c>
      <c r="E5539" s="531"/>
      <c r="F5539" s="531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2" t="str">
        <f t="shared" si="292"/>
        <v/>
      </c>
      <c r="E5540" s="531"/>
      <c r="F5540" s="531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2" t="str">
        <f t="shared" si="292"/>
        <v/>
      </c>
      <c r="E5541" s="531"/>
      <c r="F5541" s="531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2" t="str">
        <f t="shared" si="292"/>
        <v/>
      </c>
      <c r="E5542" s="531"/>
      <c r="F5542" s="531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2" t="str">
        <f t="shared" si="292"/>
        <v/>
      </c>
      <c r="E5543" s="531"/>
      <c r="F5543" s="531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2" t="str">
        <f t="shared" si="292"/>
        <v/>
      </c>
      <c r="E5544" s="531"/>
      <c r="F5544" s="531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2" t="str">
        <f t="shared" si="292"/>
        <v/>
      </c>
      <c r="E5545" s="531"/>
      <c r="F5545" s="531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2" t="str">
        <f t="shared" si="292"/>
        <v/>
      </c>
      <c r="E5546" s="531"/>
      <c r="F5546" s="531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2" t="str">
        <f t="shared" si="292"/>
        <v/>
      </c>
      <c r="E5547" s="531"/>
      <c r="F5547" s="531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2" t="str">
        <f t="shared" si="292"/>
        <v/>
      </c>
      <c r="E5548" s="531"/>
      <c r="F5548" s="531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2" t="str">
        <f t="shared" si="292"/>
        <v/>
      </c>
      <c r="E5549" s="531"/>
      <c r="F5549" s="531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2" t="str">
        <f t="shared" si="292"/>
        <v/>
      </c>
      <c r="E5550" s="531"/>
      <c r="F5550" s="531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2" t="str">
        <f t="shared" si="292"/>
        <v/>
      </c>
      <c r="E5551" s="531"/>
      <c r="F5551" s="531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2" t="str">
        <f t="shared" si="292"/>
        <v/>
      </c>
      <c r="E5552" s="531"/>
      <c r="F5552" s="531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2" t="str">
        <f t="shared" si="292"/>
        <v/>
      </c>
      <c r="E5553" s="531"/>
      <c r="F5553" s="531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2" t="str">
        <f t="shared" si="292"/>
        <v/>
      </c>
      <c r="E5554" s="531"/>
      <c r="F5554" s="531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2" t="str">
        <f t="shared" si="292"/>
        <v/>
      </c>
      <c r="E5555" s="531"/>
      <c r="F5555" s="531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2" t="str">
        <f t="shared" si="292"/>
        <v/>
      </c>
      <c r="E5556" s="531"/>
      <c r="F5556" s="531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2" t="str">
        <f t="shared" si="292"/>
        <v/>
      </c>
      <c r="E5557" s="531"/>
      <c r="F5557" s="531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2" t="str">
        <f t="shared" si="292"/>
        <v/>
      </c>
      <c r="E5558" s="531"/>
      <c r="F5558" s="531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2" t="str">
        <f t="shared" si="292"/>
        <v/>
      </c>
      <c r="E5559" s="531"/>
      <c r="F5559" s="531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2" t="str">
        <f t="shared" si="292"/>
        <v/>
      </c>
      <c r="E5560" s="531"/>
      <c r="F5560" s="531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2" t="str">
        <f t="shared" si="292"/>
        <v/>
      </c>
      <c r="E5561" s="531"/>
      <c r="F5561" s="531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2" t="str">
        <f t="shared" si="292"/>
        <v/>
      </c>
      <c r="E5562" s="531"/>
      <c r="F5562" s="531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2" t="str">
        <f t="shared" si="292"/>
        <v/>
      </c>
      <c r="E5563" s="531"/>
      <c r="F5563" s="531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2" t="str">
        <f t="shared" si="292"/>
        <v/>
      </c>
      <c r="E5564" s="531"/>
      <c r="F5564" s="531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2" t="str">
        <f t="shared" si="292"/>
        <v/>
      </c>
      <c r="E5565" s="531"/>
      <c r="F5565" s="531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2" t="str">
        <f t="shared" si="292"/>
        <v/>
      </c>
      <c r="E5566" s="531"/>
      <c r="F5566" s="531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2" t="str">
        <f t="shared" si="292"/>
        <v/>
      </c>
      <c r="E5567" s="531"/>
      <c r="F5567" s="531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2" t="str">
        <f t="shared" si="292"/>
        <v/>
      </c>
      <c r="E5568" s="531"/>
      <c r="F5568" s="531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2" t="str">
        <f t="shared" si="292"/>
        <v/>
      </c>
      <c r="E5569" s="531"/>
      <c r="F5569" s="531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2" t="str">
        <f t="shared" si="292"/>
        <v/>
      </c>
      <c r="E5570" s="531"/>
      <c r="F5570" s="531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2" t="str">
        <f t="shared" si="292"/>
        <v/>
      </c>
      <c r="E5571" s="531"/>
      <c r="F5571" s="531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2" t="str">
        <f t="shared" si="292"/>
        <v/>
      </c>
      <c r="E5572" s="531"/>
      <c r="F5572" s="531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2" t="str">
        <f t="shared" si="292"/>
        <v/>
      </c>
      <c r="E5573" s="531"/>
      <c r="F5573" s="531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2" t="str">
        <f t="shared" si="292"/>
        <v/>
      </c>
      <c r="E5574" s="531"/>
      <c r="F5574" s="531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2" t="str">
        <f t="shared" si="292"/>
        <v/>
      </c>
      <c r="E5575" s="531"/>
      <c r="F5575" s="531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2" t="str">
        <f t="shared" si="292"/>
        <v/>
      </c>
      <c r="E5576" s="531"/>
      <c r="F5576" s="531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2" t="str">
        <f t="shared" ref="D5577:D5640" si="295">IF(A5577&lt;&gt;"",PROPER(TEXT(A5577,"Mmmm")),"")</f>
        <v/>
      </c>
      <c r="E5577" s="531"/>
      <c r="F5577" s="531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2" t="str">
        <f t="shared" si="295"/>
        <v/>
      </c>
      <c r="E5578" s="531"/>
      <c r="F5578" s="531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2" t="str">
        <f t="shared" si="295"/>
        <v/>
      </c>
      <c r="E5579" s="531"/>
      <c r="F5579" s="531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2" t="str">
        <f t="shared" si="295"/>
        <v/>
      </c>
      <c r="E5580" s="531"/>
      <c r="F5580" s="531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2" t="str">
        <f t="shared" si="295"/>
        <v/>
      </c>
      <c r="E5581" s="531"/>
      <c r="F5581" s="531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2" t="str">
        <f t="shared" si="295"/>
        <v/>
      </c>
      <c r="E5582" s="531"/>
      <c r="F5582" s="531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2" t="str">
        <f t="shared" si="295"/>
        <v/>
      </c>
      <c r="E5583" s="531"/>
      <c r="F5583" s="531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2" t="str">
        <f t="shared" si="295"/>
        <v/>
      </c>
      <c r="E5584" s="531"/>
      <c r="F5584" s="531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2" t="str">
        <f t="shared" si="295"/>
        <v/>
      </c>
      <c r="E5585" s="531"/>
      <c r="F5585" s="531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2" t="str">
        <f t="shared" si="295"/>
        <v/>
      </c>
      <c r="E5586" s="531"/>
      <c r="F5586" s="531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2" t="str">
        <f t="shared" si="295"/>
        <v/>
      </c>
      <c r="E5587" s="531"/>
      <c r="F5587" s="531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2" t="str">
        <f t="shared" si="295"/>
        <v/>
      </c>
      <c r="E5588" s="531"/>
      <c r="F5588" s="531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2" t="str">
        <f t="shared" si="295"/>
        <v/>
      </c>
      <c r="E5589" s="531"/>
      <c r="F5589" s="531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2" t="str">
        <f t="shared" si="295"/>
        <v/>
      </c>
      <c r="E5590" s="531"/>
      <c r="F5590" s="531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2" t="str">
        <f t="shared" si="295"/>
        <v/>
      </c>
      <c r="E5591" s="531"/>
      <c r="F5591" s="531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2" t="str">
        <f t="shared" si="295"/>
        <v/>
      </c>
      <c r="E5592" s="531"/>
      <c r="F5592" s="531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2" t="str">
        <f t="shared" si="295"/>
        <v/>
      </c>
      <c r="E5593" s="531"/>
      <c r="F5593" s="531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2" t="str">
        <f t="shared" si="295"/>
        <v/>
      </c>
      <c r="E5594" s="531"/>
      <c r="F5594" s="531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2" t="str">
        <f t="shared" si="295"/>
        <v/>
      </c>
      <c r="E5595" s="531"/>
      <c r="F5595" s="531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2" t="str">
        <f t="shared" si="295"/>
        <v/>
      </c>
      <c r="E5596" s="531"/>
      <c r="F5596" s="531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2" t="str">
        <f t="shared" si="295"/>
        <v/>
      </c>
      <c r="E5597" s="531"/>
      <c r="F5597" s="531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2" t="str">
        <f t="shared" si="295"/>
        <v/>
      </c>
      <c r="E5598" s="531"/>
      <c r="F5598" s="531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2" t="str">
        <f t="shared" si="295"/>
        <v/>
      </c>
      <c r="E5599" s="531"/>
      <c r="F5599" s="531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2" t="str">
        <f t="shared" si="295"/>
        <v/>
      </c>
      <c r="E5600" s="531"/>
      <c r="F5600" s="531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2" t="str">
        <f t="shared" si="295"/>
        <v/>
      </c>
      <c r="E5601" s="531"/>
      <c r="F5601" s="531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2" t="str">
        <f t="shared" si="295"/>
        <v/>
      </c>
      <c r="E5602" s="531"/>
      <c r="F5602" s="531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2" t="str">
        <f t="shared" si="295"/>
        <v/>
      </c>
      <c r="E5603" s="531"/>
      <c r="F5603" s="531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2" t="str">
        <f t="shared" si="295"/>
        <v/>
      </c>
      <c r="E5604" s="531"/>
      <c r="F5604" s="531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2" t="str">
        <f t="shared" si="295"/>
        <v/>
      </c>
      <c r="E5605" s="531"/>
      <c r="F5605" s="531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2" t="str">
        <f t="shared" si="295"/>
        <v/>
      </c>
      <c r="E5606" s="531"/>
      <c r="F5606" s="531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2" t="str">
        <f t="shared" si="295"/>
        <v/>
      </c>
      <c r="E5607" s="531"/>
      <c r="F5607" s="531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2" t="str">
        <f t="shared" si="295"/>
        <v/>
      </c>
      <c r="E5608" s="531"/>
      <c r="F5608" s="531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2" t="str">
        <f t="shared" si="295"/>
        <v/>
      </c>
      <c r="E5609" s="531"/>
      <c r="F5609" s="531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2" t="str">
        <f t="shared" si="295"/>
        <v/>
      </c>
      <c r="E5610" s="531"/>
      <c r="F5610" s="531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2" t="str">
        <f t="shared" si="295"/>
        <v/>
      </c>
      <c r="E5611" s="531"/>
      <c r="F5611" s="531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2" t="str">
        <f t="shared" si="295"/>
        <v/>
      </c>
      <c r="E5612" s="531"/>
      <c r="F5612" s="531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2" t="str">
        <f t="shared" si="295"/>
        <v/>
      </c>
      <c r="E5613" s="531"/>
      <c r="F5613" s="531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2" t="str">
        <f t="shared" si="295"/>
        <v/>
      </c>
      <c r="E5614" s="531"/>
      <c r="F5614" s="531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2" t="str">
        <f t="shared" si="295"/>
        <v/>
      </c>
      <c r="E5615" s="531"/>
      <c r="F5615" s="531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2" t="str">
        <f t="shared" si="295"/>
        <v/>
      </c>
      <c r="E5616" s="531"/>
      <c r="F5616" s="531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2" t="str">
        <f t="shared" si="295"/>
        <v/>
      </c>
      <c r="E5617" s="531"/>
      <c r="F5617" s="531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2" t="str">
        <f t="shared" si="295"/>
        <v/>
      </c>
      <c r="E5618" s="531"/>
      <c r="F5618" s="531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2" t="str">
        <f t="shared" si="295"/>
        <v/>
      </c>
      <c r="E5619" s="531"/>
      <c r="F5619" s="531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2" t="str">
        <f t="shared" si="295"/>
        <v/>
      </c>
      <c r="E5620" s="531"/>
      <c r="F5620" s="531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2" t="str">
        <f t="shared" si="295"/>
        <v/>
      </c>
      <c r="E5621" s="531"/>
      <c r="F5621" s="531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2" t="str">
        <f t="shared" si="295"/>
        <v/>
      </c>
      <c r="E5622" s="531"/>
      <c r="F5622" s="531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2" t="str">
        <f t="shared" si="295"/>
        <v/>
      </c>
      <c r="E5623" s="531"/>
      <c r="F5623" s="531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2" t="str">
        <f t="shared" si="295"/>
        <v/>
      </c>
      <c r="E5624" s="531"/>
      <c r="F5624" s="531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2" t="str">
        <f t="shared" si="295"/>
        <v/>
      </c>
      <c r="E5625" s="531"/>
      <c r="F5625" s="531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2" t="str">
        <f t="shared" si="295"/>
        <v/>
      </c>
      <c r="E5626" s="531"/>
      <c r="F5626" s="531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2" t="str">
        <f t="shared" si="295"/>
        <v/>
      </c>
      <c r="E5627" s="531"/>
      <c r="F5627" s="531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2" t="str">
        <f t="shared" si="295"/>
        <v/>
      </c>
      <c r="E5628" s="531"/>
      <c r="F5628" s="531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2" t="str">
        <f t="shared" si="295"/>
        <v/>
      </c>
      <c r="E5629" s="531"/>
      <c r="F5629" s="531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2" t="str">
        <f t="shared" si="295"/>
        <v/>
      </c>
      <c r="E5630" s="531"/>
      <c r="F5630" s="531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2" t="str">
        <f t="shared" si="295"/>
        <v/>
      </c>
      <c r="E5631" s="531"/>
      <c r="F5631" s="531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2" t="str">
        <f t="shared" si="295"/>
        <v/>
      </c>
      <c r="E5632" s="531"/>
      <c r="F5632" s="531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2" t="str">
        <f t="shared" si="295"/>
        <v/>
      </c>
      <c r="E5633" s="531"/>
      <c r="F5633" s="531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2" t="str">
        <f t="shared" si="295"/>
        <v/>
      </c>
      <c r="E5634" s="531"/>
      <c r="F5634" s="531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2" t="str">
        <f t="shared" si="295"/>
        <v/>
      </c>
      <c r="E5635" s="531"/>
      <c r="F5635" s="531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2" t="str">
        <f t="shared" si="295"/>
        <v/>
      </c>
      <c r="E5636" s="531"/>
      <c r="F5636" s="531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2" t="str">
        <f t="shared" si="295"/>
        <v/>
      </c>
      <c r="E5637" s="531"/>
      <c r="F5637" s="531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2" t="str">
        <f t="shared" si="295"/>
        <v/>
      </c>
      <c r="E5638" s="531"/>
      <c r="F5638" s="531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2" t="str">
        <f t="shared" si="295"/>
        <v/>
      </c>
      <c r="E5639" s="531"/>
      <c r="F5639" s="531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2" t="str">
        <f t="shared" si="295"/>
        <v/>
      </c>
      <c r="E5640" s="531"/>
      <c r="F5640" s="531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2" t="str">
        <f t="shared" ref="D5641:D5704" si="298">IF(A5641&lt;&gt;"",PROPER(TEXT(A5641,"Mmmm")),"")</f>
        <v/>
      </c>
      <c r="E5641" s="531"/>
      <c r="F5641" s="531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2" t="str">
        <f t="shared" si="298"/>
        <v/>
      </c>
      <c r="E5642" s="531"/>
      <c r="F5642" s="531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2" t="str">
        <f t="shared" si="298"/>
        <v/>
      </c>
      <c r="E5643" s="531"/>
      <c r="F5643" s="531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2" t="str">
        <f t="shared" si="298"/>
        <v/>
      </c>
      <c r="E5644" s="531"/>
      <c r="F5644" s="531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2" t="str">
        <f t="shared" si="298"/>
        <v/>
      </c>
      <c r="E5645" s="531"/>
      <c r="F5645" s="531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2" t="str">
        <f t="shared" si="298"/>
        <v/>
      </c>
      <c r="E5646" s="531"/>
      <c r="F5646" s="531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2" t="str">
        <f t="shared" si="298"/>
        <v/>
      </c>
      <c r="E5647" s="531"/>
      <c r="F5647" s="531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2" t="str">
        <f t="shared" si="298"/>
        <v/>
      </c>
      <c r="E5648" s="531"/>
      <c r="F5648" s="531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2" t="str">
        <f t="shared" si="298"/>
        <v/>
      </c>
      <c r="E5649" s="531"/>
      <c r="F5649" s="531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2" t="str">
        <f t="shared" si="298"/>
        <v/>
      </c>
      <c r="E5650" s="531"/>
      <c r="F5650" s="531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2" t="str">
        <f t="shared" si="298"/>
        <v/>
      </c>
      <c r="E5651" s="531"/>
      <c r="F5651" s="531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2" t="str">
        <f t="shared" si="298"/>
        <v/>
      </c>
      <c r="E5652" s="531"/>
      <c r="F5652" s="531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2" t="str">
        <f t="shared" si="298"/>
        <v/>
      </c>
      <c r="E5653" s="531"/>
      <c r="F5653" s="531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2" t="str">
        <f t="shared" si="298"/>
        <v/>
      </c>
      <c r="E5654" s="531"/>
      <c r="F5654" s="531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2" t="str">
        <f t="shared" si="298"/>
        <v/>
      </c>
      <c r="E5655" s="531"/>
      <c r="F5655" s="531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2" t="str">
        <f t="shared" si="298"/>
        <v/>
      </c>
      <c r="E5656" s="531"/>
      <c r="F5656" s="531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2" t="str">
        <f t="shared" si="298"/>
        <v/>
      </c>
      <c r="E5657" s="531"/>
      <c r="F5657" s="531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2" t="str">
        <f t="shared" si="298"/>
        <v/>
      </c>
      <c r="E5658" s="531"/>
      <c r="F5658" s="531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2" t="str">
        <f t="shared" si="298"/>
        <v/>
      </c>
      <c r="E5659" s="531"/>
      <c r="F5659" s="531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2" t="str">
        <f t="shared" si="298"/>
        <v/>
      </c>
      <c r="E5660" s="531"/>
      <c r="F5660" s="531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2" t="str">
        <f t="shared" si="298"/>
        <v/>
      </c>
      <c r="E5661" s="531"/>
      <c r="F5661" s="531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2" t="str">
        <f t="shared" si="298"/>
        <v/>
      </c>
      <c r="E5662" s="531"/>
      <c r="F5662" s="531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2" t="str">
        <f t="shared" si="298"/>
        <v/>
      </c>
      <c r="E5663" s="531"/>
      <c r="F5663" s="531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2" t="str">
        <f t="shared" si="298"/>
        <v/>
      </c>
      <c r="E5664" s="531"/>
      <c r="F5664" s="531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2" t="str">
        <f t="shared" si="298"/>
        <v/>
      </c>
      <c r="E5665" s="531"/>
      <c r="F5665" s="531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2" t="str">
        <f t="shared" si="298"/>
        <v/>
      </c>
      <c r="E5666" s="531"/>
      <c r="F5666" s="531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2" t="str">
        <f t="shared" si="298"/>
        <v/>
      </c>
      <c r="E5667" s="531"/>
      <c r="F5667" s="531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2" t="str">
        <f t="shared" si="298"/>
        <v/>
      </c>
      <c r="E5668" s="531"/>
      <c r="F5668" s="531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2" t="str">
        <f t="shared" si="298"/>
        <v/>
      </c>
      <c r="E5669" s="531"/>
      <c r="F5669" s="531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2" t="str">
        <f t="shared" si="298"/>
        <v/>
      </c>
      <c r="E5670" s="531"/>
      <c r="F5670" s="531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2" t="str">
        <f t="shared" si="298"/>
        <v/>
      </c>
      <c r="E5671" s="531"/>
      <c r="F5671" s="531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2" t="str">
        <f t="shared" si="298"/>
        <v/>
      </c>
      <c r="E5672" s="531"/>
      <c r="F5672" s="531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2" t="str">
        <f t="shared" si="298"/>
        <v/>
      </c>
      <c r="E5673" s="531"/>
      <c r="F5673" s="531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2" t="str">
        <f t="shared" si="298"/>
        <v/>
      </c>
      <c r="E5674" s="531"/>
      <c r="F5674" s="531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2" t="str">
        <f t="shared" si="298"/>
        <v/>
      </c>
      <c r="E5675" s="531"/>
      <c r="F5675" s="531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2" t="str">
        <f t="shared" si="298"/>
        <v/>
      </c>
      <c r="E5676" s="531"/>
      <c r="F5676" s="531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2" t="str">
        <f t="shared" si="298"/>
        <v/>
      </c>
      <c r="E5677" s="531"/>
      <c r="F5677" s="531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2" t="str">
        <f t="shared" si="298"/>
        <v/>
      </c>
      <c r="E5678" s="531"/>
      <c r="F5678" s="531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2" t="str">
        <f t="shared" si="298"/>
        <v/>
      </c>
      <c r="E5679" s="531"/>
      <c r="F5679" s="531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2" t="str">
        <f t="shared" si="298"/>
        <v/>
      </c>
      <c r="E5680" s="531"/>
      <c r="F5680" s="531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2" t="str">
        <f t="shared" si="298"/>
        <v/>
      </c>
      <c r="E5681" s="531"/>
      <c r="F5681" s="531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2" t="str">
        <f t="shared" si="298"/>
        <v/>
      </c>
      <c r="E5682" s="531"/>
      <c r="F5682" s="531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2" t="str">
        <f t="shared" si="298"/>
        <v/>
      </c>
      <c r="E5683" s="531"/>
      <c r="F5683" s="531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2" t="str">
        <f t="shared" si="298"/>
        <v/>
      </c>
      <c r="E5684" s="531"/>
      <c r="F5684" s="531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2" t="str">
        <f t="shared" si="298"/>
        <v/>
      </c>
      <c r="E5685" s="531"/>
      <c r="F5685" s="531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2" t="str">
        <f t="shared" si="298"/>
        <v/>
      </c>
      <c r="E5686" s="531"/>
      <c r="F5686" s="531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2" t="str">
        <f t="shared" si="298"/>
        <v/>
      </c>
      <c r="E5687" s="531"/>
      <c r="F5687" s="531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2" t="str">
        <f t="shared" si="298"/>
        <v/>
      </c>
      <c r="E5688" s="531"/>
      <c r="F5688" s="531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2" t="str">
        <f t="shared" si="298"/>
        <v/>
      </c>
      <c r="E5689" s="531"/>
      <c r="F5689" s="531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2" t="str">
        <f t="shared" si="298"/>
        <v/>
      </c>
      <c r="E5690" s="531"/>
      <c r="F5690" s="531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2" t="str">
        <f t="shared" si="298"/>
        <v/>
      </c>
      <c r="E5691" s="531"/>
      <c r="F5691" s="531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2" t="str">
        <f t="shared" si="298"/>
        <v/>
      </c>
      <c r="E5692" s="531"/>
      <c r="F5692" s="531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2" t="str">
        <f t="shared" si="298"/>
        <v/>
      </c>
      <c r="E5693" s="531"/>
      <c r="F5693" s="531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2" t="str">
        <f t="shared" si="298"/>
        <v/>
      </c>
      <c r="E5694" s="531"/>
      <c r="F5694" s="531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2" t="str">
        <f t="shared" si="298"/>
        <v/>
      </c>
      <c r="E5695" s="531"/>
      <c r="F5695" s="531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2" t="str">
        <f t="shared" si="298"/>
        <v/>
      </c>
      <c r="E5696" s="531"/>
      <c r="F5696" s="531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2" t="str">
        <f t="shared" si="298"/>
        <v/>
      </c>
      <c r="E5697" s="531"/>
      <c r="F5697" s="531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2" t="str">
        <f t="shared" si="298"/>
        <v/>
      </c>
      <c r="E5698" s="531"/>
      <c r="F5698" s="531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2" t="str">
        <f t="shared" si="298"/>
        <v/>
      </c>
      <c r="E5699" s="531"/>
      <c r="F5699" s="531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2" t="str">
        <f t="shared" si="298"/>
        <v/>
      </c>
      <c r="E5700" s="531"/>
      <c r="F5700" s="531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2" t="str">
        <f t="shared" si="298"/>
        <v/>
      </c>
      <c r="E5701" s="531"/>
      <c r="F5701" s="531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2" t="str">
        <f t="shared" si="298"/>
        <v/>
      </c>
      <c r="E5702" s="531"/>
      <c r="F5702" s="531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2" t="str">
        <f t="shared" si="298"/>
        <v/>
      </c>
      <c r="E5703" s="531"/>
      <c r="F5703" s="531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2" t="str">
        <f t="shared" si="298"/>
        <v/>
      </c>
      <c r="E5704" s="531"/>
      <c r="F5704" s="531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2" t="str">
        <f t="shared" ref="D5705:D5768" si="301">IF(A5705&lt;&gt;"",PROPER(TEXT(A5705,"Mmmm")),"")</f>
        <v/>
      </c>
      <c r="E5705" s="531"/>
      <c r="F5705" s="531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2" t="str">
        <f t="shared" si="301"/>
        <v/>
      </c>
      <c r="E5706" s="531"/>
      <c r="F5706" s="531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2" t="str">
        <f t="shared" si="301"/>
        <v/>
      </c>
      <c r="E5707" s="531"/>
      <c r="F5707" s="531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2" t="str">
        <f t="shared" si="301"/>
        <v/>
      </c>
      <c r="E5708" s="531"/>
      <c r="F5708" s="531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2" t="str">
        <f t="shared" si="301"/>
        <v/>
      </c>
      <c r="E5709" s="531"/>
      <c r="F5709" s="531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2" t="str">
        <f t="shared" si="301"/>
        <v/>
      </c>
      <c r="E5710" s="531"/>
      <c r="F5710" s="531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2" t="str">
        <f t="shared" si="301"/>
        <v/>
      </c>
      <c r="E5711" s="531"/>
      <c r="F5711" s="531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2" t="str">
        <f t="shared" si="301"/>
        <v/>
      </c>
      <c r="E5712" s="531"/>
      <c r="F5712" s="531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2" t="str">
        <f t="shared" si="301"/>
        <v/>
      </c>
      <c r="E5713" s="531"/>
      <c r="F5713" s="531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2" t="str">
        <f t="shared" si="301"/>
        <v/>
      </c>
      <c r="E5714" s="531"/>
      <c r="F5714" s="531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2" t="str">
        <f t="shared" si="301"/>
        <v/>
      </c>
      <c r="E5715" s="531"/>
      <c r="F5715" s="531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2" t="str">
        <f t="shared" si="301"/>
        <v/>
      </c>
      <c r="E5716" s="531"/>
      <c r="F5716" s="531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2" t="str">
        <f t="shared" si="301"/>
        <v/>
      </c>
      <c r="E5717" s="531"/>
      <c r="F5717" s="531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2" t="str">
        <f t="shared" si="301"/>
        <v/>
      </c>
      <c r="E5718" s="531"/>
      <c r="F5718" s="531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2" t="str">
        <f t="shared" si="301"/>
        <v/>
      </c>
      <c r="E5719" s="531"/>
      <c r="F5719" s="531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2" t="str">
        <f t="shared" si="301"/>
        <v/>
      </c>
      <c r="E5720" s="531"/>
      <c r="F5720" s="531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2" t="str">
        <f t="shared" si="301"/>
        <v/>
      </c>
      <c r="E5721" s="531"/>
      <c r="F5721" s="531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2" t="str">
        <f t="shared" si="301"/>
        <v/>
      </c>
      <c r="E5722" s="531"/>
      <c r="F5722" s="531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2" t="str">
        <f t="shared" si="301"/>
        <v/>
      </c>
      <c r="E5723" s="531"/>
      <c r="F5723" s="531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2" t="str">
        <f t="shared" si="301"/>
        <v/>
      </c>
      <c r="E5724" s="531"/>
      <c r="F5724" s="531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2" t="str">
        <f t="shared" si="301"/>
        <v/>
      </c>
      <c r="E5725" s="531"/>
      <c r="F5725" s="531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2" t="str">
        <f t="shared" si="301"/>
        <v/>
      </c>
      <c r="E5726" s="531"/>
      <c r="F5726" s="531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2" t="str">
        <f t="shared" si="301"/>
        <v/>
      </c>
      <c r="E5727" s="531"/>
      <c r="F5727" s="531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2" t="str">
        <f t="shared" si="301"/>
        <v/>
      </c>
      <c r="E5728" s="531"/>
      <c r="F5728" s="531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2" t="str">
        <f t="shared" si="301"/>
        <v/>
      </c>
      <c r="E5729" s="531"/>
      <c r="F5729" s="531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2" t="str">
        <f t="shared" si="301"/>
        <v/>
      </c>
      <c r="E5730" s="531"/>
      <c r="F5730" s="531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2" t="str">
        <f t="shared" si="301"/>
        <v/>
      </c>
      <c r="E5731" s="531"/>
      <c r="F5731" s="531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2" t="str">
        <f t="shared" si="301"/>
        <v/>
      </c>
      <c r="E5732" s="531"/>
      <c r="F5732" s="531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2" t="str">
        <f t="shared" si="301"/>
        <v/>
      </c>
      <c r="E5733" s="531"/>
      <c r="F5733" s="531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2" t="str">
        <f t="shared" si="301"/>
        <v/>
      </c>
      <c r="E5734" s="531"/>
      <c r="F5734" s="531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2" t="str">
        <f t="shared" si="301"/>
        <v/>
      </c>
      <c r="E5735" s="531"/>
      <c r="F5735" s="531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2" t="str">
        <f t="shared" si="301"/>
        <v/>
      </c>
      <c r="E5736" s="531"/>
      <c r="F5736" s="531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2" t="str">
        <f t="shared" si="301"/>
        <v/>
      </c>
      <c r="E5737" s="531"/>
      <c r="F5737" s="531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2" t="str">
        <f t="shared" si="301"/>
        <v/>
      </c>
      <c r="E5738" s="531"/>
      <c r="F5738" s="531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2" t="str">
        <f t="shared" si="301"/>
        <v/>
      </c>
      <c r="E5739" s="531"/>
      <c r="F5739" s="531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2" t="str">
        <f t="shared" si="301"/>
        <v/>
      </c>
      <c r="E5740" s="531"/>
      <c r="F5740" s="531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2" t="str">
        <f t="shared" si="301"/>
        <v/>
      </c>
      <c r="E5741" s="531"/>
      <c r="F5741" s="531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2" t="str">
        <f t="shared" si="301"/>
        <v/>
      </c>
      <c r="E5742" s="531"/>
      <c r="F5742" s="531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2" t="str">
        <f t="shared" si="301"/>
        <v/>
      </c>
      <c r="E5743" s="531"/>
      <c r="F5743" s="531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2" t="str">
        <f t="shared" si="301"/>
        <v/>
      </c>
      <c r="E5744" s="531"/>
      <c r="F5744" s="531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2" t="str">
        <f t="shared" si="301"/>
        <v/>
      </c>
      <c r="E5745" s="531"/>
      <c r="F5745" s="531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2" t="str">
        <f t="shared" si="301"/>
        <v/>
      </c>
      <c r="E5746" s="531"/>
      <c r="F5746" s="531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2" t="str">
        <f t="shared" si="301"/>
        <v/>
      </c>
      <c r="E5747" s="531"/>
      <c r="F5747" s="531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2" t="str">
        <f t="shared" si="301"/>
        <v/>
      </c>
      <c r="E5748" s="531"/>
      <c r="F5748" s="531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2" t="str">
        <f t="shared" si="301"/>
        <v/>
      </c>
      <c r="E5749" s="531"/>
      <c r="F5749" s="531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2" t="str">
        <f t="shared" si="301"/>
        <v/>
      </c>
      <c r="E5750" s="531"/>
      <c r="F5750" s="531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2" t="str">
        <f t="shared" si="301"/>
        <v/>
      </c>
      <c r="E5751" s="531"/>
      <c r="F5751" s="531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2" t="str">
        <f t="shared" si="301"/>
        <v/>
      </c>
      <c r="E5752" s="531"/>
      <c r="F5752" s="531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2" t="str">
        <f t="shared" si="301"/>
        <v/>
      </c>
      <c r="E5753" s="531"/>
      <c r="F5753" s="531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2" t="str">
        <f t="shared" si="301"/>
        <v/>
      </c>
      <c r="E5754" s="531"/>
      <c r="F5754" s="531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2" t="str">
        <f t="shared" si="301"/>
        <v/>
      </c>
      <c r="E5755" s="531"/>
      <c r="F5755" s="531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2" t="str">
        <f t="shared" si="301"/>
        <v/>
      </c>
      <c r="E5756" s="531"/>
      <c r="F5756" s="531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2" t="str">
        <f t="shared" si="301"/>
        <v/>
      </c>
      <c r="E5757" s="531"/>
      <c r="F5757" s="531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2" t="str">
        <f t="shared" si="301"/>
        <v/>
      </c>
      <c r="E5758" s="531"/>
      <c r="F5758" s="531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2" t="str">
        <f t="shared" si="301"/>
        <v/>
      </c>
      <c r="E5759" s="531"/>
      <c r="F5759" s="531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2" t="str">
        <f t="shared" si="301"/>
        <v/>
      </c>
      <c r="E5760" s="531"/>
      <c r="F5760" s="531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2" t="str">
        <f t="shared" si="301"/>
        <v/>
      </c>
      <c r="E5761" s="531"/>
      <c r="F5761" s="531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2" t="str">
        <f t="shared" si="301"/>
        <v/>
      </c>
      <c r="E5762" s="531"/>
      <c r="F5762" s="531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2" t="str">
        <f t="shared" si="301"/>
        <v/>
      </c>
      <c r="E5763" s="531"/>
      <c r="F5763" s="531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2" t="str">
        <f t="shared" si="301"/>
        <v/>
      </c>
      <c r="E5764" s="531"/>
      <c r="F5764" s="531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2" t="str">
        <f t="shared" si="301"/>
        <v/>
      </c>
      <c r="E5765" s="531"/>
      <c r="F5765" s="531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2" t="str">
        <f t="shared" si="301"/>
        <v/>
      </c>
      <c r="E5766" s="531"/>
      <c r="F5766" s="531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2" t="str">
        <f t="shared" si="301"/>
        <v/>
      </c>
      <c r="E5767" s="531"/>
      <c r="F5767" s="531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2" t="str">
        <f t="shared" si="301"/>
        <v/>
      </c>
      <c r="E5768" s="531"/>
      <c r="F5768" s="531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2" t="str">
        <f t="shared" ref="D5769:D5832" si="304">IF(A5769&lt;&gt;"",PROPER(TEXT(A5769,"Mmmm")),"")</f>
        <v/>
      </c>
      <c r="E5769" s="531"/>
      <c r="F5769" s="531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2" t="str">
        <f t="shared" si="304"/>
        <v/>
      </c>
      <c r="E5770" s="531"/>
      <c r="F5770" s="531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2" t="str">
        <f t="shared" si="304"/>
        <v/>
      </c>
      <c r="E5771" s="531"/>
      <c r="F5771" s="531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2" t="str">
        <f t="shared" si="304"/>
        <v/>
      </c>
      <c r="E5772" s="531"/>
      <c r="F5772" s="531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2" t="str">
        <f t="shared" si="304"/>
        <v/>
      </c>
      <c r="E5773" s="531"/>
      <c r="F5773" s="531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2" t="str">
        <f t="shared" si="304"/>
        <v/>
      </c>
      <c r="E5774" s="531"/>
      <c r="F5774" s="531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2" t="str">
        <f t="shared" si="304"/>
        <v/>
      </c>
      <c r="E5775" s="531"/>
      <c r="F5775" s="531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2" t="str">
        <f t="shared" si="304"/>
        <v/>
      </c>
      <c r="E5776" s="531"/>
      <c r="F5776" s="531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2" t="str">
        <f t="shared" si="304"/>
        <v/>
      </c>
      <c r="E5777" s="531"/>
      <c r="F5777" s="531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2" t="str">
        <f t="shared" si="304"/>
        <v/>
      </c>
      <c r="E5778" s="531"/>
      <c r="F5778" s="531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2" t="str">
        <f t="shared" si="304"/>
        <v/>
      </c>
      <c r="E5779" s="531"/>
      <c r="F5779" s="531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2" t="str">
        <f t="shared" si="304"/>
        <v/>
      </c>
      <c r="E5780" s="531"/>
      <c r="F5780" s="531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2" t="str">
        <f t="shared" si="304"/>
        <v/>
      </c>
      <c r="E5781" s="531"/>
      <c r="F5781" s="531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2" t="str">
        <f t="shared" si="304"/>
        <v/>
      </c>
      <c r="E5782" s="531"/>
      <c r="F5782" s="531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2" t="str">
        <f t="shared" si="304"/>
        <v/>
      </c>
      <c r="E5783" s="531"/>
      <c r="F5783" s="531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2" t="str">
        <f t="shared" si="304"/>
        <v/>
      </c>
      <c r="E5784" s="531"/>
      <c r="F5784" s="531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2" t="str">
        <f t="shared" si="304"/>
        <v/>
      </c>
      <c r="E5785" s="531"/>
      <c r="F5785" s="531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2" t="str">
        <f t="shared" si="304"/>
        <v/>
      </c>
      <c r="E5786" s="531"/>
      <c r="F5786" s="531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2" t="str">
        <f t="shared" si="304"/>
        <v/>
      </c>
      <c r="E5787" s="531"/>
      <c r="F5787" s="531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2" t="str">
        <f t="shared" si="304"/>
        <v/>
      </c>
      <c r="E5788" s="531"/>
      <c r="F5788" s="531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2" t="str">
        <f t="shared" si="304"/>
        <v/>
      </c>
      <c r="E5789" s="531"/>
      <c r="F5789" s="531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2" t="str">
        <f t="shared" si="304"/>
        <v/>
      </c>
      <c r="E5790" s="531"/>
      <c r="F5790" s="531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2" t="str">
        <f t="shared" si="304"/>
        <v/>
      </c>
      <c r="E5791" s="531"/>
      <c r="F5791" s="531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2" t="str">
        <f t="shared" si="304"/>
        <v/>
      </c>
      <c r="E5792" s="531"/>
      <c r="F5792" s="531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2" t="str">
        <f t="shared" si="304"/>
        <v/>
      </c>
      <c r="E5793" s="531"/>
      <c r="F5793" s="531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2" t="str">
        <f t="shared" si="304"/>
        <v/>
      </c>
      <c r="E5794" s="531"/>
      <c r="F5794" s="531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2" t="str">
        <f t="shared" si="304"/>
        <v/>
      </c>
      <c r="E5795" s="531"/>
      <c r="F5795" s="531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2" t="str">
        <f t="shared" si="304"/>
        <v/>
      </c>
      <c r="E5796" s="531"/>
      <c r="F5796" s="531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2" t="str">
        <f t="shared" si="304"/>
        <v/>
      </c>
      <c r="E5797" s="531"/>
      <c r="F5797" s="531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2" t="str">
        <f t="shared" si="304"/>
        <v/>
      </c>
      <c r="E5798" s="531"/>
      <c r="F5798" s="531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2" t="str">
        <f t="shared" si="304"/>
        <v/>
      </c>
      <c r="E5799" s="531"/>
      <c r="F5799" s="531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2" t="str">
        <f t="shared" si="304"/>
        <v/>
      </c>
      <c r="E5800" s="531"/>
      <c r="F5800" s="531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2" t="str">
        <f t="shared" si="304"/>
        <v/>
      </c>
      <c r="E5801" s="531"/>
      <c r="F5801" s="531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2" t="str">
        <f t="shared" si="304"/>
        <v/>
      </c>
      <c r="E5802" s="531"/>
      <c r="F5802" s="531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2" t="str">
        <f t="shared" si="304"/>
        <v/>
      </c>
      <c r="E5803" s="531"/>
      <c r="F5803" s="531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2" t="str">
        <f t="shared" si="304"/>
        <v/>
      </c>
      <c r="E5804" s="531"/>
      <c r="F5804" s="531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2" t="str">
        <f t="shared" si="304"/>
        <v/>
      </c>
      <c r="E5805" s="531"/>
      <c r="F5805" s="531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2" t="str">
        <f t="shared" si="304"/>
        <v/>
      </c>
      <c r="E5806" s="531"/>
      <c r="F5806" s="531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2" t="str">
        <f t="shared" si="304"/>
        <v/>
      </c>
      <c r="E5807" s="531"/>
      <c r="F5807" s="531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2" t="str">
        <f t="shared" si="304"/>
        <v/>
      </c>
      <c r="E5808" s="531"/>
      <c r="F5808" s="531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2" t="str">
        <f t="shared" si="304"/>
        <v/>
      </c>
      <c r="E5809" s="531"/>
      <c r="F5809" s="531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2" t="str">
        <f t="shared" si="304"/>
        <v/>
      </c>
      <c r="E5810" s="531"/>
      <c r="F5810" s="531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2" t="str">
        <f t="shared" si="304"/>
        <v/>
      </c>
      <c r="E5811" s="531"/>
      <c r="F5811" s="531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2" t="str">
        <f t="shared" si="304"/>
        <v/>
      </c>
      <c r="E5812" s="531"/>
      <c r="F5812" s="531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2" t="str">
        <f t="shared" si="304"/>
        <v/>
      </c>
      <c r="E5813" s="531"/>
      <c r="F5813" s="531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2" t="str">
        <f t="shared" si="304"/>
        <v/>
      </c>
      <c r="E5814" s="531"/>
      <c r="F5814" s="531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2" t="str">
        <f t="shared" si="304"/>
        <v/>
      </c>
      <c r="E5815" s="531"/>
      <c r="F5815" s="531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2" t="str">
        <f t="shared" si="304"/>
        <v/>
      </c>
      <c r="E5816" s="531"/>
      <c r="F5816" s="531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2" t="str">
        <f t="shared" si="304"/>
        <v/>
      </c>
      <c r="E5817" s="531"/>
      <c r="F5817" s="531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2" t="str">
        <f t="shared" si="304"/>
        <v/>
      </c>
      <c r="E5818" s="531"/>
      <c r="F5818" s="531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2" t="str">
        <f t="shared" si="304"/>
        <v/>
      </c>
      <c r="E5819" s="531"/>
      <c r="F5819" s="531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2" t="str">
        <f t="shared" si="304"/>
        <v/>
      </c>
      <c r="E5820" s="531"/>
      <c r="F5820" s="531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2" t="str">
        <f t="shared" si="304"/>
        <v/>
      </c>
      <c r="E5821" s="531"/>
      <c r="F5821" s="531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2" t="str">
        <f t="shared" si="304"/>
        <v/>
      </c>
      <c r="E5822" s="531"/>
      <c r="F5822" s="531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2" t="str">
        <f t="shared" si="304"/>
        <v/>
      </c>
      <c r="E5823" s="531"/>
      <c r="F5823" s="531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2" t="str">
        <f t="shared" si="304"/>
        <v/>
      </c>
      <c r="E5824" s="531"/>
      <c r="F5824" s="531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2" t="str">
        <f t="shared" si="304"/>
        <v/>
      </c>
      <c r="E5825" s="531"/>
      <c r="F5825" s="531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2" t="str">
        <f t="shared" si="304"/>
        <v/>
      </c>
      <c r="E5826" s="531"/>
      <c r="F5826" s="531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2" t="str">
        <f t="shared" si="304"/>
        <v/>
      </c>
      <c r="E5827" s="531"/>
      <c r="F5827" s="531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2" t="str">
        <f t="shared" si="304"/>
        <v/>
      </c>
      <c r="E5828" s="531"/>
      <c r="F5828" s="531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2" t="str">
        <f t="shared" si="304"/>
        <v/>
      </c>
      <c r="E5829" s="531"/>
      <c r="F5829" s="531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2" t="str">
        <f t="shared" si="304"/>
        <v/>
      </c>
      <c r="E5830" s="531"/>
      <c r="F5830" s="531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2" t="str">
        <f t="shared" si="304"/>
        <v/>
      </c>
      <c r="E5831" s="531"/>
      <c r="F5831" s="531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2" t="str">
        <f t="shared" si="304"/>
        <v/>
      </c>
      <c r="E5832" s="531"/>
      <c r="F5832" s="531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2" t="str">
        <f t="shared" ref="D5833:D5896" si="307">IF(A5833&lt;&gt;"",PROPER(TEXT(A5833,"Mmmm")),"")</f>
        <v/>
      </c>
      <c r="E5833" s="531"/>
      <c r="F5833" s="531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2" t="str">
        <f t="shared" si="307"/>
        <v/>
      </c>
      <c r="E5834" s="531"/>
      <c r="F5834" s="531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2" t="str">
        <f t="shared" si="307"/>
        <v/>
      </c>
      <c r="E5835" s="531"/>
      <c r="F5835" s="531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2" t="str">
        <f t="shared" si="307"/>
        <v/>
      </c>
      <c r="E5836" s="531"/>
      <c r="F5836" s="531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2" t="str">
        <f t="shared" si="307"/>
        <v/>
      </c>
      <c r="E5837" s="531"/>
      <c r="F5837" s="531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2" t="str">
        <f t="shared" si="307"/>
        <v/>
      </c>
      <c r="E5838" s="531"/>
      <c r="F5838" s="531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2" t="str">
        <f t="shared" si="307"/>
        <v/>
      </c>
      <c r="E5839" s="531"/>
      <c r="F5839" s="531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2" t="str">
        <f t="shared" si="307"/>
        <v/>
      </c>
      <c r="E5840" s="531"/>
      <c r="F5840" s="531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2" t="str">
        <f t="shared" si="307"/>
        <v/>
      </c>
      <c r="E5841" s="531"/>
      <c r="F5841" s="531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2" t="str">
        <f t="shared" si="307"/>
        <v/>
      </c>
      <c r="E5842" s="531"/>
      <c r="F5842" s="531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2" t="str">
        <f t="shared" si="307"/>
        <v/>
      </c>
      <c r="E5843" s="531"/>
      <c r="F5843" s="531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2" t="str">
        <f t="shared" si="307"/>
        <v/>
      </c>
      <c r="E5844" s="531"/>
      <c r="F5844" s="531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2" t="str">
        <f t="shared" si="307"/>
        <v/>
      </c>
      <c r="E5845" s="531"/>
      <c r="F5845" s="531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2" t="str">
        <f t="shared" si="307"/>
        <v/>
      </c>
      <c r="E5846" s="531"/>
      <c r="F5846" s="531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2" t="str">
        <f t="shared" si="307"/>
        <v/>
      </c>
      <c r="E5847" s="531"/>
      <c r="F5847" s="531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2" t="str">
        <f t="shared" si="307"/>
        <v/>
      </c>
      <c r="E5848" s="531"/>
      <c r="F5848" s="531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2" t="str">
        <f t="shared" si="307"/>
        <v/>
      </c>
      <c r="E5849" s="531"/>
      <c r="F5849" s="531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2" t="str">
        <f t="shared" si="307"/>
        <v/>
      </c>
      <c r="E5850" s="531"/>
      <c r="F5850" s="531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2" t="str">
        <f t="shared" si="307"/>
        <v/>
      </c>
      <c r="E5851" s="531"/>
      <c r="F5851" s="531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2" t="str">
        <f t="shared" si="307"/>
        <v/>
      </c>
      <c r="E5852" s="531"/>
      <c r="F5852" s="531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2" t="str">
        <f t="shared" si="307"/>
        <v/>
      </c>
      <c r="E5853" s="531"/>
      <c r="F5853" s="531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2" t="str">
        <f t="shared" si="307"/>
        <v/>
      </c>
      <c r="E5854" s="531"/>
      <c r="F5854" s="531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2" t="str">
        <f t="shared" si="307"/>
        <v/>
      </c>
      <c r="E5855" s="531"/>
      <c r="F5855" s="531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2" t="str">
        <f t="shared" si="307"/>
        <v/>
      </c>
      <c r="E5856" s="531"/>
      <c r="F5856" s="531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2" t="str">
        <f t="shared" si="307"/>
        <v/>
      </c>
      <c r="E5857" s="531"/>
      <c r="F5857" s="531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2" t="str">
        <f t="shared" si="307"/>
        <v/>
      </c>
      <c r="E5858" s="531"/>
      <c r="F5858" s="531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2" t="str">
        <f t="shared" si="307"/>
        <v/>
      </c>
      <c r="E5859" s="531"/>
      <c r="F5859" s="531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2" t="str">
        <f t="shared" si="307"/>
        <v/>
      </c>
      <c r="E5860" s="531"/>
      <c r="F5860" s="531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2" t="str">
        <f t="shared" si="307"/>
        <v/>
      </c>
      <c r="E5861" s="531"/>
      <c r="F5861" s="531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2" t="str">
        <f t="shared" si="307"/>
        <v/>
      </c>
      <c r="E5862" s="531"/>
      <c r="F5862" s="531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2" t="str">
        <f t="shared" si="307"/>
        <v/>
      </c>
      <c r="E5863" s="531"/>
      <c r="F5863" s="531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2" t="str">
        <f t="shared" si="307"/>
        <v/>
      </c>
      <c r="E5864" s="531"/>
      <c r="F5864" s="531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2" t="str">
        <f t="shared" si="307"/>
        <v/>
      </c>
      <c r="E5865" s="531"/>
      <c r="F5865" s="531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2" t="str">
        <f t="shared" si="307"/>
        <v/>
      </c>
      <c r="E5866" s="531"/>
      <c r="F5866" s="531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2" t="str">
        <f t="shared" si="307"/>
        <v/>
      </c>
      <c r="E5867" s="531"/>
      <c r="F5867" s="531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2" t="str">
        <f t="shared" si="307"/>
        <v/>
      </c>
      <c r="E5868" s="531"/>
      <c r="F5868" s="531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2" t="str">
        <f t="shared" si="307"/>
        <v/>
      </c>
      <c r="E5869" s="531"/>
      <c r="F5869" s="531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2" t="str">
        <f t="shared" si="307"/>
        <v/>
      </c>
      <c r="E5870" s="531"/>
      <c r="F5870" s="531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2" t="str">
        <f t="shared" si="307"/>
        <v/>
      </c>
      <c r="E5871" s="531"/>
      <c r="F5871" s="531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2" t="str">
        <f t="shared" si="307"/>
        <v/>
      </c>
      <c r="E5872" s="531"/>
      <c r="F5872" s="531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2" t="str">
        <f t="shared" si="307"/>
        <v/>
      </c>
      <c r="E5873" s="531"/>
      <c r="F5873" s="531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2" t="str">
        <f t="shared" si="307"/>
        <v/>
      </c>
      <c r="E5874" s="531"/>
      <c r="F5874" s="531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2" t="str">
        <f t="shared" si="307"/>
        <v/>
      </c>
      <c r="E5875" s="531"/>
      <c r="F5875" s="531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2" t="str">
        <f t="shared" si="307"/>
        <v/>
      </c>
      <c r="E5876" s="531"/>
      <c r="F5876" s="531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2" t="str">
        <f t="shared" si="307"/>
        <v/>
      </c>
      <c r="E5877" s="531"/>
      <c r="F5877" s="531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2" t="str">
        <f t="shared" si="307"/>
        <v/>
      </c>
      <c r="E5878" s="531"/>
      <c r="F5878" s="531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2" t="str">
        <f t="shared" si="307"/>
        <v/>
      </c>
      <c r="E5879" s="531"/>
      <c r="F5879" s="531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2" t="str">
        <f t="shared" si="307"/>
        <v/>
      </c>
      <c r="E5880" s="531"/>
      <c r="F5880" s="531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2" t="str">
        <f t="shared" si="307"/>
        <v/>
      </c>
      <c r="E5881" s="531"/>
      <c r="F5881" s="531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2" t="str">
        <f t="shared" si="307"/>
        <v/>
      </c>
      <c r="E5882" s="531"/>
      <c r="F5882" s="531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2" t="str">
        <f t="shared" si="307"/>
        <v/>
      </c>
      <c r="E5883" s="531"/>
      <c r="F5883" s="531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2" t="str">
        <f t="shared" si="307"/>
        <v/>
      </c>
      <c r="E5884" s="531"/>
      <c r="F5884" s="531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2" t="str">
        <f t="shared" si="307"/>
        <v/>
      </c>
      <c r="E5885" s="531"/>
      <c r="F5885" s="531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2" t="str">
        <f t="shared" si="307"/>
        <v/>
      </c>
      <c r="E5886" s="531"/>
      <c r="F5886" s="531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2" t="str">
        <f t="shared" si="307"/>
        <v/>
      </c>
      <c r="E5887" s="531"/>
      <c r="F5887" s="531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2" t="str">
        <f t="shared" si="307"/>
        <v/>
      </c>
      <c r="E5888" s="531"/>
      <c r="F5888" s="531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2" t="str">
        <f t="shared" si="307"/>
        <v/>
      </c>
      <c r="E5889" s="531"/>
      <c r="F5889" s="531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2" t="str">
        <f t="shared" si="307"/>
        <v/>
      </c>
      <c r="E5890" s="531"/>
      <c r="F5890" s="531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2" t="str">
        <f t="shared" si="307"/>
        <v/>
      </c>
      <c r="E5891" s="531"/>
      <c r="F5891" s="531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2" t="str">
        <f t="shared" si="307"/>
        <v/>
      </c>
      <c r="E5892" s="531"/>
      <c r="F5892" s="531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2" t="str">
        <f t="shared" si="307"/>
        <v/>
      </c>
      <c r="E5893" s="531"/>
      <c r="F5893" s="531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2" t="str">
        <f t="shared" si="307"/>
        <v/>
      </c>
      <c r="E5894" s="531"/>
      <c r="F5894" s="531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2" t="str">
        <f t="shared" si="307"/>
        <v/>
      </c>
      <c r="E5895" s="531"/>
      <c r="F5895" s="531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2" t="str">
        <f t="shared" si="307"/>
        <v/>
      </c>
      <c r="E5896" s="531"/>
      <c r="F5896" s="531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2" t="str">
        <f t="shared" ref="D5897:D5960" si="310">IF(A5897&lt;&gt;"",PROPER(TEXT(A5897,"Mmmm")),"")</f>
        <v/>
      </c>
      <c r="E5897" s="531"/>
      <c r="F5897" s="531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2" t="str">
        <f t="shared" si="310"/>
        <v/>
      </c>
      <c r="E5898" s="531"/>
      <c r="F5898" s="531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2" t="str">
        <f t="shared" si="310"/>
        <v/>
      </c>
      <c r="E5899" s="531"/>
      <c r="F5899" s="531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2" t="str">
        <f t="shared" si="310"/>
        <v/>
      </c>
      <c r="E5900" s="531"/>
      <c r="F5900" s="531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2" t="str">
        <f t="shared" si="310"/>
        <v/>
      </c>
      <c r="E5901" s="531"/>
      <c r="F5901" s="531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2" t="str">
        <f t="shared" si="310"/>
        <v/>
      </c>
      <c r="E5902" s="531"/>
      <c r="F5902" s="531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2" t="str">
        <f t="shared" si="310"/>
        <v/>
      </c>
      <c r="E5903" s="531"/>
      <c r="F5903" s="531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2" t="str">
        <f t="shared" si="310"/>
        <v/>
      </c>
      <c r="E5904" s="531"/>
      <c r="F5904" s="531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2" t="str">
        <f t="shared" si="310"/>
        <v/>
      </c>
      <c r="E5905" s="531"/>
      <c r="F5905" s="531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2" t="str">
        <f t="shared" si="310"/>
        <v/>
      </c>
      <c r="E5906" s="531"/>
      <c r="F5906" s="531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2" t="str">
        <f t="shared" si="310"/>
        <v/>
      </c>
      <c r="E5907" s="531"/>
      <c r="F5907" s="531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2" t="str">
        <f t="shared" si="310"/>
        <v/>
      </c>
      <c r="E5908" s="531"/>
      <c r="F5908" s="531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2" t="str">
        <f t="shared" si="310"/>
        <v/>
      </c>
      <c r="E5909" s="531"/>
      <c r="F5909" s="531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2" t="str">
        <f t="shared" si="310"/>
        <v/>
      </c>
      <c r="E5910" s="531"/>
      <c r="F5910" s="531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2" t="str">
        <f t="shared" si="310"/>
        <v/>
      </c>
      <c r="E5911" s="531"/>
      <c r="F5911" s="531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2" t="str">
        <f t="shared" si="310"/>
        <v/>
      </c>
      <c r="E5912" s="531"/>
      <c r="F5912" s="531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2" t="str">
        <f t="shared" si="310"/>
        <v/>
      </c>
      <c r="E5913" s="531"/>
      <c r="F5913" s="531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2" t="str">
        <f t="shared" si="310"/>
        <v/>
      </c>
      <c r="E5914" s="531"/>
      <c r="F5914" s="531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2" t="str">
        <f t="shared" si="310"/>
        <v/>
      </c>
      <c r="E5915" s="531"/>
      <c r="F5915" s="531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2" t="str">
        <f t="shared" si="310"/>
        <v/>
      </c>
      <c r="E5916" s="531"/>
      <c r="F5916" s="531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2" t="str">
        <f t="shared" si="310"/>
        <v/>
      </c>
      <c r="E5917" s="531"/>
      <c r="F5917" s="531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2" t="str">
        <f t="shared" si="310"/>
        <v/>
      </c>
      <c r="E5918" s="531"/>
      <c r="F5918" s="531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2" t="str">
        <f t="shared" si="310"/>
        <v/>
      </c>
      <c r="E5919" s="531"/>
      <c r="F5919" s="531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2" t="str">
        <f t="shared" si="310"/>
        <v/>
      </c>
      <c r="E5920" s="531"/>
      <c r="F5920" s="531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2" t="str">
        <f t="shared" si="310"/>
        <v/>
      </c>
      <c r="E5921" s="531"/>
      <c r="F5921" s="531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2" t="str">
        <f t="shared" si="310"/>
        <v/>
      </c>
      <c r="E5922" s="531"/>
      <c r="F5922" s="531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2" t="str">
        <f t="shared" si="310"/>
        <v/>
      </c>
      <c r="E5923" s="531"/>
      <c r="F5923" s="531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2" t="str">
        <f t="shared" si="310"/>
        <v/>
      </c>
      <c r="E5924" s="531"/>
      <c r="F5924" s="531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2" t="str">
        <f t="shared" si="310"/>
        <v/>
      </c>
      <c r="E5925" s="531"/>
      <c r="F5925" s="531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2" t="str">
        <f t="shared" si="310"/>
        <v/>
      </c>
      <c r="E5926" s="531"/>
      <c r="F5926" s="531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2" t="str">
        <f t="shared" si="310"/>
        <v/>
      </c>
      <c r="E5927" s="531"/>
      <c r="F5927" s="531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2" t="str">
        <f t="shared" si="310"/>
        <v/>
      </c>
      <c r="E5928" s="531"/>
      <c r="F5928" s="531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2" t="str">
        <f t="shared" si="310"/>
        <v/>
      </c>
      <c r="E5929" s="531"/>
      <c r="F5929" s="531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2" t="str">
        <f t="shared" si="310"/>
        <v/>
      </c>
      <c r="E5930" s="531"/>
      <c r="F5930" s="531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2" t="str">
        <f t="shared" si="310"/>
        <v/>
      </c>
      <c r="E5931" s="531"/>
      <c r="F5931" s="531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2" t="str">
        <f t="shared" si="310"/>
        <v/>
      </c>
      <c r="E5932" s="531"/>
      <c r="F5932" s="531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2" t="str">
        <f t="shared" si="310"/>
        <v/>
      </c>
      <c r="E5933" s="531"/>
      <c r="F5933" s="531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2" t="str">
        <f t="shared" si="310"/>
        <v/>
      </c>
      <c r="E5934" s="531"/>
      <c r="F5934" s="531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2" t="str">
        <f t="shared" si="310"/>
        <v/>
      </c>
      <c r="E5935" s="531"/>
      <c r="F5935" s="531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2" t="str">
        <f t="shared" si="310"/>
        <v/>
      </c>
      <c r="E5936" s="531"/>
      <c r="F5936" s="531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2" t="str">
        <f t="shared" si="310"/>
        <v/>
      </c>
      <c r="E5937" s="531"/>
      <c r="F5937" s="531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2" t="str">
        <f t="shared" si="310"/>
        <v/>
      </c>
      <c r="E5938" s="531"/>
      <c r="F5938" s="531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2" t="str">
        <f t="shared" si="310"/>
        <v/>
      </c>
      <c r="E5939" s="531"/>
      <c r="F5939" s="531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2" t="str">
        <f t="shared" si="310"/>
        <v/>
      </c>
      <c r="E5940" s="531"/>
      <c r="F5940" s="531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2" t="str">
        <f t="shared" si="310"/>
        <v/>
      </c>
      <c r="E5941" s="531"/>
      <c r="F5941" s="531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2" t="str">
        <f t="shared" si="310"/>
        <v/>
      </c>
      <c r="E5942" s="531"/>
      <c r="F5942" s="531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2" t="str">
        <f t="shared" si="310"/>
        <v/>
      </c>
      <c r="E5943" s="531"/>
      <c r="F5943" s="531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2" t="str">
        <f t="shared" si="310"/>
        <v/>
      </c>
      <c r="E5944" s="531"/>
      <c r="F5944" s="531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2" t="str">
        <f t="shared" si="310"/>
        <v/>
      </c>
      <c r="E5945" s="531"/>
      <c r="F5945" s="531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2" t="str">
        <f t="shared" si="310"/>
        <v/>
      </c>
      <c r="E5946" s="531"/>
      <c r="F5946" s="531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2" t="str">
        <f t="shared" si="310"/>
        <v/>
      </c>
      <c r="E5947" s="531"/>
      <c r="F5947" s="531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2" t="str">
        <f t="shared" si="310"/>
        <v/>
      </c>
      <c r="E5948" s="531"/>
      <c r="F5948" s="531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2" t="str">
        <f t="shared" si="310"/>
        <v/>
      </c>
      <c r="E5949" s="531"/>
      <c r="F5949" s="531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2" t="str">
        <f t="shared" si="310"/>
        <v/>
      </c>
      <c r="E5950" s="531"/>
      <c r="F5950" s="531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2" t="str">
        <f t="shared" si="310"/>
        <v/>
      </c>
      <c r="E5951" s="531"/>
      <c r="F5951" s="531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2" t="str">
        <f t="shared" si="310"/>
        <v/>
      </c>
      <c r="E5952" s="531"/>
      <c r="F5952" s="531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2" t="str">
        <f t="shared" si="310"/>
        <v/>
      </c>
      <c r="E5953" s="531"/>
      <c r="F5953" s="531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2" t="str">
        <f t="shared" si="310"/>
        <v/>
      </c>
      <c r="E5954" s="531"/>
      <c r="F5954" s="531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2" t="str">
        <f t="shared" si="310"/>
        <v/>
      </c>
      <c r="E5955" s="531"/>
      <c r="F5955" s="531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2" t="str">
        <f t="shared" si="310"/>
        <v/>
      </c>
      <c r="E5956" s="531"/>
      <c r="F5956" s="531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2" t="str">
        <f t="shared" si="310"/>
        <v/>
      </c>
      <c r="E5957" s="531"/>
      <c r="F5957" s="531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2" t="str">
        <f t="shared" si="310"/>
        <v/>
      </c>
      <c r="E5958" s="531"/>
      <c r="F5958" s="531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2" t="str">
        <f t="shared" si="310"/>
        <v/>
      </c>
      <c r="E5959" s="531"/>
      <c r="F5959" s="531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2" t="str">
        <f t="shared" si="310"/>
        <v/>
      </c>
      <c r="E5960" s="531"/>
      <c r="F5960" s="531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2" t="str">
        <f t="shared" ref="D5961:D6024" si="313">IF(A5961&lt;&gt;"",PROPER(TEXT(A5961,"Mmmm")),"")</f>
        <v/>
      </c>
      <c r="E5961" s="531"/>
      <c r="F5961" s="531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2" t="str">
        <f t="shared" si="313"/>
        <v/>
      </c>
      <c r="E5962" s="531"/>
      <c r="F5962" s="531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2" t="str">
        <f t="shared" si="313"/>
        <v/>
      </c>
      <c r="E5963" s="531"/>
      <c r="F5963" s="531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2" t="str">
        <f t="shared" si="313"/>
        <v/>
      </c>
      <c r="E5964" s="531"/>
      <c r="F5964" s="531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2" t="str">
        <f t="shared" si="313"/>
        <v/>
      </c>
      <c r="E5965" s="531"/>
      <c r="F5965" s="531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2" t="str">
        <f t="shared" si="313"/>
        <v/>
      </c>
      <c r="E5966" s="531"/>
      <c r="F5966" s="531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2" t="str">
        <f t="shared" si="313"/>
        <v/>
      </c>
      <c r="E5967" s="531"/>
      <c r="F5967" s="531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2" t="str">
        <f t="shared" si="313"/>
        <v/>
      </c>
      <c r="E5968" s="531"/>
      <c r="F5968" s="531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2" t="str">
        <f t="shared" si="313"/>
        <v/>
      </c>
      <c r="E5969" s="531"/>
      <c r="F5969" s="531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2" t="str">
        <f t="shared" si="313"/>
        <v/>
      </c>
      <c r="E5970" s="531"/>
      <c r="F5970" s="531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2" t="str">
        <f t="shared" si="313"/>
        <v/>
      </c>
      <c r="E5971" s="531"/>
      <c r="F5971" s="531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2" t="str">
        <f t="shared" si="313"/>
        <v/>
      </c>
      <c r="E5972" s="531"/>
      <c r="F5972" s="531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2" t="str">
        <f t="shared" si="313"/>
        <v/>
      </c>
      <c r="E5973" s="531"/>
      <c r="F5973" s="531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2" t="str">
        <f t="shared" si="313"/>
        <v/>
      </c>
      <c r="E5974" s="531"/>
      <c r="F5974" s="531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2" t="str">
        <f t="shared" si="313"/>
        <v/>
      </c>
      <c r="E5975" s="531"/>
      <c r="F5975" s="531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2" t="str">
        <f t="shared" si="313"/>
        <v/>
      </c>
      <c r="E5976" s="531"/>
      <c r="F5976" s="531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2" t="str">
        <f t="shared" si="313"/>
        <v/>
      </c>
      <c r="E5977" s="531"/>
      <c r="F5977" s="531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2" t="str">
        <f t="shared" si="313"/>
        <v/>
      </c>
      <c r="E5978" s="531"/>
      <c r="F5978" s="531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2" t="str">
        <f t="shared" si="313"/>
        <v/>
      </c>
      <c r="E5979" s="531"/>
      <c r="F5979" s="531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2" t="str">
        <f t="shared" si="313"/>
        <v/>
      </c>
      <c r="E5980" s="531"/>
      <c r="F5980" s="531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2" t="str">
        <f t="shared" si="313"/>
        <v/>
      </c>
      <c r="E5981" s="531"/>
      <c r="F5981" s="531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2" t="str">
        <f t="shared" si="313"/>
        <v/>
      </c>
      <c r="E5982" s="531"/>
      <c r="F5982" s="531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2" t="str">
        <f t="shared" si="313"/>
        <v/>
      </c>
      <c r="E5983" s="531"/>
      <c r="F5983" s="531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2" t="str">
        <f t="shared" si="313"/>
        <v/>
      </c>
      <c r="E5984" s="531"/>
      <c r="F5984" s="531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2" t="str">
        <f t="shared" si="313"/>
        <v/>
      </c>
      <c r="E5985" s="531"/>
      <c r="F5985" s="531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2" t="str">
        <f t="shared" si="313"/>
        <v/>
      </c>
      <c r="E5986" s="531"/>
      <c r="F5986" s="531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2" t="str">
        <f t="shared" si="313"/>
        <v/>
      </c>
      <c r="E5987" s="531"/>
      <c r="F5987" s="531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2" t="str">
        <f t="shared" si="313"/>
        <v/>
      </c>
      <c r="E5988" s="531"/>
      <c r="F5988" s="531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2" t="str">
        <f t="shared" si="313"/>
        <v/>
      </c>
      <c r="E5989" s="531"/>
      <c r="F5989" s="531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2" t="str">
        <f t="shared" si="313"/>
        <v/>
      </c>
      <c r="E5990" s="531"/>
      <c r="F5990" s="531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2" t="str">
        <f t="shared" si="313"/>
        <v/>
      </c>
      <c r="E5991" s="531"/>
      <c r="F5991" s="531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2" t="str">
        <f t="shared" si="313"/>
        <v/>
      </c>
      <c r="E5992" s="531"/>
      <c r="F5992" s="531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2" t="str">
        <f t="shared" si="313"/>
        <v/>
      </c>
      <c r="E5993" s="531"/>
      <c r="F5993" s="531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2" t="str">
        <f t="shared" si="313"/>
        <v/>
      </c>
      <c r="E5994" s="531"/>
      <c r="F5994" s="531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2" t="str">
        <f t="shared" si="313"/>
        <v/>
      </c>
      <c r="E5995" s="531"/>
      <c r="F5995" s="531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2" t="str">
        <f t="shared" si="313"/>
        <v/>
      </c>
      <c r="E5996" s="531"/>
      <c r="F5996" s="531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2" t="str">
        <f t="shared" si="313"/>
        <v/>
      </c>
      <c r="E5997" s="531"/>
      <c r="F5997" s="531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2" t="str">
        <f t="shared" si="313"/>
        <v/>
      </c>
      <c r="E5998" s="531"/>
      <c r="F5998" s="531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2" t="str">
        <f t="shared" si="313"/>
        <v/>
      </c>
      <c r="E5999" s="531"/>
      <c r="F5999" s="531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2" t="str">
        <f t="shared" si="313"/>
        <v/>
      </c>
      <c r="E6000" s="531"/>
      <c r="F6000" s="531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2" t="str">
        <f t="shared" si="313"/>
        <v/>
      </c>
      <c r="E6001" s="531"/>
      <c r="F6001" s="531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2" t="str">
        <f t="shared" si="313"/>
        <v/>
      </c>
      <c r="E6002" s="531"/>
      <c r="F6002" s="531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2" t="str">
        <f t="shared" si="313"/>
        <v/>
      </c>
      <c r="E6003" s="531"/>
      <c r="F6003" s="531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2" t="str">
        <f t="shared" si="313"/>
        <v/>
      </c>
      <c r="E6004" s="531"/>
      <c r="F6004" s="531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2" t="str">
        <f t="shared" si="313"/>
        <v/>
      </c>
      <c r="E6005" s="531"/>
      <c r="F6005" s="531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2" t="str">
        <f t="shared" si="313"/>
        <v/>
      </c>
      <c r="E6006" s="531"/>
      <c r="F6006" s="531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2" t="str">
        <f t="shared" si="313"/>
        <v/>
      </c>
      <c r="E6007" s="531"/>
      <c r="F6007" s="531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2" t="str">
        <f t="shared" si="313"/>
        <v/>
      </c>
      <c r="E6008" s="531"/>
      <c r="F6008" s="531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2" t="str">
        <f t="shared" si="313"/>
        <v/>
      </c>
      <c r="E6009" s="531"/>
      <c r="F6009" s="531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2" t="str">
        <f t="shared" si="313"/>
        <v/>
      </c>
      <c r="E6010" s="531"/>
      <c r="F6010" s="531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2" t="str">
        <f t="shared" si="313"/>
        <v/>
      </c>
      <c r="E6011" s="531"/>
      <c r="F6011" s="531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2" t="str">
        <f t="shared" si="313"/>
        <v/>
      </c>
      <c r="E6012" s="531"/>
      <c r="F6012" s="531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2" t="str">
        <f t="shared" si="313"/>
        <v/>
      </c>
      <c r="E6013" s="531"/>
      <c r="F6013" s="531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2" t="str">
        <f t="shared" si="313"/>
        <v/>
      </c>
      <c r="E6014" s="531"/>
      <c r="F6014" s="531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2" t="str">
        <f t="shared" si="313"/>
        <v/>
      </c>
      <c r="E6015" s="531"/>
      <c r="F6015" s="531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2" t="str">
        <f t="shared" si="313"/>
        <v/>
      </c>
      <c r="E6016" s="531"/>
      <c r="F6016" s="531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2" t="str">
        <f t="shared" si="313"/>
        <v/>
      </c>
      <c r="E6017" s="531"/>
      <c r="F6017" s="531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2" t="str">
        <f t="shared" si="313"/>
        <v/>
      </c>
      <c r="E6018" s="531"/>
      <c r="F6018" s="531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2" t="str">
        <f t="shared" si="313"/>
        <v/>
      </c>
      <c r="E6019" s="531"/>
      <c r="F6019" s="531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2" t="str">
        <f t="shared" si="313"/>
        <v/>
      </c>
      <c r="E6020" s="531"/>
      <c r="F6020" s="531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2" t="str">
        <f t="shared" si="313"/>
        <v/>
      </c>
      <c r="E6021" s="531"/>
      <c r="F6021" s="531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2" t="str">
        <f t="shared" si="313"/>
        <v/>
      </c>
      <c r="E6022" s="531"/>
      <c r="F6022" s="531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2" t="str">
        <f t="shared" si="313"/>
        <v/>
      </c>
      <c r="E6023" s="531"/>
      <c r="F6023" s="531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2" t="str">
        <f t="shared" si="313"/>
        <v/>
      </c>
      <c r="E6024" s="531"/>
      <c r="F6024" s="531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2" t="str">
        <f t="shared" ref="D6025:D6088" si="316">IF(A6025&lt;&gt;"",PROPER(TEXT(A6025,"Mmmm")),"")</f>
        <v/>
      </c>
      <c r="E6025" s="531"/>
      <c r="F6025" s="531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2" t="str">
        <f t="shared" si="316"/>
        <v/>
      </c>
      <c r="E6026" s="531"/>
      <c r="F6026" s="531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2" t="str">
        <f t="shared" si="316"/>
        <v/>
      </c>
      <c r="E6027" s="531"/>
      <c r="F6027" s="531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2" t="str">
        <f t="shared" si="316"/>
        <v/>
      </c>
      <c r="E6028" s="531"/>
      <c r="F6028" s="531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2" t="str">
        <f t="shared" si="316"/>
        <v/>
      </c>
      <c r="E6029" s="531"/>
      <c r="F6029" s="531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2" t="str">
        <f t="shared" si="316"/>
        <v/>
      </c>
      <c r="E6030" s="531"/>
      <c r="F6030" s="531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2" t="str">
        <f t="shared" si="316"/>
        <v/>
      </c>
      <c r="E6031" s="531"/>
      <c r="F6031" s="531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2" t="str">
        <f t="shared" si="316"/>
        <v/>
      </c>
      <c r="E6032" s="531"/>
      <c r="F6032" s="531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2" t="str">
        <f t="shared" si="316"/>
        <v/>
      </c>
      <c r="E6033" s="531"/>
      <c r="F6033" s="531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2" t="str">
        <f t="shared" si="316"/>
        <v/>
      </c>
      <c r="E6034" s="531"/>
      <c r="F6034" s="531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2" t="str">
        <f t="shared" si="316"/>
        <v/>
      </c>
      <c r="E6035" s="531"/>
      <c r="F6035" s="531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2" t="str">
        <f t="shared" si="316"/>
        <v/>
      </c>
      <c r="E6036" s="531"/>
      <c r="F6036" s="531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2" t="str">
        <f t="shared" si="316"/>
        <v/>
      </c>
      <c r="E6037" s="531"/>
      <c r="F6037" s="531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2" t="str">
        <f t="shared" si="316"/>
        <v/>
      </c>
      <c r="E6038" s="531"/>
      <c r="F6038" s="531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2" t="str">
        <f t="shared" si="316"/>
        <v/>
      </c>
      <c r="E6039" s="531"/>
      <c r="F6039" s="531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2" t="str">
        <f t="shared" si="316"/>
        <v/>
      </c>
      <c r="E6040" s="531"/>
      <c r="F6040" s="531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2" t="str">
        <f t="shared" si="316"/>
        <v/>
      </c>
      <c r="E6041" s="531"/>
      <c r="F6041" s="531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2" t="str">
        <f t="shared" si="316"/>
        <v/>
      </c>
      <c r="E6042" s="531"/>
      <c r="F6042" s="531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2" t="str">
        <f t="shared" si="316"/>
        <v/>
      </c>
      <c r="E6043" s="531"/>
      <c r="F6043" s="531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2" t="str">
        <f t="shared" si="316"/>
        <v/>
      </c>
      <c r="E6044" s="531"/>
      <c r="F6044" s="531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2" t="str">
        <f t="shared" si="316"/>
        <v/>
      </c>
      <c r="E6045" s="531"/>
      <c r="F6045" s="531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2" t="str">
        <f t="shared" si="316"/>
        <v/>
      </c>
      <c r="E6046" s="531"/>
      <c r="F6046" s="531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2" t="str">
        <f t="shared" si="316"/>
        <v/>
      </c>
      <c r="E6047" s="531"/>
      <c r="F6047" s="531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2" t="str">
        <f t="shared" si="316"/>
        <v/>
      </c>
      <c r="E6048" s="531"/>
      <c r="F6048" s="531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2" t="str">
        <f t="shared" si="316"/>
        <v/>
      </c>
      <c r="E6049" s="531"/>
      <c r="F6049" s="531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2" t="str">
        <f t="shared" si="316"/>
        <v/>
      </c>
      <c r="E6050" s="531"/>
      <c r="F6050" s="531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2" t="str">
        <f t="shared" si="316"/>
        <v/>
      </c>
      <c r="E6051" s="531"/>
      <c r="F6051" s="531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2" t="str">
        <f t="shared" si="316"/>
        <v/>
      </c>
      <c r="E6052" s="531"/>
      <c r="F6052" s="531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2" t="str">
        <f t="shared" si="316"/>
        <v/>
      </c>
      <c r="E6053" s="531"/>
      <c r="F6053" s="531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2" t="str">
        <f t="shared" si="316"/>
        <v/>
      </c>
      <c r="E6054" s="531"/>
      <c r="F6054" s="531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2" t="str">
        <f t="shared" si="316"/>
        <v/>
      </c>
      <c r="E6055" s="531"/>
      <c r="F6055" s="531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2" t="str">
        <f t="shared" si="316"/>
        <v/>
      </c>
      <c r="E6056" s="531"/>
      <c r="F6056" s="531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2" t="str">
        <f t="shared" si="316"/>
        <v/>
      </c>
      <c r="E6057" s="531"/>
      <c r="F6057" s="531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2" t="str">
        <f t="shared" si="316"/>
        <v/>
      </c>
      <c r="E6058" s="531"/>
      <c r="F6058" s="531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2" t="str">
        <f t="shared" si="316"/>
        <v/>
      </c>
      <c r="E6059" s="531"/>
      <c r="F6059" s="531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2" t="str">
        <f t="shared" si="316"/>
        <v/>
      </c>
      <c r="E6060" s="531"/>
      <c r="F6060" s="531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2" t="str">
        <f t="shared" si="316"/>
        <v/>
      </c>
      <c r="E6061" s="531"/>
      <c r="F6061" s="531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2" t="str">
        <f t="shared" si="316"/>
        <v/>
      </c>
      <c r="E6062" s="531"/>
      <c r="F6062" s="531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2" t="str">
        <f t="shared" si="316"/>
        <v/>
      </c>
      <c r="E6063" s="531"/>
      <c r="F6063" s="531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2" t="str">
        <f t="shared" si="316"/>
        <v/>
      </c>
      <c r="E6064" s="531"/>
      <c r="F6064" s="531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2" t="str">
        <f t="shared" si="316"/>
        <v/>
      </c>
      <c r="E6065" s="531"/>
      <c r="F6065" s="531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2" t="str">
        <f t="shared" si="316"/>
        <v/>
      </c>
      <c r="E6066" s="531"/>
      <c r="F6066" s="531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2" t="str">
        <f t="shared" si="316"/>
        <v/>
      </c>
      <c r="E6067" s="531"/>
      <c r="F6067" s="531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2" t="str">
        <f t="shared" si="316"/>
        <v/>
      </c>
      <c r="E6068" s="531"/>
      <c r="F6068" s="531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2" t="str">
        <f t="shared" si="316"/>
        <v/>
      </c>
      <c r="E6069" s="531"/>
      <c r="F6069" s="531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2" t="str">
        <f t="shared" si="316"/>
        <v/>
      </c>
      <c r="E6070" s="531"/>
      <c r="F6070" s="531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2" t="str">
        <f t="shared" si="316"/>
        <v/>
      </c>
      <c r="E6071" s="531"/>
      <c r="F6071" s="531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2" t="str">
        <f t="shared" si="316"/>
        <v/>
      </c>
      <c r="E6072" s="531"/>
      <c r="F6072" s="531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2" t="str">
        <f t="shared" si="316"/>
        <v/>
      </c>
      <c r="E6073" s="531"/>
      <c r="F6073" s="531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2" t="str">
        <f t="shared" si="316"/>
        <v/>
      </c>
      <c r="E6074" s="531"/>
      <c r="F6074" s="531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2" t="str">
        <f t="shared" si="316"/>
        <v/>
      </c>
      <c r="E6075" s="531"/>
      <c r="F6075" s="531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2" t="str">
        <f t="shared" si="316"/>
        <v/>
      </c>
      <c r="E6076" s="531"/>
      <c r="F6076" s="531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2" t="str">
        <f t="shared" si="316"/>
        <v/>
      </c>
      <c r="E6077" s="531"/>
      <c r="F6077" s="531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2" t="str">
        <f t="shared" si="316"/>
        <v/>
      </c>
      <c r="E6078" s="531"/>
      <c r="F6078" s="531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2" t="str">
        <f t="shared" si="316"/>
        <v/>
      </c>
      <c r="E6079" s="531"/>
      <c r="F6079" s="531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2" t="str">
        <f t="shared" si="316"/>
        <v/>
      </c>
      <c r="E6080" s="531"/>
      <c r="F6080" s="531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2" t="str">
        <f t="shared" si="316"/>
        <v/>
      </c>
      <c r="E6081" s="531"/>
      <c r="F6081" s="531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2" t="str">
        <f t="shared" si="316"/>
        <v/>
      </c>
      <c r="E6082" s="531"/>
      <c r="F6082" s="531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2" t="str">
        <f t="shared" si="316"/>
        <v/>
      </c>
      <c r="E6083" s="531"/>
      <c r="F6083" s="531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2" t="str">
        <f t="shared" si="316"/>
        <v/>
      </c>
      <c r="E6084" s="531"/>
      <c r="F6084" s="531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2" t="str">
        <f t="shared" si="316"/>
        <v/>
      </c>
      <c r="E6085" s="531"/>
      <c r="F6085" s="531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2" t="str">
        <f t="shared" si="316"/>
        <v/>
      </c>
      <c r="E6086" s="531"/>
      <c r="F6086" s="531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2" t="str">
        <f t="shared" si="316"/>
        <v/>
      </c>
      <c r="E6087" s="531"/>
      <c r="F6087" s="531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2" t="str">
        <f t="shared" si="316"/>
        <v/>
      </c>
      <c r="E6088" s="531"/>
      <c r="F6088" s="531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2" t="str">
        <f t="shared" ref="D6089:D6152" si="319">IF(A6089&lt;&gt;"",PROPER(TEXT(A6089,"Mmmm")),"")</f>
        <v/>
      </c>
      <c r="E6089" s="531"/>
      <c r="F6089" s="531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2" t="str">
        <f t="shared" si="319"/>
        <v/>
      </c>
      <c r="E6090" s="531"/>
      <c r="F6090" s="531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2" t="str">
        <f t="shared" si="319"/>
        <v/>
      </c>
      <c r="E6091" s="531"/>
      <c r="F6091" s="531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2" t="str">
        <f t="shared" si="319"/>
        <v/>
      </c>
      <c r="E6092" s="531"/>
      <c r="F6092" s="531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2" t="str">
        <f t="shared" si="319"/>
        <v/>
      </c>
      <c r="E6093" s="531"/>
      <c r="F6093" s="531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2" t="str">
        <f t="shared" si="319"/>
        <v/>
      </c>
      <c r="E6094" s="531"/>
      <c r="F6094" s="531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2" t="str">
        <f t="shared" si="319"/>
        <v/>
      </c>
      <c r="E6095" s="531"/>
      <c r="F6095" s="531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2" t="str">
        <f t="shared" si="319"/>
        <v/>
      </c>
      <c r="E6096" s="531"/>
      <c r="F6096" s="531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2" t="str">
        <f t="shared" si="319"/>
        <v/>
      </c>
      <c r="E6097" s="531"/>
      <c r="F6097" s="531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2" t="str">
        <f t="shared" si="319"/>
        <v/>
      </c>
      <c r="E6098" s="531"/>
      <c r="F6098" s="531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2" t="str">
        <f t="shared" si="319"/>
        <v/>
      </c>
      <c r="E6099" s="531"/>
      <c r="F6099" s="531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2" t="str">
        <f t="shared" si="319"/>
        <v/>
      </c>
      <c r="E6100" s="531"/>
      <c r="F6100" s="531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2" t="str">
        <f t="shared" si="319"/>
        <v/>
      </c>
      <c r="E6101" s="531"/>
      <c r="F6101" s="531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2" t="str">
        <f t="shared" si="319"/>
        <v/>
      </c>
      <c r="E6102" s="531"/>
      <c r="F6102" s="531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2" t="str">
        <f t="shared" si="319"/>
        <v/>
      </c>
      <c r="E6103" s="531"/>
      <c r="F6103" s="531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2" t="str">
        <f t="shared" si="319"/>
        <v/>
      </c>
      <c r="E6104" s="531"/>
      <c r="F6104" s="531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2" t="str">
        <f t="shared" si="319"/>
        <v/>
      </c>
      <c r="E6105" s="531"/>
      <c r="F6105" s="531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2" t="str">
        <f t="shared" si="319"/>
        <v/>
      </c>
      <c r="E6106" s="531"/>
      <c r="F6106" s="531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2" t="str">
        <f t="shared" si="319"/>
        <v/>
      </c>
      <c r="E6107" s="531"/>
      <c r="F6107" s="531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2" t="str">
        <f t="shared" si="319"/>
        <v/>
      </c>
      <c r="E6108" s="531"/>
      <c r="F6108" s="531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2" t="str">
        <f t="shared" si="319"/>
        <v/>
      </c>
      <c r="E6109" s="531"/>
      <c r="F6109" s="531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2" t="str">
        <f t="shared" si="319"/>
        <v/>
      </c>
      <c r="E6110" s="531"/>
      <c r="F6110" s="531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2" t="str">
        <f t="shared" si="319"/>
        <v/>
      </c>
      <c r="E6111" s="531"/>
      <c r="F6111" s="531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2" t="str">
        <f t="shared" si="319"/>
        <v/>
      </c>
      <c r="E6112" s="531"/>
      <c r="F6112" s="531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2" t="str">
        <f t="shared" si="319"/>
        <v/>
      </c>
      <c r="E6113" s="531"/>
      <c r="F6113" s="531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2" t="str">
        <f t="shared" si="319"/>
        <v/>
      </c>
      <c r="E6114" s="531"/>
      <c r="F6114" s="531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2" t="str">
        <f t="shared" si="319"/>
        <v/>
      </c>
      <c r="E6115" s="531"/>
      <c r="F6115" s="531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2" t="str">
        <f t="shared" si="319"/>
        <v/>
      </c>
      <c r="E6116" s="531"/>
      <c r="F6116" s="531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2" t="str">
        <f t="shared" si="319"/>
        <v/>
      </c>
      <c r="E6117" s="531"/>
      <c r="F6117" s="531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2" t="str">
        <f t="shared" si="319"/>
        <v/>
      </c>
      <c r="E6118" s="531"/>
      <c r="F6118" s="531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2" t="str">
        <f t="shared" si="319"/>
        <v/>
      </c>
      <c r="E6119" s="531"/>
      <c r="F6119" s="531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2" t="str">
        <f t="shared" si="319"/>
        <v/>
      </c>
      <c r="E6120" s="531"/>
      <c r="F6120" s="531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2" t="str">
        <f t="shared" si="319"/>
        <v/>
      </c>
      <c r="E6121" s="531"/>
      <c r="F6121" s="531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2" t="str">
        <f t="shared" si="319"/>
        <v/>
      </c>
      <c r="E6122" s="531"/>
      <c r="F6122" s="531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2" t="str">
        <f t="shared" si="319"/>
        <v/>
      </c>
      <c r="E6123" s="531"/>
      <c r="F6123" s="531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2" t="str">
        <f t="shared" si="319"/>
        <v/>
      </c>
      <c r="E6124" s="531"/>
      <c r="F6124" s="531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2" t="str">
        <f t="shared" si="319"/>
        <v/>
      </c>
      <c r="E6125" s="531"/>
      <c r="F6125" s="531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2" t="str">
        <f t="shared" si="319"/>
        <v/>
      </c>
      <c r="E6126" s="531"/>
      <c r="F6126" s="531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2" t="str">
        <f t="shared" si="319"/>
        <v/>
      </c>
      <c r="E6127" s="531"/>
      <c r="F6127" s="531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2" t="str">
        <f t="shared" si="319"/>
        <v/>
      </c>
      <c r="E6128" s="531"/>
      <c r="F6128" s="531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2" t="str">
        <f t="shared" si="319"/>
        <v/>
      </c>
      <c r="E6129" s="531"/>
      <c r="F6129" s="531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2" t="str">
        <f t="shared" si="319"/>
        <v/>
      </c>
      <c r="E6130" s="531"/>
      <c r="F6130" s="531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2" t="str">
        <f t="shared" si="319"/>
        <v/>
      </c>
      <c r="E6131" s="531"/>
      <c r="F6131" s="531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2" t="str">
        <f t="shared" si="319"/>
        <v/>
      </c>
      <c r="E6132" s="531"/>
      <c r="F6132" s="531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2" t="str">
        <f t="shared" si="319"/>
        <v/>
      </c>
      <c r="E6133" s="531"/>
      <c r="F6133" s="531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2" t="str">
        <f t="shared" si="319"/>
        <v/>
      </c>
      <c r="E6134" s="531"/>
      <c r="F6134" s="531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2" t="str">
        <f t="shared" si="319"/>
        <v/>
      </c>
      <c r="E6135" s="531"/>
      <c r="F6135" s="531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2" t="str">
        <f t="shared" si="319"/>
        <v/>
      </c>
      <c r="E6136" s="531"/>
      <c r="F6136" s="531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2" t="str">
        <f t="shared" si="319"/>
        <v/>
      </c>
      <c r="E6137" s="531"/>
      <c r="F6137" s="531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2" t="str">
        <f t="shared" si="319"/>
        <v/>
      </c>
      <c r="E6138" s="531"/>
      <c r="F6138" s="531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2" t="str">
        <f t="shared" si="319"/>
        <v/>
      </c>
      <c r="E6139" s="531"/>
      <c r="F6139" s="531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2" t="str">
        <f t="shared" si="319"/>
        <v/>
      </c>
      <c r="E6140" s="531"/>
      <c r="F6140" s="531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2" t="str">
        <f t="shared" si="319"/>
        <v/>
      </c>
      <c r="E6141" s="531"/>
      <c r="F6141" s="531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2" t="str">
        <f t="shared" si="319"/>
        <v/>
      </c>
      <c r="E6142" s="531"/>
      <c r="F6142" s="531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2" t="str">
        <f t="shared" si="319"/>
        <v/>
      </c>
      <c r="E6143" s="531"/>
      <c r="F6143" s="531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2" t="str">
        <f t="shared" si="319"/>
        <v/>
      </c>
      <c r="E6144" s="531"/>
      <c r="F6144" s="531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2" t="str">
        <f t="shared" si="319"/>
        <v/>
      </c>
      <c r="E6145" s="531"/>
      <c r="F6145" s="531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2" t="str">
        <f t="shared" si="319"/>
        <v/>
      </c>
      <c r="E6146" s="531"/>
      <c r="F6146" s="531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2" t="str">
        <f t="shared" si="319"/>
        <v/>
      </c>
      <c r="E6147" s="531"/>
      <c r="F6147" s="531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2" t="str">
        <f t="shared" si="319"/>
        <v/>
      </c>
      <c r="E6148" s="531"/>
      <c r="F6148" s="531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2" t="str">
        <f t="shared" si="319"/>
        <v/>
      </c>
      <c r="E6149" s="531"/>
      <c r="F6149" s="531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2" t="str">
        <f t="shared" si="319"/>
        <v/>
      </c>
      <c r="E6150" s="531"/>
      <c r="F6150" s="531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2" t="str">
        <f t="shared" si="319"/>
        <v/>
      </c>
      <c r="E6151" s="531"/>
      <c r="F6151" s="531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2" t="str">
        <f t="shared" si="319"/>
        <v/>
      </c>
      <c r="E6152" s="531"/>
      <c r="F6152" s="531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2" t="str">
        <f t="shared" ref="D6153:D6216" si="322">IF(A6153&lt;&gt;"",PROPER(TEXT(A6153,"Mmmm")),"")</f>
        <v/>
      </c>
      <c r="E6153" s="531"/>
      <c r="F6153" s="531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2" t="str">
        <f t="shared" si="322"/>
        <v/>
      </c>
      <c r="E6154" s="531"/>
      <c r="F6154" s="531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2" t="str">
        <f t="shared" si="322"/>
        <v/>
      </c>
      <c r="E6155" s="531"/>
      <c r="F6155" s="531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2" t="str">
        <f t="shared" si="322"/>
        <v/>
      </c>
      <c r="E6156" s="531"/>
      <c r="F6156" s="531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2" t="str">
        <f t="shared" si="322"/>
        <v/>
      </c>
      <c r="E6157" s="531"/>
      <c r="F6157" s="531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2" t="str">
        <f t="shared" si="322"/>
        <v/>
      </c>
      <c r="E6158" s="531"/>
      <c r="F6158" s="531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2" t="str">
        <f t="shared" si="322"/>
        <v/>
      </c>
      <c r="E6159" s="531"/>
      <c r="F6159" s="531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2" t="str">
        <f t="shared" si="322"/>
        <v/>
      </c>
      <c r="E6160" s="531"/>
      <c r="F6160" s="531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2" t="str">
        <f t="shared" si="322"/>
        <v/>
      </c>
      <c r="E6161" s="531"/>
      <c r="F6161" s="531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2" t="str">
        <f t="shared" si="322"/>
        <v/>
      </c>
      <c r="E6162" s="531"/>
      <c r="F6162" s="531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2" t="str">
        <f t="shared" si="322"/>
        <v/>
      </c>
      <c r="E6163" s="531"/>
      <c r="F6163" s="531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2" t="str">
        <f t="shared" si="322"/>
        <v/>
      </c>
      <c r="E6164" s="531"/>
      <c r="F6164" s="531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2" t="str">
        <f t="shared" si="322"/>
        <v/>
      </c>
      <c r="E6165" s="531"/>
      <c r="F6165" s="531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2" t="str">
        <f t="shared" si="322"/>
        <v/>
      </c>
      <c r="E6166" s="531"/>
      <c r="F6166" s="531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2" t="str">
        <f t="shared" si="322"/>
        <v/>
      </c>
      <c r="E6167" s="531"/>
      <c r="F6167" s="531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2" t="str">
        <f t="shared" si="322"/>
        <v/>
      </c>
      <c r="E6168" s="531"/>
      <c r="F6168" s="531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2" t="str">
        <f t="shared" si="322"/>
        <v/>
      </c>
      <c r="E6169" s="531"/>
      <c r="F6169" s="531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2" t="str">
        <f t="shared" si="322"/>
        <v/>
      </c>
      <c r="E6170" s="531"/>
      <c r="F6170" s="531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2" t="str">
        <f t="shared" si="322"/>
        <v/>
      </c>
      <c r="E6171" s="531"/>
      <c r="F6171" s="531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2" t="str">
        <f t="shared" si="322"/>
        <v/>
      </c>
      <c r="E6172" s="531"/>
      <c r="F6172" s="531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2" t="str">
        <f t="shared" si="322"/>
        <v/>
      </c>
      <c r="E6173" s="531"/>
      <c r="F6173" s="531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2" t="str">
        <f t="shared" si="322"/>
        <v/>
      </c>
      <c r="E6174" s="531"/>
      <c r="F6174" s="531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2" t="str">
        <f t="shared" si="322"/>
        <v/>
      </c>
      <c r="E6175" s="531"/>
      <c r="F6175" s="531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2" t="str">
        <f t="shared" si="322"/>
        <v/>
      </c>
      <c r="E6176" s="531"/>
      <c r="F6176" s="531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2" t="str">
        <f t="shared" si="322"/>
        <v/>
      </c>
      <c r="E6177" s="531"/>
      <c r="F6177" s="531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2" t="str">
        <f t="shared" si="322"/>
        <v/>
      </c>
      <c r="E6178" s="531"/>
      <c r="F6178" s="531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2" t="str">
        <f t="shared" si="322"/>
        <v/>
      </c>
      <c r="E6179" s="531"/>
      <c r="F6179" s="531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2" t="str">
        <f t="shared" si="322"/>
        <v/>
      </c>
      <c r="E6180" s="531"/>
      <c r="F6180" s="531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2" t="str">
        <f t="shared" si="322"/>
        <v/>
      </c>
      <c r="E6181" s="531"/>
      <c r="F6181" s="531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2" t="str">
        <f t="shared" si="322"/>
        <v/>
      </c>
      <c r="E6182" s="531"/>
      <c r="F6182" s="531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2" t="str">
        <f t="shared" si="322"/>
        <v/>
      </c>
      <c r="E6183" s="531"/>
      <c r="F6183" s="531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2" t="str">
        <f t="shared" si="322"/>
        <v/>
      </c>
      <c r="E6184" s="531"/>
      <c r="F6184" s="531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2" t="str">
        <f t="shared" si="322"/>
        <v/>
      </c>
      <c r="E6185" s="531"/>
      <c r="F6185" s="531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2" t="str">
        <f t="shared" si="322"/>
        <v/>
      </c>
      <c r="E6186" s="531"/>
      <c r="F6186" s="531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2" t="str">
        <f t="shared" si="322"/>
        <v/>
      </c>
      <c r="E6187" s="531"/>
      <c r="F6187" s="531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2" t="str">
        <f t="shared" si="322"/>
        <v/>
      </c>
      <c r="E6188" s="531"/>
      <c r="F6188" s="531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2" t="str">
        <f t="shared" si="322"/>
        <v/>
      </c>
      <c r="E6189" s="531"/>
      <c r="F6189" s="531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2" t="str">
        <f t="shared" si="322"/>
        <v/>
      </c>
      <c r="E6190" s="531"/>
      <c r="F6190" s="531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2" t="str">
        <f t="shared" si="322"/>
        <v/>
      </c>
      <c r="E6191" s="531"/>
      <c r="F6191" s="531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2" t="str">
        <f t="shared" si="322"/>
        <v/>
      </c>
      <c r="E6192" s="531"/>
      <c r="F6192" s="531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2" t="str">
        <f t="shared" si="322"/>
        <v/>
      </c>
      <c r="E6193" s="531"/>
      <c r="F6193" s="531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2" t="str">
        <f t="shared" si="322"/>
        <v/>
      </c>
      <c r="E6194" s="531"/>
      <c r="F6194" s="531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2" t="str">
        <f t="shared" si="322"/>
        <v/>
      </c>
      <c r="E6195" s="531"/>
      <c r="F6195" s="531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2" t="str">
        <f t="shared" si="322"/>
        <v/>
      </c>
      <c r="E6196" s="531"/>
      <c r="F6196" s="531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2" t="str">
        <f t="shared" si="322"/>
        <v/>
      </c>
      <c r="E6197" s="531"/>
      <c r="F6197" s="531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2" t="str">
        <f t="shared" si="322"/>
        <v/>
      </c>
      <c r="E6198" s="531"/>
      <c r="F6198" s="531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2" t="str">
        <f t="shared" si="322"/>
        <v/>
      </c>
      <c r="E6199" s="531"/>
      <c r="F6199" s="531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2" t="str">
        <f t="shared" si="322"/>
        <v/>
      </c>
      <c r="E6200" s="531"/>
      <c r="F6200" s="531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2" t="str">
        <f t="shared" si="322"/>
        <v/>
      </c>
      <c r="E6201" s="531"/>
      <c r="F6201" s="531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2" t="str">
        <f t="shared" si="322"/>
        <v/>
      </c>
      <c r="E6202" s="531"/>
      <c r="F6202" s="531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2" t="str">
        <f t="shared" si="322"/>
        <v/>
      </c>
      <c r="E6203" s="531"/>
      <c r="F6203" s="531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2" t="str">
        <f t="shared" si="322"/>
        <v/>
      </c>
      <c r="E6204" s="531"/>
      <c r="F6204" s="531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2" t="str">
        <f t="shared" si="322"/>
        <v/>
      </c>
      <c r="E6205" s="531"/>
      <c r="F6205" s="531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2" t="str">
        <f t="shared" si="322"/>
        <v/>
      </c>
      <c r="E6206" s="531"/>
      <c r="F6206" s="531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2" t="str">
        <f t="shared" si="322"/>
        <v/>
      </c>
      <c r="E6207" s="531"/>
      <c r="F6207" s="531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2" t="str">
        <f t="shared" si="322"/>
        <v/>
      </c>
      <c r="E6208" s="531"/>
      <c r="F6208" s="531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2" t="str">
        <f t="shared" si="322"/>
        <v/>
      </c>
      <c r="E6209" s="531"/>
      <c r="F6209" s="531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2" t="str">
        <f t="shared" si="322"/>
        <v/>
      </c>
      <c r="E6210" s="531"/>
      <c r="F6210" s="531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2" t="str">
        <f t="shared" si="322"/>
        <v/>
      </c>
      <c r="E6211" s="531"/>
      <c r="F6211" s="531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2" t="str">
        <f t="shared" si="322"/>
        <v/>
      </c>
      <c r="E6212" s="531"/>
      <c r="F6212" s="531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2" t="str">
        <f t="shared" si="322"/>
        <v/>
      </c>
      <c r="E6213" s="531"/>
      <c r="F6213" s="531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2" t="str">
        <f t="shared" si="322"/>
        <v/>
      </c>
      <c r="E6214" s="531"/>
      <c r="F6214" s="531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2" t="str">
        <f t="shared" si="322"/>
        <v/>
      </c>
      <c r="E6215" s="531"/>
      <c r="F6215" s="531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2" t="str">
        <f t="shared" si="322"/>
        <v/>
      </c>
      <c r="E6216" s="531"/>
      <c r="F6216" s="531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2" t="str">
        <f t="shared" ref="D6217:D6280" si="325">IF(A6217&lt;&gt;"",PROPER(TEXT(A6217,"Mmmm")),"")</f>
        <v/>
      </c>
      <c r="E6217" s="531"/>
      <c r="F6217" s="531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2" t="str">
        <f t="shared" si="325"/>
        <v/>
      </c>
      <c r="E6218" s="531"/>
      <c r="F6218" s="531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2" t="str">
        <f t="shared" si="325"/>
        <v/>
      </c>
      <c r="E6219" s="531"/>
      <c r="F6219" s="531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2" t="str">
        <f t="shared" si="325"/>
        <v/>
      </c>
      <c r="E6220" s="531"/>
      <c r="F6220" s="531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2" t="str">
        <f t="shared" si="325"/>
        <v/>
      </c>
      <c r="E6221" s="531"/>
      <c r="F6221" s="531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2" t="str">
        <f t="shared" si="325"/>
        <v/>
      </c>
      <c r="E6222" s="531"/>
      <c r="F6222" s="531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2" t="str">
        <f t="shared" si="325"/>
        <v/>
      </c>
      <c r="E6223" s="531"/>
      <c r="F6223" s="531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2" t="str">
        <f t="shared" si="325"/>
        <v/>
      </c>
      <c r="E6224" s="531"/>
      <c r="F6224" s="531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2" t="str">
        <f t="shared" si="325"/>
        <v/>
      </c>
      <c r="E6225" s="531"/>
      <c r="F6225" s="531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2" t="str">
        <f t="shared" si="325"/>
        <v/>
      </c>
      <c r="E6226" s="531"/>
      <c r="F6226" s="531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2" t="str">
        <f t="shared" si="325"/>
        <v/>
      </c>
      <c r="E6227" s="531"/>
      <c r="F6227" s="531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2" t="str">
        <f t="shared" si="325"/>
        <v/>
      </c>
      <c r="E6228" s="531"/>
      <c r="F6228" s="531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2" t="str">
        <f t="shared" si="325"/>
        <v/>
      </c>
      <c r="E6229" s="531"/>
      <c r="F6229" s="531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2" t="str">
        <f t="shared" si="325"/>
        <v/>
      </c>
      <c r="E6230" s="531"/>
      <c r="F6230" s="531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2" t="str">
        <f t="shared" si="325"/>
        <v/>
      </c>
      <c r="E6231" s="531"/>
      <c r="F6231" s="531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2" t="str">
        <f t="shared" si="325"/>
        <v/>
      </c>
      <c r="E6232" s="531"/>
      <c r="F6232" s="531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2" t="str">
        <f t="shared" si="325"/>
        <v/>
      </c>
      <c r="E6233" s="531"/>
      <c r="F6233" s="531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2" t="str">
        <f t="shared" si="325"/>
        <v/>
      </c>
      <c r="E6234" s="531"/>
      <c r="F6234" s="531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2" t="str">
        <f t="shared" si="325"/>
        <v/>
      </c>
      <c r="E6235" s="531"/>
      <c r="F6235" s="531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2" t="str">
        <f t="shared" si="325"/>
        <v/>
      </c>
      <c r="E6236" s="531"/>
      <c r="F6236" s="531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2" t="str">
        <f t="shared" si="325"/>
        <v/>
      </c>
      <c r="E6237" s="531"/>
      <c r="F6237" s="531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2" t="str">
        <f t="shared" si="325"/>
        <v/>
      </c>
      <c r="E6238" s="531"/>
      <c r="F6238" s="531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2" t="str">
        <f t="shared" si="325"/>
        <v/>
      </c>
      <c r="E6239" s="531"/>
      <c r="F6239" s="531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2" t="str">
        <f t="shared" si="325"/>
        <v/>
      </c>
      <c r="E6240" s="531"/>
      <c r="F6240" s="531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2" t="str">
        <f t="shared" si="325"/>
        <v/>
      </c>
      <c r="E6241" s="531"/>
      <c r="F6241" s="531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2" t="str">
        <f t="shared" si="325"/>
        <v/>
      </c>
      <c r="E6242" s="531"/>
      <c r="F6242" s="531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2" t="str">
        <f t="shared" si="325"/>
        <v/>
      </c>
      <c r="E6243" s="531"/>
      <c r="F6243" s="531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2" t="str">
        <f t="shared" si="325"/>
        <v/>
      </c>
      <c r="E6244" s="531"/>
      <c r="F6244" s="531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2" t="str">
        <f t="shared" si="325"/>
        <v/>
      </c>
      <c r="E6245" s="531"/>
      <c r="F6245" s="531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2" t="str">
        <f t="shared" si="325"/>
        <v/>
      </c>
      <c r="E6246" s="531"/>
      <c r="F6246" s="531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2" t="str">
        <f t="shared" si="325"/>
        <v/>
      </c>
      <c r="E6247" s="531"/>
      <c r="F6247" s="531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2" t="str">
        <f t="shared" si="325"/>
        <v/>
      </c>
      <c r="E6248" s="531"/>
      <c r="F6248" s="531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2" t="str">
        <f t="shared" si="325"/>
        <v/>
      </c>
      <c r="E6249" s="531"/>
      <c r="F6249" s="531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2" t="str">
        <f t="shared" si="325"/>
        <v/>
      </c>
      <c r="E6250" s="531"/>
      <c r="F6250" s="531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2" t="str">
        <f t="shared" si="325"/>
        <v/>
      </c>
      <c r="E6251" s="531"/>
      <c r="F6251" s="531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2" t="str">
        <f t="shared" si="325"/>
        <v/>
      </c>
      <c r="E6252" s="531"/>
      <c r="F6252" s="531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2" t="str">
        <f t="shared" si="325"/>
        <v/>
      </c>
      <c r="E6253" s="531"/>
      <c r="F6253" s="531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2" t="str">
        <f t="shared" si="325"/>
        <v/>
      </c>
      <c r="E6254" s="531"/>
      <c r="F6254" s="531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2" t="str">
        <f t="shared" si="325"/>
        <v/>
      </c>
      <c r="E6255" s="531"/>
      <c r="F6255" s="531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2" t="str">
        <f t="shared" si="325"/>
        <v/>
      </c>
      <c r="E6256" s="531"/>
      <c r="F6256" s="531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2" t="str">
        <f t="shared" si="325"/>
        <v/>
      </c>
      <c r="E6257" s="531"/>
      <c r="F6257" s="531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2" t="str">
        <f t="shared" si="325"/>
        <v/>
      </c>
      <c r="E6258" s="531"/>
      <c r="F6258" s="531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2" t="str">
        <f t="shared" si="325"/>
        <v/>
      </c>
      <c r="E6259" s="531"/>
      <c r="F6259" s="531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2" t="str">
        <f t="shared" si="325"/>
        <v/>
      </c>
      <c r="E6260" s="531"/>
      <c r="F6260" s="531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2" t="str">
        <f t="shared" si="325"/>
        <v/>
      </c>
      <c r="E6261" s="531"/>
      <c r="F6261" s="531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2" t="str">
        <f t="shared" si="325"/>
        <v/>
      </c>
      <c r="E6262" s="531"/>
      <c r="F6262" s="531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2" t="str">
        <f t="shared" si="325"/>
        <v/>
      </c>
      <c r="E6263" s="531"/>
      <c r="F6263" s="531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2" t="str">
        <f t="shared" si="325"/>
        <v/>
      </c>
      <c r="E6264" s="531"/>
      <c r="F6264" s="531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2" t="str">
        <f t="shared" si="325"/>
        <v/>
      </c>
      <c r="E6265" s="531"/>
      <c r="F6265" s="531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2" t="str">
        <f t="shared" si="325"/>
        <v/>
      </c>
      <c r="E6266" s="531"/>
      <c r="F6266" s="531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2" t="str">
        <f t="shared" si="325"/>
        <v/>
      </c>
      <c r="E6267" s="531"/>
      <c r="F6267" s="531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2" t="str">
        <f t="shared" si="325"/>
        <v/>
      </c>
      <c r="E6268" s="531"/>
      <c r="F6268" s="531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2" t="str">
        <f t="shared" si="325"/>
        <v/>
      </c>
      <c r="E6269" s="531"/>
      <c r="F6269" s="531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2" t="str">
        <f t="shared" si="325"/>
        <v/>
      </c>
      <c r="E6270" s="531"/>
      <c r="F6270" s="531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2" t="str">
        <f t="shared" si="325"/>
        <v/>
      </c>
      <c r="E6271" s="531"/>
      <c r="F6271" s="531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2" t="str">
        <f t="shared" si="325"/>
        <v/>
      </c>
      <c r="E6272" s="531"/>
      <c r="F6272" s="531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2" t="str">
        <f t="shared" si="325"/>
        <v/>
      </c>
      <c r="E6273" s="531"/>
      <c r="F6273" s="531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2" t="str">
        <f t="shared" si="325"/>
        <v/>
      </c>
      <c r="E6274" s="531"/>
      <c r="F6274" s="531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2" t="str">
        <f t="shared" si="325"/>
        <v/>
      </c>
      <c r="E6275" s="531"/>
      <c r="F6275" s="531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2" t="str">
        <f t="shared" si="325"/>
        <v/>
      </c>
      <c r="E6276" s="531"/>
      <c r="F6276" s="531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2" t="str">
        <f t="shared" si="325"/>
        <v/>
      </c>
      <c r="E6277" s="531"/>
      <c r="F6277" s="531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2" t="str">
        <f t="shared" si="325"/>
        <v/>
      </c>
      <c r="E6278" s="531"/>
      <c r="F6278" s="531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2" t="str">
        <f t="shared" si="325"/>
        <v/>
      </c>
      <c r="E6279" s="531"/>
      <c r="F6279" s="531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2" t="str">
        <f t="shared" si="325"/>
        <v/>
      </c>
      <c r="E6280" s="531"/>
      <c r="F6280" s="531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2" t="str">
        <f t="shared" ref="D6281:D6344" si="328">IF(A6281&lt;&gt;"",PROPER(TEXT(A6281,"Mmmm")),"")</f>
        <v/>
      </c>
      <c r="E6281" s="531"/>
      <c r="F6281" s="531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2" t="str">
        <f t="shared" si="328"/>
        <v/>
      </c>
      <c r="E6282" s="531"/>
      <c r="F6282" s="531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2" t="str">
        <f t="shared" si="328"/>
        <v/>
      </c>
      <c r="E6283" s="531"/>
      <c r="F6283" s="531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2" t="str">
        <f t="shared" si="328"/>
        <v/>
      </c>
      <c r="E6284" s="531"/>
      <c r="F6284" s="531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2" t="str">
        <f t="shared" si="328"/>
        <v/>
      </c>
      <c r="E6285" s="531"/>
      <c r="F6285" s="531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2" t="str">
        <f t="shared" si="328"/>
        <v/>
      </c>
      <c r="E6286" s="531"/>
      <c r="F6286" s="531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2" t="str">
        <f t="shared" si="328"/>
        <v/>
      </c>
      <c r="E6287" s="531"/>
      <c r="F6287" s="531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2" t="str">
        <f t="shared" si="328"/>
        <v/>
      </c>
      <c r="E6288" s="531"/>
      <c r="F6288" s="531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2" t="str">
        <f t="shared" si="328"/>
        <v/>
      </c>
      <c r="E6289" s="531"/>
      <c r="F6289" s="531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2" t="str">
        <f t="shared" si="328"/>
        <v/>
      </c>
      <c r="E6290" s="531"/>
      <c r="F6290" s="531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2" t="str">
        <f t="shared" si="328"/>
        <v/>
      </c>
      <c r="E6291" s="531"/>
      <c r="F6291" s="531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2" t="str">
        <f t="shared" si="328"/>
        <v/>
      </c>
      <c r="E6292" s="531"/>
      <c r="F6292" s="531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2" t="str">
        <f t="shared" si="328"/>
        <v/>
      </c>
      <c r="E6293" s="531"/>
      <c r="F6293" s="531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2" t="str">
        <f t="shared" si="328"/>
        <v/>
      </c>
      <c r="E6294" s="531"/>
      <c r="F6294" s="531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2" t="str">
        <f t="shared" si="328"/>
        <v/>
      </c>
      <c r="E6295" s="531"/>
      <c r="F6295" s="531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2" t="str">
        <f t="shared" si="328"/>
        <v/>
      </c>
      <c r="E6296" s="531"/>
      <c r="F6296" s="531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2" t="str">
        <f t="shared" si="328"/>
        <v/>
      </c>
      <c r="E6297" s="531"/>
      <c r="F6297" s="531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2" t="str">
        <f t="shared" si="328"/>
        <v/>
      </c>
      <c r="E6298" s="531"/>
      <c r="F6298" s="531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2" t="str">
        <f t="shared" si="328"/>
        <v/>
      </c>
      <c r="E6299" s="531"/>
      <c r="F6299" s="531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2" t="str">
        <f t="shared" si="328"/>
        <v/>
      </c>
      <c r="E6300" s="531"/>
      <c r="F6300" s="531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2" t="str">
        <f t="shared" si="328"/>
        <v/>
      </c>
      <c r="E6301" s="531"/>
      <c r="F6301" s="531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2" t="str">
        <f t="shared" si="328"/>
        <v/>
      </c>
      <c r="E6302" s="531"/>
      <c r="F6302" s="531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2" t="str">
        <f t="shared" si="328"/>
        <v/>
      </c>
      <c r="E6303" s="531"/>
      <c r="F6303" s="531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2" t="str">
        <f t="shared" si="328"/>
        <v/>
      </c>
      <c r="E6304" s="531"/>
      <c r="F6304" s="531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2" t="str">
        <f t="shared" si="328"/>
        <v/>
      </c>
      <c r="E6305" s="531"/>
      <c r="F6305" s="531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2" t="str">
        <f t="shared" si="328"/>
        <v/>
      </c>
      <c r="E6306" s="531"/>
      <c r="F6306" s="531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2" t="str">
        <f t="shared" si="328"/>
        <v/>
      </c>
      <c r="E6307" s="531"/>
      <c r="F6307" s="531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2" t="str">
        <f t="shared" si="328"/>
        <v/>
      </c>
      <c r="E6308" s="531"/>
      <c r="F6308" s="531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2" t="str">
        <f t="shared" si="328"/>
        <v/>
      </c>
      <c r="E6309" s="531"/>
      <c r="F6309" s="531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2" t="str">
        <f t="shared" si="328"/>
        <v/>
      </c>
      <c r="E6310" s="531"/>
      <c r="F6310" s="531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2" t="str">
        <f t="shared" si="328"/>
        <v/>
      </c>
      <c r="E6311" s="531"/>
      <c r="F6311" s="531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2" t="str">
        <f t="shared" si="328"/>
        <v/>
      </c>
      <c r="E6312" s="531"/>
      <c r="F6312" s="531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2" t="str">
        <f t="shared" si="328"/>
        <v/>
      </c>
      <c r="E6313" s="531"/>
      <c r="F6313" s="531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2" t="str">
        <f t="shared" si="328"/>
        <v/>
      </c>
      <c r="E6314" s="531"/>
      <c r="F6314" s="531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2" t="str">
        <f t="shared" si="328"/>
        <v/>
      </c>
      <c r="E6315" s="531"/>
      <c r="F6315" s="531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2" t="str">
        <f t="shared" si="328"/>
        <v/>
      </c>
      <c r="E6316" s="531"/>
      <c r="F6316" s="531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2" t="str">
        <f t="shared" si="328"/>
        <v/>
      </c>
      <c r="E6317" s="531"/>
      <c r="F6317" s="531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2" t="str">
        <f t="shared" si="328"/>
        <v/>
      </c>
      <c r="E6318" s="531"/>
      <c r="F6318" s="531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2" t="str">
        <f t="shared" si="328"/>
        <v/>
      </c>
      <c r="E6319" s="531"/>
      <c r="F6319" s="531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2" t="str">
        <f t="shared" si="328"/>
        <v/>
      </c>
      <c r="E6320" s="531"/>
      <c r="F6320" s="531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2" t="str">
        <f t="shared" si="328"/>
        <v/>
      </c>
      <c r="E6321" s="531"/>
      <c r="F6321" s="531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2" t="str">
        <f t="shared" si="328"/>
        <v/>
      </c>
      <c r="E6322" s="531"/>
      <c r="F6322" s="531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2" t="str">
        <f t="shared" si="328"/>
        <v/>
      </c>
      <c r="E6323" s="531"/>
      <c r="F6323" s="531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2" t="str">
        <f t="shared" si="328"/>
        <v/>
      </c>
      <c r="E6324" s="531"/>
      <c r="F6324" s="531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2" t="str">
        <f t="shared" si="328"/>
        <v/>
      </c>
      <c r="E6325" s="531"/>
      <c r="F6325" s="531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2" t="str">
        <f t="shared" si="328"/>
        <v/>
      </c>
      <c r="E6326" s="531"/>
      <c r="F6326" s="531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2" t="str">
        <f t="shared" si="328"/>
        <v/>
      </c>
      <c r="E6327" s="531"/>
      <c r="F6327" s="531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2" t="str">
        <f t="shared" si="328"/>
        <v/>
      </c>
      <c r="E6328" s="531"/>
      <c r="F6328" s="531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2" t="str">
        <f t="shared" si="328"/>
        <v/>
      </c>
      <c r="E6329" s="531"/>
      <c r="F6329" s="531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2" t="str">
        <f t="shared" si="328"/>
        <v/>
      </c>
      <c r="E6330" s="531"/>
      <c r="F6330" s="531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2" t="str">
        <f t="shared" si="328"/>
        <v/>
      </c>
      <c r="E6331" s="531"/>
      <c r="F6331" s="531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2" t="str">
        <f t="shared" si="328"/>
        <v/>
      </c>
      <c r="E6332" s="531"/>
      <c r="F6332" s="531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2" t="str">
        <f t="shared" si="328"/>
        <v/>
      </c>
      <c r="E6333" s="531"/>
      <c r="F6333" s="531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2" t="str">
        <f t="shared" si="328"/>
        <v/>
      </c>
      <c r="E6334" s="531"/>
      <c r="F6334" s="531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2" t="str">
        <f t="shared" si="328"/>
        <v/>
      </c>
      <c r="E6335" s="531"/>
      <c r="F6335" s="531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2" t="str">
        <f t="shared" si="328"/>
        <v/>
      </c>
      <c r="E6336" s="531"/>
      <c r="F6336" s="531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2" t="str">
        <f t="shared" si="328"/>
        <v/>
      </c>
      <c r="E6337" s="531"/>
      <c r="F6337" s="531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2" t="str">
        <f t="shared" si="328"/>
        <v/>
      </c>
      <c r="E6338" s="531"/>
      <c r="F6338" s="531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2" t="str">
        <f t="shared" si="328"/>
        <v/>
      </c>
      <c r="E6339" s="531"/>
      <c r="F6339" s="531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2" t="str">
        <f t="shared" si="328"/>
        <v/>
      </c>
      <c r="E6340" s="531"/>
      <c r="F6340" s="531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2" t="str">
        <f t="shared" si="328"/>
        <v/>
      </c>
      <c r="E6341" s="531"/>
      <c r="F6341" s="531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2" t="str">
        <f t="shared" si="328"/>
        <v/>
      </c>
      <c r="E6342" s="531"/>
      <c r="F6342" s="531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2" t="str">
        <f t="shared" si="328"/>
        <v/>
      </c>
      <c r="E6343" s="531"/>
      <c r="F6343" s="531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2" t="str">
        <f t="shared" si="328"/>
        <v/>
      </c>
      <c r="E6344" s="531"/>
      <c r="F6344" s="531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2" t="str">
        <f t="shared" ref="D6345:D6408" si="331">IF(A6345&lt;&gt;"",PROPER(TEXT(A6345,"Mmmm")),"")</f>
        <v/>
      </c>
      <c r="E6345" s="531"/>
      <c r="F6345" s="531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2" t="str">
        <f t="shared" si="331"/>
        <v/>
      </c>
      <c r="E6346" s="531"/>
      <c r="F6346" s="531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2" t="str">
        <f t="shared" si="331"/>
        <v/>
      </c>
      <c r="E6347" s="531"/>
      <c r="F6347" s="531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2" t="str">
        <f t="shared" si="331"/>
        <v/>
      </c>
      <c r="E6348" s="531"/>
      <c r="F6348" s="531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2" t="str">
        <f t="shared" si="331"/>
        <v/>
      </c>
      <c r="E6349" s="531"/>
      <c r="F6349" s="531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2" t="str">
        <f t="shared" si="331"/>
        <v/>
      </c>
      <c r="E6350" s="531"/>
      <c r="F6350" s="531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2" t="str">
        <f t="shared" si="331"/>
        <v/>
      </c>
      <c r="E6351" s="531"/>
      <c r="F6351" s="531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2" t="str">
        <f t="shared" si="331"/>
        <v/>
      </c>
      <c r="E6352" s="531"/>
      <c r="F6352" s="531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2" t="str">
        <f t="shared" si="331"/>
        <v/>
      </c>
      <c r="E6353" s="531"/>
      <c r="F6353" s="531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2" t="str">
        <f t="shared" si="331"/>
        <v/>
      </c>
      <c r="E6354" s="531"/>
      <c r="F6354" s="531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2" t="str">
        <f t="shared" si="331"/>
        <v/>
      </c>
      <c r="E6355" s="531"/>
      <c r="F6355" s="531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2" t="str">
        <f t="shared" si="331"/>
        <v/>
      </c>
      <c r="E6356" s="531"/>
      <c r="F6356" s="531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2" t="str">
        <f t="shared" si="331"/>
        <v/>
      </c>
      <c r="E6357" s="531"/>
      <c r="F6357" s="531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2" t="str">
        <f t="shared" si="331"/>
        <v/>
      </c>
      <c r="E6358" s="531"/>
      <c r="F6358" s="531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2" t="str">
        <f t="shared" si="331"/>
        <v/>
      </c>
      <c r="E6359" s="531"/>
      <c r="F6359" s="531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2" t="str">
        <f t="shared" si="331"/>
        <v/>
      </c>
      <c r="E6360" s="531"/>
      <c r="F6360" s="531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2" t="str">
        <f t="shared" si="331"/>
        <v/>
      </c>
      <c r="E6361" s="531"/>
      <c r="F6361" s="531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2" t="str">
        <f t="shared" si="331"/>
        <v/>
      </c>
      <c r="E6362" s="531"/>
      <c r="F6362" s="531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2" t="str">
        <f t="shared" si="331"/>
        <v/>
      </c>
      <c r="E6363" s="531"/>
      <c r="F6363" s="531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2" t="str">
        <f t="shared" si="331"/>
        <v/>
      </c>
      <c r="E6364" s="531"/>
      <c r="F6364" s="531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2" t="str">
        <f t="shared" si="331"/>
        <v/>
      </c>
      <c r="E6365" s="531"/>
      <c r="F6365" s="531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2" t="str">
        <f t="shared" si="331"/>
        <v/>
      </c>
      <c r="E6366" s="531"/>
      <c r="F6366" s="531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2" t="str">
        <f t="shared" si="331"/>
        <v/>
      </c>
      <c r="E6367" s="531"/>
      <c r="F6367" s="531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2" t="str">
        <f t="shared" si="331"/>
        <v/>
      </c>
      <c r="E6368" s="531"/>
      <c r="F6368" s="531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2" t="str">
        <f t="shared" si="331"/>
        <v/>
      </c>
      <c r="E6369" s="531"/>
      <c r="F6369" s="531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2" t="str">
        <f t="shared" si="331"/>
        <v/>
      </c>
      <c r="E6370" s="531"/>
      <c r="F6370" s="531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2" t="str">
        <f t="shared" si="331"/>
        <v/>
      </c>
      <c r="E6371" s="531"/>
      <c r="F6371" s="531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2" t="str">
        <f t="shared" si="331"/>
        <v/>
      </c>
      <c r="E6372" s="531"/>
      <c r="F6372" s="531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2" t="str">
        <f t="shared" si="331"/>
        <v/>
      </c>
      <c r="E6373" s="531"/>
      <c r="F6373" s="531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2" t="str">
        <f t="shared" si="331"/>
        <v/>
      </c>
      <c r="E6374" s="531"/>
      <c r="F6374" s="531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2" t="str">
        <f t="shared" si="331"/>
        <v/>
      </c>
      <c r="E6375" s="531"/>
      <c r="F6375" s="531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2" t="str">
        <f t="shared" si="331"/>
        <v/>
      </c>
      <c r="E6376" s="531"/>
      <c r="F6376" s="531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2" t="str">
        <f t="shared" si="331"/>
        <v/>
      </c>
      <c r="E6377" s="531"/>
      <c r="F6377" s="531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2" t="str">
        <f t="shared" si="331"/>
        <v/>
      </c>
      <c r="E6378" s="531"/>
      <c r="F6378" s="531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2" t="str">
        <f t="shared" si="331"/>
        <v/>
      </c>
      <c r="E6379" s="531"/>
      <c r="F6379" s="531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2" t="str">
        <f t="shared" si="331"/>
        <v/>
      </c>
      <c r="E6380" s="531"/>
      <c r="F6380" s="531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2" t="str">
        <f t="shared" si="331"/>
        <v/>
      </c>
      <c r="E6381" s="531"/>
      <c r="F6381" s="531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2" t="str">
        <f t="shared" si="331"/>
        <v/>
      </c>
      <c r="E6382" s="531"/>
      <c r="F6382" s="531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2" t="str">
        <f t="shared" si="331"/>
        <v/>
      </c>
      <c r="E6383" s="531"/>
      <c r="F6383" s="531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2" t="str">
        <f t="shared" si="331"/>
        <v/>
      </c>
      <c r="E6384" s="531"/>
      <c r="F6384" s="531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2" t="str">
        <f t="shared" si="331"/>
        <v/>
      </c>
      <c r="E6385" s="531"/>
      <c r="F6385" s="531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2" t="str">
        <f t="shared" si="331"/>
        <v/>
      </c>
      <c r="E6386" s="531"/>
      <c r="F6386" s="531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2" t="str">
        <f t="shared" si="331"/>
        <v/>
      </c>
      <c r="E6387" s="531"/>
      <c r="F6387" s="531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2" t="str">
        <f t="shared" si="331"/>
        <v/>
      </c>
      <c r="E6388" s="531"/>
      <c r="F6388" s="531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2" t="str">
        <f t="shared" si="331"/>
        <v/>
      </c>
      <c r="E6389" s="531"/>
      <c r="F6389" s="531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2" t="str">
        <f t="shared" si="331"/>
        <v/>
      </c>
      <c r="E6390" s="531"/>
      <c r="F6390" s="531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2" t="str">
        <f t="shared" si="331"/>
        <v/>
      </c>
      <c r="E6391" s="531"/>
      <c r="F6391" s="531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2" t="str">
        <f t="shared" si="331"/>
        <v/>
      </c>
      <c r="E6392" s="531"/>
      <c r="F6392" s="531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2" t="str">
        <f t="shared" si="331"/>
        <v/>
      </c>
      <c r="E6393" s="531"/>
      <c r="F6393" s="531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2" t="str">
        <f t="shared" si="331"/>
        <v/>
      </c>
      <c r="E6394" s="531"/>
      <c r="F6394" s="531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2" t="str">
        <f t="shared" si="331"/>
        <v/>
      </c>
      <c r="E6395" s="531"/>
      <c r="F6395" s="531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2" t="str">
        <f t="shared" si="331"/>
        <v/>
      </c>
      <c r="E6396" s="531"/>
      <c r="F6396" s="531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2" t="str">
        <f t="shared" si="331"/>
        <v/>
      </c>
      <c r="E6397" s="531"/>
      <c r="F6397" s="531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2" t="str">
        <f t="shared" si="331"/>
        <v/>
      </c>
      <c r="E6398" s="531"/>
      <c r="F6398" s="531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2" t="str">
        <f t="shared" si="331"/>
        <v/>
      </c>
      <c r="E6399" s="531"/>
      <c r="F6399" s="531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2" t="str">
        <f t="shared" si="331"/>
        <v/>
      </c>
      <c r="E6400" s="531"/>
      <c r="F6400" s="531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2" t="str">
        <f t="shared" si="331"/>
        <v/>
      </c>
      <c r="E6401" s="531"/>
      <c r="F6401" s="531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2" t="str">
        <f t="shared" si="331"/>
        <v/>
      </c>
      <c r="E6402" s="531"/>
      <c r="F6402" s="531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2" t="str">
        <f t="shared" si="331"/>
        <v/>
      </c>
      <c r="E6403" s="531"/>
      <c r="F6403" s="531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2" t="str">
        <f t="shared" si="331"/>
        <v/>
      </c>
      <c r="E6404" s="531"/>
      <c r="F6404" s="531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2" t="str">
        <f t="shared" si="331"/>
        <v/>
      </c>
      <c r="E6405" s="531"/>
      <c r="F6405" s="531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2" t="str">
        <f t="shared" si="331"/>
        <v/>
      </c>
      <c r="E6406" s="531"/>
      <c r="F6406" s="531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2" t="str">
        <f t="shared" si="331"/>
        <v/>
      </c>
      <c r="E6407" s="531"/>
      <c r="F6407" s="531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2" t="str">
        <f t="shared" si="331"/>
        <v/>
      </c>
      <c r="E6408" s="531"/>
      <c r="F6408" s="531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2" t="str">
        <f t="shared" ref="D6409:D6472" si="334">IF(A6409&lt;&gt;"",PROPER(TEXT(A6409,"Mmmm")),"")</f>
        <v/>
      </c>
      <c r="E6409" s="531"/>
      <c r="F6409" s="531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2" t="str">
        <f t="shared" si="334"/>
        <v/>
      </c>
      <c r="E6410" s="531"/>
      <c r="F6410" s="531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2" t="str">
        <f t="shared" si="334"/>
        <v/>
      </c>
      <c r="E6411" s="531"/>
      <c r="F6411" s="531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2" t="str">
        <f t="shared" si="334"/>
        <v/>
      </c>
      <c r="E6412" s="531"/>
      <c r="F6412" s="531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2" t="str">
        <f t="shared" si="334"/>
        <v/>
      </c>
      <c r="E6413" s="531"/>
      <c r="F6413" s="531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2" t="str">
        <f t="shared" si="334"/>
        <v/>
      </c>
      <c r="E6414" s="531"/>
      <c r="F6414" s="531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2" t="str">
        <f t="shared" si="334"/>
        <v/>
      </c>
      <c r="E6415" s="531"/>
      <c r="F6415" s="531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2" t="str">
        <f t="shared" si="334"/>
        <v/>
      </c>
      <c r="E6416" s="531"/>
      <c r="F6416" s="531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2" t="str">
        <f t="shared" si="334"/>
        <v/>
      </c>
      <c r="E6417" s="531"/>
      <c r="F6417" s="531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2" t="str">
        <f t="shared" si="334"/>
        <v/>
      </c>
      <c r="E6418" s="531"/>
      <c r="F6418" s="531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2" t="str">
        <f t="shared" si="334"/>
        <v/>
      </c>
      <c r="E6419" s="531"/>
      <c r="F6419" s="531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2" t="str">
        <f t="shared" si="334"/>
        <v/>
      </c>
      <c r="E6420" s="531"/>
      <c r="F6420" s="531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2" t="str">
        <f t="shared" si="334"/>
        <v/>
      </c>
      <c r="E6421" s="531"/>
      <c r="F6421" s="531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2" t="str">
        <f t="shared" si="334"/>
        <v/>
      </c>
      <c r="E6422" s="531"/>
      <c r="F6422" s="531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2" t="str">
        <f t="shared" si="334"/>
        <v/>
      </c>
      <c r="E6423" s="531"/>
      <c r="F6423" s="531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2" t="str">
        <f t="shared" si="334"/>
        <v/>
      </c>
      <c r="E6424" s="531"/>
      <c r="F6424" s="531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2" t="str">
        <f t="shared" si="334"/>
        <v/>
      </c>
      <c r="E6425" s="531"/>
      <c r="F6425" s="531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2" t="str">
        <f t="shared" si="334"/>
        <v/>
      </c>
      <c r="E6426" s="531"/>
      <c r="F6426" s="531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2" t="str">
        <f t="shared" si="334"/>
        <v/>
      </c>
      <c r="E6427" s="531"/>
      <c r="F6427" s="531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2" t="str">
        <f t="shared" si="334"/>
        <v/>
      </c>
      <c r="E6428" s="531"/>
      <c r="F6428" s="531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2" t="str">
        <f t="shared" si="334"/>
        <v/>
      </c>
      <c r="E6429" s="531"/>
      <c r="F6429" s="531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2" t="str">
        <f t="shared" si="334"/>
        <v/>
      </c>
      <c r="E6430" s="531"/>
      <c r="F6430" s="531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2" t="str">
        <f t="shared" si="334"/>
        <v/>
      </c>
      <c r="E6431" s="531"/>
      <c r="F6431" s="531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2" t="str">
        <f t="shared" si="334"/>
        <v/>
      </c>
      <c r="E6432" s="531"/>
      <c r="F6432" s="531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2" t="str">
        <f t="shared" si="334"/>
        <v/>
      </c>
      <c r="E6433" s="531"/>
      <c r="F6433" s="531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2" t="str">
        <f t="shared" si="334"/>
        <v/>
      </c>
      <c r="E6434" s="531"/>
      <c r="F6434" s="531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2" t="str">
        <f t="shared" si="334"/>
        <v/>
      </c>
      <c r="E6435" s="531"/>
      <c r="F6435" s="531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2" t="str">
        <f t="shared" si="334"/>
        <v/>
      </c>
      <c r="E6436" s="531"/>
      <c r="F6436" s="531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2" t="str">
        <f t="shared" si="334"/>
        <v/>
      </c>
      <c r="E6437" s="531"/>
      <c r="F6437" s="531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2" t="str">
        <f t="shared" si="334"/>
        <v/>
      </c>
      <c r="E6438" s="531"/>
      <c r="F6438" s="531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2" t="str">
        <f t="shared" si="334"/>
        <v/>
      </c>
      <c r="E6439" s="531"/>
      <c r="F6439" s="531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2" t="str">
        <f t="shared" si="334"/>
        <v/>
      </c>
      <c r="E6440" s="531"/>
      <c r="F6440" s="531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2" t="str">
        <f t="shared" si="334"/>
        <v/>
      </c>
      <c r="E6441" s="531"/>
      <c r="F6441" s="531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2" t="str">
        <f t="shared" si="334"/>
        <v/>
      </c>
      <c r="E6442" s="531"/>
      <c r="F6442" s="531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2" t="str">
        <f t="shared" si="334"/>
        <v/>
      </c>
      <c r="E6443" s="531"/>
      <c r="F6443" s="531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2" t="str">
        <f t="shared" si="334"/>
        <v/>
      </c>
      <c r="E6444" s="531"/>
      <c r="F6444" s="531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2" t="str">
        <f t="shared" si="334"/>
        <v/>
      </c>
      <c r="E6445" s="531"/>
      <c r="F6445" s="531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2" t="str">
        <f t="shared" si="334"/>
        <v/>
      </c>
      <c r="E6446" s="531"/>
      <c r="F6446" s="531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2" t="str">
        <f t="shared" si="334"/>
        <v/>
      </c>
      <c r="E6447" s="531"/>
      <c r="F6447" s="531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2" t="str">
        <f t="shared" si="334"/>
        <v/>
      </c>
      <c r="E6448" s="531"/>
      <c r="F6448" s="531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2" t="str">
        <f t="shared" si="334"/>
        <v/>
      </c>
      <c r="E6449" s="531"/>
      <c r="F6449" s="531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2" t="str">
        <f t="shared" si="334"/>
        <v/>
      </c>
      <c r="E6450" s="531"/>
      <c r="F6450" s="531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2" t="str">
        <f t="shared" si="334"/>
        <v/>
      </c>
      <c r="E6451" s="531"/>
      <c r="F6451" s="531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2" t="str">
        <f t="shared" si="334"/>
        <v/>
      </c>
      <c r="E6452" s="531"/>
      <c r="F6452" s="531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2" t="str">
        <f t="shared" si="334"/>
        <v/>
      </c>
      <c r="E6453" s="531"/>
      <c r="F6453" s="531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2" t="str">
        <f t="shared" si="334"/>
        <v/>
      </c>
      <c r="E6454" s="531"/>
      <c r="F6454" s="531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2" t="str">
        <f t="shared" si="334"/>
        <v/>
      </c>
      <c r="E6455" s="531"/>
      <c r="F6455" s="531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2" t="str">
        <f t="shared" si="334"/>
        <v/>
      </c>
      <c r="E6456" s="531"/>
      <c r="F6456" s="531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2" t="str">
        <f t="shared" si="334"/>
        <v/>
      </c>
      <c r="E6457" s="531"/>
      <c r="F6457" s="531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2" t="str">
        <f t="shared" si="334"/>
        <v/>
      </c>
      <c r="E6458" s="531"/>
      <c r="F6458" s="531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2" t="str">
        <f t="shared" si="334"/>
        <v/>
      </c>
      <c r="E6459" s="531"/>
      <c r="F6459" s="531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2" t="str">
        <f t="shared" si="334"/>
        <v/>
      </c>
      <c r="E6460" s="531"/>
      <c r="F6460" s="531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2" t="str">
        <f t="shared" si="334"/>
        <v/>
      </c>
      <c r="E6461" s="531"/>
      <c r="F6461" s="531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2" t="str">
        <f t="shared" si="334"/>
        <v/>
      </c>
      <c r="E6462" s="531"/>
      <c r="F6462" s="531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2" t="str">
        <f t="shared" si="334"/>
        <v/>
      </c>
      <c r="E6463" s="531"/>
      <c r="F6463" s="531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2" t="str">
        <f t="shared" si="334"/>
        <v/>
      </c>
      <c r="E6464" s="531"/>
      <c r="F6464" s="531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2" t="str">
        <f t="shared" si="334"/>
        <v/>
      </c>
      <c r="E6465" s="531"/>
      <c r="F6465" s="531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2" t="str">
        <f t="shared" si="334"/>
        <v/>
      </c>
      <c r="E6466" s="531"/>
      <c r="F6466" s="531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2" t="str">
        <f t="shared" si="334"/>
        <v/>
      </c>
      <c r="E6467" s="531"/>
      <c r="F6467" s="531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2" t="str">
        <f t="shared" si="334"/>
        <v/>
      </c>
      <c r="E6468" s="531"/>
      <c r="F6468" s="531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2" t="str">
        <f t="shared" si="334"/>
        <v/>
      </c>
      <c r="E6469" s="531"/>
      <c r="F6469" s="531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2" t="str">
        <f t="shared" si="334"/>
        <v/>
      </c>
      <c r="E6470" s="531"/>
      <c r="F6470" s="531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2" t="str">
        <f t="shared" si="334"/>
        <v/>
      </c>
      <c r="E6471" s="531"/>
      <c r="F6471" s="531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2" t="str">
        <f t="shared" si="334"/>
        <v/>
      </c>
      <c r="E6472" s="531"/>
      <c r="F6472" s="531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2" t="str">
        <f t="shared" ref="D6473:D6536" si="337">IF(A6473&lt;&gt;"",PROPER(TEXT(A6473,"Mmmm")),"")</f>
        <v/>
      </c>
      <c r="E6473" s="531"/>
      <c r="F6473" s="531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2" t="str">
        <f t="shared" si="337"/>
        <v/>
      </c>
      <c r="E6474" s="531"/>
      <c r="F6474" s="531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2" t="str">
        <f t="shared" si="337"/>
        <v/>
      </c>
      <c r="E6475" s="531"/>
      <c r="F6475" s="531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2" t="str">
        <f t="shared" si="337"/>
        <v/>
      </c>
      <c r="E6476" s="531"/>
      <c r="F6476" s="531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2" t="str">
        <f t="shared" si="337"/>
        <v/>
      </c>
      <c r="E6477" s="531"/>
      <c r="F6477" s="531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2" t="str">
        <f t="shared" si="337"/>
        <v/>
      </c>
      <c r="E6478" s="531"/>
      <c r="F6478" s="531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2" t="str">
        <f t="shared" si="337"/>
        <v/>
      </c>
      <c r="E6479" s="531"/>
      <c r="F6479" s="531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2" t="str">
        <f t="shared" si="337"/>
        <v/>
      </c>
      <c r="E6480" s="531"/>
      <c r="F6480" s="531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2" t="str">
        <f t="shared" si="337"/>
        <v/>
      </c>
      <c r="E6481" s="531"/>
      <c r="F6481" s="531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2" t="str">
        <f t="shared" si="337"/>
        <v/>
      </c>
      <c r="E6482" s="531"/>
      <c r="F6482" s="531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2" t="str">
        <f t="shared" si="337"/>
        <v/>
      </c>
      <c r="E6483" s="531"/>
      <c r="F6483" s="531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2" t="str">
        <f t="shared" si="337"/>
        <v/>
      </c>
      <c r="E6484" s="531"/>
      <c r="F6484" s="531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2" t="str">
        <f t="shared" si="337"/>
        <v/>
      </c>
      <c r="E6485" s="531"/>
      <c r="F6485" s="531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2" t="str">
        <f t="shared" si="337"/>
        <v/>
      </c>
      <c r="E6486" s="531"/>
      <c r="F6486" s="531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2" t="str">
        <f t="shared" si="337"/>
        <v/>
      </c>
      <c r="E6487" s="531"/>
      <c r="F6487" s="531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2" t="str">
        <f t="shared" si="337"/>
        <v/>
      </c>
      <c r="E6488" s="531"/>
      <c r="F6488" s="531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2" t="str">
        <f t="shared" si="337"/>
        <v/>
      </c>
      <c r="E6489" s="531"/>
      <c r="F6489" s="531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2" t="str">
        <f t="shared" si="337"/>
        <v/>
      </c>
      <c r="E6490" s="531"/>
      <c r="F6490" s="531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2" t="str">
        <f t="shared" si="337"/>
        <v/>
      </c>
      <c r="E6491" s="531"/>
      <c r="F6491" s="531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2" t="str">
        <f t="shared" si="337"/>
        <v/>
      </c>
      <c r="E6492" s="531"/>
      <c r="F6492" s="531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2" t="str">
        <f t="shared" si="337"/>
        <v/>
      </c>
      <c r="E6493" s="531"/>
      <c r="F6493" s="531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2" t="str">
        <f t="shared" si="337"/>
        <v/>
      </c>
      <c r="E6494" s="531"/>
      <c r="F6494" s="531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2" t="str">
        <f t="shared" si="337"/>
        <v/>
      </c>
      <c r="E6495" s="531"/>
      <c r="F6495" s="531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2" t="str">
        <f t="shared" si="337"/>
        <v/>
      </c>
      <c r="E6496" s="531"/>
      <c r="F6496" s="531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2" t="str">
        <f t="shared" si="337"/>
        <v/>
      </c>
      <c r="E6497" s="531"/>
      <c r="F6497" s="531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2" t="str">
        <f t="shared" si="337"/>
        <v/>
      </c>
      <c r="E6498" s="531"/>
      <c r="F6498" s="531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2" t="str">
        <f t="shared" si="337"/>
        <v/>
      </c>
      <c r="E6499" s="531"/>
      <c r="F6499" s="531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2" t="str">
        <f t="shared" si="337"/>
        <v/>
      </c>
      <c r="E6500" s="531"/>
      <c r="F6500" s="531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2" t="str">
        <f t="shared" si="337"/>
        <v/>
      </c>
      <c r="E6501" s="531"/>
      <c r="F6501" s="531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2" t="str">
        <f t="shared" si="337"/>
        <v/>
      </c>
      <c r="E6502" s="531"/>
      <c r="F6502" s="531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2" t="str">
        <f t="shared" si="337"/>
        <v/>
      </c>
      <c r="E6503" s="531"/>
      <c r="F6503" s="531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2" t="str">
        <f t="shared" si="337"/>
        <v/>
      </c>
      <c r="E6504" s="531"/>
      <c r="F6504" s="531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2" t="str">
        <f t="shared" si="337"/>
        <v/>
      </c>
      <c r="E6505" s="531"/>
      <c r="F6505" s="531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2" t="str">
        <f t="shared" si="337"/>
        <v/>
      </c>
      <c r="E6506" s="531"/>
      <c r="F6506" s="531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2" t="str">
        <f t="shared" si="337"/>
        <v/>
      </c>
      <c r="E6507" s="531"/>
      <c r="F6507" s="531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2" t="str">
        <f t="shared" si="337"/>
        <v/>
      </c>
      <c r="E6508" s="531"/>
      <c r="F6508" s="531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2" t="str">
        <f t="shared" si="337"/>
        <v/>
      </c>
      <c r="E6509" s="531"/>
      <c r="F6509" s="531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2" t="str">
        <f t="shared" si="337"/>
        <v/>
      </c>
      <c r="E6510" s="531"/>
      <c r="F6510" s="531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2" t="str">
        <f t="shared" si="337"/>
        <v/>
      </c>
      <c r="E6511" s="531"/>
      <c r="F6511" s="531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2" t="str">
        <f t="shared" si="337"/>
        <v/>
      </c>
      <c r="E6512" s="531"/>
      <c r="F6512" s="531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2" t="str">
        <f t="shared" si="337"/>
        <v/>
      </c>
      <c r="E6513" s="531"/>
      <c r="F6513" s="531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2" t="str">
        <f t="shared" si="337"/>
        <v/>
      </c>
      <c r="E6514" s="531"/>
      <c r="F6514" s="531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2" t="str">
        <f t="shared" si="337"/>
        <v/>
      </c>
      <c r="E6515" s="531"/>
      <c r="F6515" s="531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2" t="str">
        <f t="shared" si="337"/>
        <v/>
      </c>
      <c r="E6516" s="531"/>
      <c r="F6516" s="531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2" t="str">
        <f t="shared" si="337"/>
        <v/>
      </c>
      <c r="E6517" s="531"/>
      <c r="F6517" s="531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2" t="str">
        <f t="shared" si="337"/>
        <v/>
      </c>
      <c r="E6518" s="531"/>
      <c r="F6518" s="531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2" t="str">
        <f t="shared" si="337"/>
        <v/>
      </c>
      <c r="E6519" s="531"/>
      <c r="F6519" s="531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2" t="str">
        <f t="shared" si="337"/>
        <v/>
      </c>
      <c r="E6520" s="531"/>
      <c r="F6520" s="531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2" t="str">
        <f t="shared" si="337"/>
        <v/>
      </c>
      <c r="E6521" s="531"/>
      <c r="F6521" s="531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2" t="str">
        <f t="shared" si="337"/>
        <v/>
      </c>
      <c r="E6522" s="531"/>
      <c r="F6522" s="531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2" t="str">
        <f t="shared" si="337"/>
        <v/>
      </c>
      <c r="E6523" s="531"/>
      <c r="F6523" s="531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2" t="str">
        <f t="shared" si="337"/>
        <v/>
      </c>
      <c r="E6524" s="531"/>
      <c r="F6524" s="531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2" t="str">
        <f t="shared" si="337"/>
        <v/>
      </c>
      <c r="E6525" s="531"/>
      <c r="F6525" s="531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2" t="str">
        <f t="shared" si="337"/>
        <v/>
      </c>
      <c r="E6526" s="531"/>
      <c r="F6526" s="531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2" t="str">
        <f t="shared" si="337"/>
        <v/>
      </c>
      <c r="E6527" s="531"/>
      <c r="F6527" s="531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2" t="str">
        <f t="shared" si="337"/>
        <v/>
      </c>
      <c r="E6528" s="531"/>
      <c r="F6528" s="531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2" t="str">
        <f t="shared" si="337"/>
        <v/>
      </c>
      <c r="E6529" s="531"/>
      <c r="F6529" s="531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2" t="str">
        <f t="shared" si="337"/>
        <v/>
      </c>
      <c r="E6530" s="531"/>
      <c r="F6530" s="531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2" t="str">
        <f t="shared" si="337"/>
        <v/>
      </c>
      <c r="E6531" s="531"/>
      <c r="F6531" s="531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2" t="str">
        <f t="shared" si="337"/>
        <v/>
      </c>
      <c r="E6532" s="531"/>
      <c r="F6532" s="531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2" t="str">
        <f t="shared" si="337"/>
        <v/>
      </c>
      <c r="E6533" s="531"/>
      <c r="F6533" s="531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2" t="str">
        <f t="shared" si="337"/>
        <v/>
      </c>
      <c r="E6534" s="531"/>
      <c r="F6534" s="531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2" t="str">
        <f t="shared" si="337"/>
        <v/>
      </c>
      <c r="E6535" s="531"/>
      <c r="F6535" s="531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2" t="str">
        <f t="shared" si="337"/>
        <v/>
      </c>
      <c r="E6536" s="531"/>
      <c r="F6536" s="531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2" t="str">
        <f t="shared" ref="D6537:D6600" si="340">IF(A6537&lt;&gt;"",PROPER(TEXT(A6537,"Mmmm")),"")</f>
        <v/>
      </c>
      <c r="E6537" s="531"/>
      <c r="F6537" s="531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2" t="str">
        <f t="shared" si="340"/>
        <v/>
      </c>
      <c r="E6538" s="531"/>
      <c r="F6538" s="531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2" t="str">
        <f t="shared" si="340"/>
        <v/>
      </c>
      <c r="E6539" s="531"/>
      <c r="F6539" s="531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2" t="str">
        <f t="shared" si="340"/>
        <v/>
      </c>
      <c r="E6540" s="531"/>
      <c r="F6540" s="531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2" t="str">
        <f t="shared" si="340"/>
        <v/>
      </c>
      <c r="E6541" s="531"/>
      <c r="F6541" s="531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2" t="str">
        <f t="shared" si="340"/>
        <v/>
      </c>
      <c r="E6542" s="531"/>
      <c r="F6542" s="531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2" t="str">
        <f t="shared" si="340"/>
        <v/>
      </c>
      <c r="E6543" s="531"/>
      <c r="F6543" s="531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2" t="str">
        <f t="shared" si="340"/>
        <v/>
      </c>
      <c r="E6544" s="531"/>
      <c r="F6544" s="531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2" t="str">
        <f t="shared" si="340"/>
        <v/>
      </c>
      <c r="E6545" s="531"/>
      <c r="F6545" s="531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2" t="str">
        <f t="shared" si="340"/>
        <v/>
      </c>
      <c r="E6546" s="531"/>
      <c r="F6546" s="531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2" t="str">
        <f t="shared" si="340"/>
        <v/>
      </c>
      <c r="E6547" s="531"/>
      <c r="F6547" s="531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2" t="str">
        <f t="shared" si="340"/>
        <v/>
      </c>
      <c r="E6548" s="531"/>
      <c r="F6548" s="531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2" t="str">
        <f t="shared" si="340"/>
        <v/>
      </c>
      <c r="E6549" s="531"/>
      <c r="F6549" s="531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2" t="str">
        <f t="shared" si="340"/>
        <v/>
      </c>
      <c r="E6550" s="531"/>
      <c r="F6550" s="531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2" t="str">
        <f t="shared" si="340"/>
        <v/>
      </c>
      <c r="E6551" s="531"/>
      <c r="F6551" s="531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2" t="str">
        <f t="shared" si="340"/>
        <v/>
      </c>
      <c r="E6552" s="531"/>
      <c r="F6552" s="531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2" t="str">
        <f t="shared" si="340"/>
        <v/>
      </c>
      <c r="E6553" s="531"/>
      <c r="F6553" s="531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2" t="str">
        <f t="shared" si="340"/>
        <v/>
      </c>
      <c r="E6554" s="531"/>
      <c r="F6554" s="531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2" t="str">
        <f t="shared" si="340"/>
        <v/>
      </c>
      <c r="E6555" s="531"/>
      <c r="F6555" s="531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2" t="str">
        <f t="shared" si="340"/>
        <v/>
      </c>
      <c r="E6556" s="531"/>
      <c r="F6556" s="531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2" t="str">
        <f t="shared" si="340"/>
        <v/>
      </c>
      <c r="E6557" s="531"/>
      <c r="F6557" s="531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2" t="str">
        <f t="shared" si="340"/>
        <v/>
      </c>
      <c r="E6558" s="531"/>
      <c r="F6558" s="531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2" t="str">
        <f t="shared" si="340"/>
        <v/>
      </c>
      <c r="E6559" s="531"/>
      <c r="F6559" s="531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2" t="str">
        <f t="shared" si="340"/>
        <v/>
      </c>
      <c r="E6560" s="531"/>
      <c r="F6560" s="531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2" t="str">
        <f t="shared" si="340"/>
        <v/>
      </c>
      <c r="E6561" s="531"/>
      <c r="F6561" s="531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2" t="str">
        <f t="shared" si="340"/>
        <v/>
      </c>
      <c r="E6562" s="531"/>
      <c r="F6562" s="531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2" t="str">
        <f t="shared" si="340"/>
        <v/>
      </c>
      <c r="E6563" s="531"/>
      <c r="F6563" s="531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2" t="str">
        <f t="shared" si="340"/>
        <v/>
      </c>
      <c r="E6564" s="531"/>
      <c r="F6564" s="531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2" t="str">
        <f t="shared" si="340"/>
        <v/>
      </c>
      <c r="E6565" s="531"/>
      <c r="F6565" s="531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2" t="str">
        <f t="shared" si="340"/>
        <v/>
      </c>
      <c r="E6566" s="531"/>
      <c r="F6566" s="531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2" t="str">
        <f t="shared" si="340"/>
        <v/>
      </c>
      <c r="E6567" s="531"/>
      <c r="F6567" s="531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2" t="str">
        <f t="shared" si="340"/>
        <v/>
      </c>
      <c r="E6568" s="531"/>
      <c r="F6568" s="531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2" t="str">
        <f t="shared" si="340"/>
        <v/>
      </c>
      <c r="E6569" s="531"/>
      <c r="F6569" s="531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2" t="str">
        <f t="shared" si="340"/>
        <v/>
      </c>
      <c r="E6570" s="531"/>
      <c r="F6570" s="531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2" t="str">
        <f t="shared" si="340"/>
        <v/>
      </c>
      <c r="E6571" s="531"/>
      <c r="F6571" s="531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2" t="str">
        <f t="shared" si="340"/>
        <v/>
      </c>
      <c r="E6572" s="531"/>
      <c r="F6572" s="531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2" t="str">
        <f t="shared" si="340"/>
        <v/>
      </c>
      <c r="E6573" s="531"/>
      <c r="F6573" s="531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2" t="str">
        <f t="shared" si="340"/>
        <v/>
      </c>
      <c r="E6574" s="531"/>
      <c r="F6574" s="531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2" t="str">
        <f t="shared" si="340"/>
        <v/>
      </c>
      <c r="E6575" s="531"/>
      <c r="F6575" s="531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2" t="str">
        <f t="shared" si="340"/>
        <v/>
      </c>
      <c r="E6576" s="531"/>
      <c r="F6576" s="531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2" t="str">
        <f t="shared" si="340"/>
        <v/>
      </c>
      <c r="E6577" s="531"/>
      <c r="F6577" s="531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2" t="str">
        <f t="shared" si="340"/>
        <v/>
      </c>
      <c r="E6578" s="531"/>
      <c r="F6578" s="531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2" t="str">
        <f t="shared" si="340"/>
        <v/>
      </c>
      <c r="E6579" s="531"/>
      <c r="F6579" s="531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2" t="str">
        <f t="shared" si="340"/>
        <v/>
      </c>
      <c r="E6580" s="531"/>
      <c r="F6580" s="531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2" t="str">
        <f t="shared" si="340"/>
        <v/>
      </c>
      <c r="E6581" s="531"/>
      <c r="F6581" s="531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2" t="str">
        <f t="shared" si="340"/>
        <v/>
      </c>
      <c r="E6582" s="531"/>
      <c r="F6582" s="531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2" t="str">
        <f t="shared" si="340"/>
        <v/>
      </c>
      <c r="E6583" s="531"/>
      <c r="F6583" s="531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2" t="str">
        <f t="shared" si="340"/>
        <v/>
      </c>
      <c r="E6584" s="531"/>
      <c r="F6584" s="531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2" t="str">
        <f t="shared" si="340"/>
        <v/>
      </c>
      <c r="E6585" s="531"/>
      <c r="F6585" s="531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2" t="str">
        <f t="shared" si="340"/>
        <v/>
      </c>
      <c r="E6586" s="531"/>
      <c r="F6586" s="531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2" t="str">
        <f t="shared" si="340"/>
        <v/>
      </c>
      <c r="E6587" s="531"/>
      <c r="F6587" s="531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2" t="str">
        <f t="shared" si="340"/>
        <v/>
      </c>
      <c r="E6588" s="531"/>
      <c r="F6588" s="531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2" t="str">
        <f t="shared" si="340"/>
        <v/>
      </c>
      <c r="E6589" s="531"/>
      <c r="F6589" s="531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2" t="str">
        <f t="shared" si="340"/>
        <v/>
      </c>
      <c r="E6590" s="531"/>
      <c r="F6590" s="531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2" t="str">
        <f t="shared" si="340"/>
        <v/>
      </c>
      <c r="E6591" s="531"/>
      <c r="F6591" s="531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2" t="str">
        <f t="shared" si="340"/>
        <v/>
      </c>
      <c r="E6592" s="531"/>
      <c r="F6592" s="531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2" t="str">
        <f t="shared" si="340"/>
        <v/>
      </c>
      <c r="E6593" s="531"/>
      <c r="F6593" s="531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2" t="str">
        <f t="shared" si="340"/>
        <v/>
      </c>
      <c r="E6594" s="531"/>
      <c r="F6594" s="531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2" t="str">
        <f t="shared" si="340"/>
        <v/>
      </c>
      <c r="E6595" s="531"/>
      <c r="F6595" s="531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2" t="str">
        <f t="shared" si="340"/>
        <v/>
      </c>
      <c r="E6596" s="531"/>
      <c r="F6596" s="531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2" t="str">
        <f t="shared" si="340"/>
        <v/>
      </c>
      <c r="E6597" s="531"/>
      <c r="F6597" s="531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2" t="str">
        <f t="shared" si="340"/>
        <v/>
      </c>
      <c r="E6598" s="531"/>
      <c r="F6598" s="531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2" t="str">
        <f t="shared" si="340"/>
        <v/>
      </c>
      <c r="E6599" s="531"/>
      <c r="F6599" s="531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2" t="str">
        <f t="shared" si="340"/>
        <v/>
      </c>
      <c r="E6600" s="531"/>
      <c r="F6600" s="531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2" t="str">
        <f t="shared" ref="D6601:D6664" si="343">IF(A6601&lt;&gt;"",PROPER(TEXT(A6601,"Mmmm")),"")</f>
        <v/>
      </c>
      <c r="E6601" s="531"/>
      <c r="F6601" s="531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2" t="str">
        <f t="shared" si="343"/>
        <v/>
      </c>
      <c r="E6602" s="531"/>
      <c r="F6602" s="531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2" t="str">
        <f t="shared" si="343"/>
        <v/>
      </c>
      <c r="E6603" s="531"/>
      <c r="F6603" s="531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2" t="str">
        <f t="shared" si="343"/>
        <v/>
      </c>
      <c r="E6604" s="531"/>
      <c r="F6604" s="531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2" t="str">
        <f t="shared" si="343"/>
        <v/>
      </c>
      <c r="E6605" s="531"/>
      <c r="F6605" s="531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2" t="str">
        <f t="shared" si="343"/>
        <v/>
      </c>
      <c r="E6606" s="531"/>
      <c r="F6606" s="531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2" t="str">
        <f t="shared" si="343"/>
        <v/>
      </c>
      <c r="E6607" s="531"/>
      <c r="F6607" s="531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2" t="str">
        <f t="shared" si="343"/>
        <v/>
      </c>
      <c r="E6608" s="531"/>
      <c r="F6608" s="531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2" t="str">
        <f t="shared" si="343"/>
        <v/>
      </c>
      <c r="E6609" s="531"/>
      <c r="F6609" s="531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2" t="str">
        <f t="shared" si="343"/>
        <v/>
      </c>
      <c r="E6610" s="531"/>
      <c r="F6610" s="531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2" t="str">
        <f t="shared" si="343"/>
        <v/>
      </c>
      <c r="E6611" s="531"/>
      <c r="F6611" s="531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2" t="str">
        <f t="shared" si="343"/>
        <v/>
      </c>
      <c r="E6612" s="531"/>
      <c r="F6612" s="531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2" t="str">
        <f t="shared" si="343"/>
        <v/>
      </c>
      <c r="E6613" s="531"/>
      <c r="F6613" s="531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2" t="str">
        <f t="shared" si="343"/>
        <v/>
      </c>
      <c r="E6614" s="531"/>
      <c r="F6614" s="531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2" t="str">
        <f t="shared" si="343"/>
        <v/>
      </c>
      <c r="E6615" s="531"/>
      <c r="F6615" s="531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2" t="str">
        <f t="shared" si="343"/>
        <v/>
      </c>
      <c r="E6616" s="531"/>
      <c r="F6616" s="531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2" t="str">
        <f t="shared" si="343"/>
        <v/>
      </c>
      <c r="E6617" s="531"/>
      <c r="F6617" s="531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2" t="str">
        <f t="shared" si="343"/>
        <v/>
      </c>
      <c r="E6618" s="531"/>
      <c r="F6618" s="531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2" t="str">
        <f t="shared" si="343"/>
        <v/>
      </c>
      <c r="E6619" s="531"/>
      <c r="F6619" s="531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2" t="str">
        <f t="shared" si="343"/>
        <v/>
      </c>
      <c r="E6620" s="531"/>
      <c r="F6620" s="531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2" t="str">
        <f t="shared" si="343"/>
        <v/>
      </c>
      <c r="E6621" s="531"/>
      <c r="F6621" s="531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2" t="str">
        <f t="shared" si="343"/>
        <v/>
      </c>
      <c r="E6622" s="531"/>
      <c r="F6622" s="531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2" t="str">
        <f t="shared" si="343"/>
        <v/>
      </c>
      <c r="E6623" s="531"/>
      <c r="F6623" s="531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2" t="str">
        <f t="shared" si="343"/>
        <v/>
      </c>
      <c r="E6624" s="531"/>
      <c r="F6624" s="531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2" t="str">
        <f t="shared" si="343"/>
        <v/>
      </c>
      <c r="E6625" s="531"/>
      <c r="F6625" s="531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2" t="str">
        <f t="shared" si="343"/>
        <v/>
      </c>
      <c r="E6626" s="531"/>
      <c r="F6626" s="531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2" t="str">
        <f t="shared" si="343"/>
        <v/>
      </c>
      <c r="E6627" s="531"/>
      <c r="F6627" s="531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2" t="str">
        <f t="shared" si="343"/>
        <v/>
      </c>
      <c r="E6628" s="531"/>
      <c r="F6628" s="531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2" t="str">
        <f t="shared" si="343"/>
        <v/>
      </c>
      <c r="E6629" s="531"/>
      <c r="F6629" s="531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2" t="str">
        <f t="shared" si="343"/>
        <v/>
      </c>
      <c r="E6630" s="531"/>
      <c r="F6630" s="531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2" t="str">
        <f t="shared" si="343"/>
        <v/>
      </c>
      <c r="E6631" s="531"/>
      <c r="F6631" s="531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2" t="str">
        <f t="shared" si="343"/>
        <v/>
      </c>
      <c r="E6632" s="531"/>
      <c r="F6632" s="531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2" t="str">
        <f t="shared" si="343"/>
        <v/>
      </c>
      <c r="E6633" s="531"/>
      <c r="F6633" s="531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2" t="str">
        <f t="shared" si="343"/>
        <v/>
      </c>
      <c r="E6634" s="531"/>
      <c r="F6634" s="531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2" t="str">
        <f t="shared" si="343"/>
        <v/>
      </c>
      <c r="E6635" s="531"/>
      <c r="F6635" s="531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2" t="str">
        <f t="shared" si="343"/>
        <v/>
      </c>
      <c r="E6636" s="531"/>
      <c r="F6636" s="531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2" t="str">
        <f t="shared" si="343"/>
        <v/>
      </c>
      <c r="E6637" s="531"/>
      <c r="F6637" s="531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2" t="str">
        <f t="shared" si="343"/>
        <v/>
      </c>
      <c r="E6638" s="531"/>
      <c r="F6638" s="531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2" t="str">
        <f t="shared" si="343"/>
        <v/>
      </c>
      <c r="E6639" s="531"/>
      <c r="F6639" s="531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2" t="str">
        <f t="shared" si="343"/>
        <v/>
      </c>
      <c r="E6640" s="531"/>
      <c r="F6640" s="531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2" t="str">
        <f t="shared" si="343"/>
        <v/>
      </c>
      <c r="E6641" s="531"/>
      <c r="F6641" s="531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2" t="str">
        <f t="shared" si="343"/>
        <v/>
      </c>
      <c r="E6642" s="531"/>
      <c r="F6642" s="531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2" t="str">
        <f t="shared" si="343"/>
        <v/>
      </c>
      <c r="E6643" s="531"/>
      <c r="F6643" s="531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2" t="str">
        <f t="shared" si="343"/>
        <v/>
      </c>
      <c r="E6644" s="531"/>
      <c r="F6644" s="531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2" t="str">
        <f t="shared" si="343"/>
        <v/>
      </c>
      <c r="E6645" s="531"/>
      <c r="F6645" s="531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2" t="str">
        <f t="shared" si="343"/>
        <v/>
      </c>
      <c r="E6646" s="531"/>
      <c r="F6646" s="531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2" t="str">
        <f t="shared" si="343"/>
        <v/>
      </c>
      <c r="E6647" s="531"/>
      <c r="F6647" s="531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2" t="str">
        <f t="shared" si="343"/>
        <v/>
      </c>
      <c r="E6648" s="531"/>
      <c r="F6648" s="531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2" t="str">
        <f t="shared" si="343"/>
        <v/>
      </c>
      <c r="E6649" s="531"/>
      <c r="F6649" s="531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2" t="str">
        <f t="shared" si="343"/>
        <v/>
      </c>
      <c r="E6650" s="531"/>
      <c r="F6650" s="531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2" t="str">
        <f t="shared" si="343"/>
        <v/>
      </c>
      <c r="E6651" s="531"/>
      <c r="F6651" s="531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2" t="str">
        <f t="shared" si="343"/>
        <v/>
      </c>
      <c r="E6652" s="531"/>
      <c r="F6652" s="531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2" t="str">
        <f t="shared" si="343"/>
        <v/>
      </c>
      <c r="E6653" s="531"/>
      <c r="F6653" s="531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2" t="str">
        <f t="shared" si="343"/>
        <v/>
      </c>
      <c r="E6654" s="531"/>
      <c r="F6654" s="531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2" t="str">
        <f t="shared" si="343"/>
        <v/>
      </c>
      <c r="E6655" s="531"/>
      <c r="F6655" s="531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2" t="str">
        <f t="shared" si="343"/>
        <v/>
      </c>
      <c r="E6656" s="531"/>
      <c r="F6656" s="531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2" t="str">
        <f t="shared" si="343"/>
        <v/>
      </c>
      <c r="E6657" s="531"/>
      <c r="F6657" s="531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2" t="str">
        <f t="shared" si="343"/>
        <v/>
      </c>
      <c r="E6658" s="531"/>
      <c r="F6658" s="531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2" t="str">
        <f t="shared" si="343"/>
        <v/>
      </c>
      <c r="E6659" s="531"/>
      <c r="F6659" s="531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2" t="str">
        <f t="shared" si="343"/>
        <v/>
      </c>
      <c r="E6660" s="531"/>
      <c r="F6660" s="531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2" t="str">
        <f t="shared" si="343"/>
        <v/>
      </c>
      <c r="E6661" s="531"/>
      <c r="F6661" s="531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2" t="str">
        <f t="shared" si="343"/>
        <v/>
      </c>
      <c r="E6662" s="531"/>
      <c r="F6662" s="531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2" t="str">
        <f t="shared" si="343"/>
        <v/>
      </c>
      <c r="E6663" s="531"/>
      <c r="F6663" s="531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2" t="str">
        <f t="shared" si="343"/>
        <v/>
      </c>
      <c r="E6664" s="531"/>
      <c r="F6664" s="531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2" t="str">
        <f t="shared" ref="D6665:D6728" si="346">IF(A6665&lt;&gt;"",PROPER(TEXT(A6665,"Mmmm")),"")</f>
        <v/>
      </c>
      <c r="E6665" s="531"/>
      <c r="F6665" s="531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2" t="str">
        <f t="shared" si="346"/>
        <v/>
      </c>
      <c r="E6666" s="531"/>
      <c r="F6666" s="531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2" t="str">
        <f t="shared" si="346"/>
        <v/>
      </c>
      <c r="E6667" s="531"/>
      <c r="F6667" s="531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2" t="str">
        <f t="shared" si="346"/>
        <v/>
      </c>
      <c r="E6668" s="531"/>
      <c r="F6668" s="531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2" t="str">
        <f t="shared" si="346"/>
        <v/>
      </c>
      <c r="E6669" s="531"/>
      <c r="F6669" s="531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2" t="str">
        <f t="shared" si="346"/>
        <v/>
      </c>
      <c r="E6670" s="531"/>
      <c r="F6670" s="531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2" t="str">
        <f t="shared" si="346"/>
        <v/>
      </c>
      <c r="E6671" s="531"/>
      <c r="F6671" s="531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2" t="str">
        <f t="shared" si="346"/>
        <v/>
      </c>
      <c r="E6672" s="531"/>
      <c r="F6672" s="531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2" t="str">
        <f t="shared" si="346"/>
        <v/>
      </c>
      <c r="E6673" s="531"/>
      <c r="F6673" s="531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2" t="str">
        <f t="shared" si="346"/>
        <v/>
      </c>
      <c r="E6674" s="531"/>
      <c r="F6674" s="531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2" t="str">
        <f t="shared" si="346"/>
        <v/>
      </c>
      <c r="E6675" s="531"/>
      <c r="F6675" s="531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2" t="str">
        <f t="shared" si="346"/>
        <v/>
      </c>
      <c r="E6676" s="531"/>
      <c r="F6676" s="531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2" t="str">
        <f t="shared" si="346"/>
        <v/>
      </c>
      <c r="E6677" s="531"/>
      <c r="F6677" s="531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2" t="str">
        <f t="shared" si="346"/>
        <v/>
      </c>
      <c r="E6678" s="531"/>
      <c r="F6678" s="531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2" t="str">
        <f t="shared" si="346"/>
        <v/>
      </c>
      <c r="E6679" s="531"/>
      <c r="F6679" s="531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2" t="str">
        <f t="shared" si="346"/>
        <v/>
      </c>
      <c r="E6680" s="531"/>
      <c r="F6680" s="531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2" t="str">
        <f t="shared" si="346"/>
        <v/>
      </c>
      <c r="E6681" s="531"/>
      <c r="F6681" s="531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2" t="str">
        <f t="shared" si="346"/>
        <v/>
      </c>
      <c r="E6682" s="531"/>
      <c r="F6682" s="531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2" t="str">
        <f t="shared" si="346"/>
        <v/>
      </c>
      <c r="E6683" s="531"/>
      <c r="F6683" s="531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2" t="str">
        <f t="shared" si="346"/>
        <v/>
      </c>
      <c r="E6684" s="531"/>
      <c r="F6684" s="531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2" t="str">
        <f t="shared" si="346"/>
        <v/>
      </c>
      <c r="E6685" s="531"/>
      <c r="F6685" s="531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2" t="str">
        <f t="shared" si="346"/>
        <v/>
      </c>
      <c r="E6686" s="531"/>
      <c r="F6686" s="531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2" t="str">
        <f t="shared" si="346"/>
        <v/>
      </c>
      <c r="E6687" s="531"/>
      <c r="F6687" s="531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2" t="str">
        <f t="shared" si="346"/>
        <v/>
      </c>
      <c r="E6688" s="531"/>
      <c r="F6688" s="531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2" t="str">
        <f t="shared" si="346"/>
        <v/>
      </c>
      <c r="E6689" s="531"/>
      <c r="F6689" s="531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2" t="str">
        <f t="shared" si="346"/>
        <v/>
      </c>
      <c r="E6690" s="531"/>
      <c r="F6690" s="531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2" t="str">
        <f t="shared" si="346"/>
        <v/>
      </c>
      <c r="E6691" s="531"/>
      <c r="F6691" s="531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2" t="str">
        <f t="shared" si="346"/>
        <v/>
      </c>
      <c r="E6692" s="531"/>
      <c r="F6692" s="531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2" t="str">
        <f t="shared" si="346"/>
        <v/>
      </c>
      <c r="E6693" s="531"/>
      <c r="F6693" s="531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2" t="str">
        <f t="shared" si="346"/>
        <v/>
      </c>
      <c r="E6694" s="531"/>
      <c r="F6694" s="531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2" t="str">
        <f t="shared" si="346"/>
        <v/>
      </c>
      <c r="E6695" s="531"/>
      <c r="F6695" s="531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2" t="str">
        <f t="shared" si="346"/>
        <v/>
      </c>
      <c r="E6696" s="531"/>
      <c r="F6696" s="531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2" t="str">
        <f t="shared" si="346"/>
        <v/>
      </c>
      <c r="E6697" s="531"/>
      <c r="F6697" s="531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2" t="str">
        <f t="shared" si="346"/>
        <v/>
      </c>
      <c r="E6698" s="531"/>
      <c r="F6698" s="531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2" t="str">
        <f t="shared" si="346"/>
        <v/>
      </c>
      <c r="E6699" s="531"/>
      <c r="F6699" s="531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2" t="str">
        <f t="shared" si="346"/>
        <v/>
      </c>
      <c r="E6700" s="531"/>
      <c r="F6700" s="531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2" t="str">
        <f t="shared" si="346"/>
        <v/>
      </c>
      <c r="E6701" s="531"/>
      <c r="F6701" s="531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2" t="str">
        <f t="shared" si="346"/>
        <v/>
      </c>
      <c r="E6702" s="531"/>
      <c r="F6702" s="531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2" t="str">
        <f t="shared" si="346"/>
        <v/>
      </c>
      <c r="E6703" s="531"/>
      <c r="F6703" s="531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2" t="str">
        <f t="shared" si="346"/>
        <v/>
      </c>
      <c r="E6704" s="531"/>
      <c r="F6704" s="531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2" t="str">
        <f t="shared" si="346"/>
        <v/>
      </c>
      <c r="E6705" s="531"/>
      <c r="F6705" s="531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2" t="str">
        <f t="shared" si="346"/>
        <v/>
      </c>
      <c r="E6706" s="531"/>
      <c r="F6706" s="531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2" t="str">
        <f t="shared" si="346"/>
        <v/>
      </c>
      <c r="E6707" s="531"/>
      <c r="F6707" s="531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2" t="str">
        <f t="shared" si="346"/>
        <v/>
      </c>
      <c r="E6708" s="531"/>
      <c r="F6708" s="531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2" t="str">
        <f t="shared" si="346"/>
        <v/>
      </c>
      <c r="E6709" s="531"/>
      <c r="F6709" s="531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2" t="str">
        <f t="shared" si="346"/>
        <v/>
      </c>
      <c r="E6710" s="531"/>
      <c r="F6710" s="531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2" t="str">
        <f t="shared" si="346"/>
        <v/>
      </c>
      <c r="E6711" s="531"/>
      <c r="F6711" s="531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2" t="str">
        <f t="shared" si="346"/>
        <v/>
      </c>
      <c r="E6712" s="531"/>
      <c r="F6712" s="531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2" t="str">
        <f t="shared" si="346"/>
        <v/>
      </c>
      <c r="E6713" s="531"/>
      <c r="F6713" s="531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2" t="str">
        <f t="shared" si="346"/>
        <v/>
      </c>
      <c r="E6714" s="531"/>
      <c r="F6714" s="531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2" t="str">
        <f t="shared" si="346"/>
        <v/>
      </c>
      <c r="E6715" s="531"/>
      <c r="F6715" s="531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2" t="str">
        <f t="shared" si="346"/>
        <v/>
      </c>
      <c r="E6716" s="531"/>
      <c r="F6716" s="531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2" t="str">
        <f t="shared" si="346"/>
        <v/>
      </c>
      <c r="E6717" s="531"/>
      <c r="F6717" s="531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2" t="str">
        <f t="shared" si="346"/>
        <v/>
      </c>
      <c r="E6718" s="531"/>
      <c r="F6718" s="531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2" t="str">
        <f t="shared" si="346"/>
        <v/>
      </c>
      <c r="E6719" s="531"/>
      <c r="F6719" s="531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2" t="str">
        <f t="shared" si="346"/>
        <v/>
      </c>
      <c r="E6720" s="531"/>
      <c r="F6720" s="531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2" t="str">
        <f t="shared" si="346"/>
        <v/>
      </c>
      <c r="E6721" s="531"/>
      <c r="F6721" s="531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2" t="str">
        <f t="shared" si="346"/>
        <v/>
      </c>
      <c r="E6722" s="531"/>
      <c r="F6722" s="531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2" t="str">
        <f t="shared" si="346"/>
        <v/>
      </c>
      <c r="E6723" s="531"/>
      <c r="F6723" s="531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2" t="str">
        <f t="shared" si="346"/>
        <v/>
      </c>
      <c r="E6724" s="531"/>
      <c r="F6724" s="531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2" t="str">
        <f t="shared" si="346"/>
        <v/>
      </c>
      <c r="E6725" s="531"/>
      <c r="F6725" s="531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2" t="str">
        <f t="shared" si="346"/>
        <v/>
      </c>
      <c r="E6726" s="531"/>
      <c r="F6726" s="531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2" t="str">
        <f t="shared" si="346"/>
        <v/>
      </c>
      <c r="E6727" s="531"/>
      <c r="F6727" s="531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2" t="str">
        <f t="shared" si="346"/>
        <v/>
      </c>
      <c r="E6728" s="531"/>
      <c r="F6728" s="531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2" t="str">
        <f t="shared" ref="D6729:D6792" si="349">IF(A6729&lt;&gt;"",PROPER(TEXT(A6729,"Mmmm")),"")</f>
        <v/>
      </c>
      <c r="E6729" s="531"/>
      <c r="F6729" s="531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2" t="str">
        <f t="shared" si="349"/>
        <v/>
      </c>
      <c r="E6730" s="531"/>
      <c r="F6730" s="531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2" t="str">
        <f t="shared" si="349"/>
        <v/>
      </c>
      <c r="E6731" s="531"/>
      <c r="F6731" s="531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2" t="str">
        <f t="shared" si="349"/>
        <v/>
      </c>
      <c r="E6732" s="531"/>
      <c r="F6732" s="531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2" t="str">
        <f t="shared" si="349"/>
        <v/>
      </c>
      <c r="E6733" s="531"/>
      <c r="F6733" s="531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2" t="str">
        <f t="shared" si="349"/>
        <v/>
      </c>
      <c r="E6734" s="531"/>
      <c r="F6734" s="531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2" t="str">
        <f t="shared" si="349"/>
        <v/>
      </c>
      <c r="E6735" s="531"/>
      <c r="F6735" s="531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2" t="str">
        <f t="shared" si="349"/>
        <v/>
      </c>
      <c r="E6736" s="531"/>
      <c r="F6736" s="531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2" t="str">
        <f t="shared" si="349"/>
        <v/>
      </c>
      <c r="E6737" s="531"/>
      <c r="F6737" s="531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2" t="str">
        <f t="shared" si="349"/>
        <v/>
      </c>
      <c r="E6738" s="531"/>
      <c r="F6738" s="531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2" t="str">
        <f t="shared" si="349"/>
        <v/>
      </c>
      <c r="E6739" s="531"/>
      <c r="F6739" s="531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2" t="str">
        <f t="shared" si="349"/>
        <v/>
      </c>
      <c r="E6740" s="531"/>
      <c r="F6740" s="531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2" t="str">
        <f t="shared" si="349"/>
        <v/>
      </c>
      <c r="E6741" s="531"/>
      <c r="F6741" s="531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2" t="str">
        <f t="shared" si="349"/>
        <v/>
      </c>
      <c r="E6742" s="531"/>
      <c r="F6742" s="531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2" t="str">
        <f t="shared" si="349"/>
        <v/>
      </c>
      <c r="E6743" s="531"/>
      <c r="F6743" s="531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2" t="str">
        <f t="shared" si="349"/>
        <v/>
      </c>
      <c r="E6744" s="531"/>
      <c r="F6744" s="531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2" t="str">
        <f t="shared" si="349"/>
        <v/>
      </c>
      <c r="E6745" s="531"/>
      <c r="F6745" s="531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2" t="str">
        <f t="shared" si="349"/>
        <v/>
      </c>
      <c r="E6746" s="531"/>
      <c r="F6746" s="531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2" t="str">
        <f t="shared" si="349"/>
        <v/>
      </c>
      <c r="E6747" s="531"/>
      <c r="F6747" s="531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2" t="str">
        <f t="shared" si="349"/>
        <v/>
      </c>
      <c r="E6748" s="531"/>
      <c r="F6748" s="531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2" t="str">
        <f t="shared" si="349"/>
        <v/>
      </c>
      <c r="E6749" s="531"/>
      <c r="F6749" s="531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2" t="str">
        <f t="shared" si="349"/>
        <v/>
      </c>
      <c r="E6750" s="531"/>
      <c r="F6750" s="531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2" t="str">
        <f t="shared" si="349"/>
        <v/>
      </c>
      <c r="E6751" s="531"/>
      <c r="F6751" s="531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2" t="str">
        <f t="shared" si="349"/>
        <v/>
      </c>
      <c r="E6752" s="531"/>
      <c r="F6752" s="531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2" t="str">
        <f t="shared" si="349"/>
        <v/>
      </c>
      <c r="E6753" s="531"/>
      <c r="F6753" s="531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2" t="str">
        <f t="shared" si="349"/>
        <v/>
      </c>
      <c r="E6754" s="531"/>
      <c r="F6754" s="531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2" t="str">
        <f t="shared" si="349"/>
        <v/>
      </c>
      <c r="E6755" s="531"/>
      <c r="F6755" s="531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2" t="str">
        <f t="shared" si="349"/>
        <v/>
      </c>
      <c r="E6756" s="531"/>
      <c r="F6756" s="531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2" t="str">
        <f t="shared" si="349"/>
        <v/>
      </c>
      <c r="E6757" s="531"/>
      <c r="F6757" s="531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2" t="str">
        <f t="shared" si="349"/>
        <v/>
      </c>
      <c r="E6758" s="531"/>
      <c r="F6758" s="531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2" t="str">
        <f t="shared" si="349"/>
        <v/>
      </c>
      <c r="E6759" s="531"/>
      <c r="F6759" s="531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2" t="str">
        <f t="shared" si="349"/>
        <v/>
      </c>
      <c r="E6760" s="531"/>
      <c r="F6760" s="531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2" t="str">
        <f t="shared" si="349"/>
        <v/>
      </c>
      <c r="E6761" s="531"/>
      <c r="F6761" s="531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2" t="str">
        <f t="shared" si="349"/>
        <v/>
      </c>
      <c r="E6762" s="531"/>
      <c r="F6762" s="531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2" t="str">
        <f t="shared" si="349"/>
        <v/>
      </c>
      <c r="E6763" s="531"/>
      <c r="F6763" s="531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2" t="str">
        <f t="shared" si="349"/>
        <v/>
      </c>
      <c r="E6764" s="531"/>
      <c r="F6764" s="531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2" t="str">
        <f t="shared" si="349"/>
        <v/>
      </c>
      <c r="E6765" s="531"/>
      <c r="F6765" s="531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2" t="str">
        <f t="shared" si="349"/>
        <v/>
      </c>
      <c r="E6766" s="531"/>
      <c r="F6766" s="531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2" t="str">
        <f t="shared" si="349"/>
        <v/>
      </c>
      <c r="E6767" s="531"/>
      <c r="F6767" s="531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2" t="str">
        <f t="shared" si="349"/>
        <v/>
      </c>
      <c r="E6768" s="531"/>
      <c r="F6768" s="531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2" t="str">
        <f t="shared" si="349"/>
        <v/>
      </c>
      <c r="E6769" s="531"/>
      <c r="F6769" s="531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2" t="str">
        <f t="shared" si="349"/>
        <v/>
      </c>
      <c r="E6770" s="531"/>
      <c r="F6770" s="531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2" t="str">
        <f t="shared" si="349"/>
        <v/>
      </c>
      <c r="E6771" s="531"/>
      <c r="F6771" s="531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2" t="str">
        <f t="shared" si="349"/>
        <v/>
      </c>
      <c r="E6772" s="531"/>
      <c r="F6772" s="531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2" t="str">
        <f t="shared" si="349"/>
        <v/>
      </c>
      <c r="E6773" s="531"/>
      <c r="F6773" s="531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2" t="str">
        <f t="shared" si="349"/>
        <v/>
      </c>
      <c r="E6774" s="531"/>
      <c r="F6774" s="531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2" t="str">
        <f t="shared" si="349"/>
        <v/>
      </c>
      <c r="E6775" s="531"/>
      <c r="F6775" s="531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2" t="str">
        <f t="shared" si="349"/>
        <v/>
      </c>
      <c r="E6776" s="531"/>
      <c r="F6776" s="531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2" t="str">
        <f t="shared" si="349"/>
        <v/>
      </c>
      <c r="E6777" s="531"/>
      <c r="F6777" s="531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2" t="str">
        <f t="shared" si="349"/>
        <v/>
      </c>
      <c r="E6778" s="531"/>
      <c r="F6778" s="531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2" t="str">
        <f t="shared" si="349"/>
        <v/>
      </c>
      <c r="E6779" s="531"/>
      <c r="F6779" s="531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2" t="str">
        <f t="shared" si="349"/>
        <v/>
      </c>
      <c r="E6780" s="531"/>
      <c r="F6780" s="531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2" t="str">
        <f t="shared" si="349"/>
        <v/>
      </c>
      <c r="E6781" s="531"/>
      <c r="F6781" s="531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2" t="str">
        <f t="shared" si="349"/>
        <v/>
      </c>
      <c r="E6782" s="531"/>
      <c r="F6782" s="531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2" t="str">
        <f t="shared" si="349"/>
        <v/>
      </c>
      <c r="E6783" s="531"/>
      <c r="F6783" s="531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2" t="str">
        <f t="shared" si="349"/>
        <v/>
      </c>
      <c r="E6784" s="531"/>
      <c r="F6784" s="531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2" t="str">
        <f t="shared" si="349"/>
        <v/>
      </c>
      <c r="E6785" s="531"/>
      <c r="F6785" s="531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2" t="str">
        <f t="shared" si="349"/>
        <v/>
      </c>
      <c r="E6786" s="531"/>
      <c r="F6786" s="531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2" t="str">
        <f t="shared" si="349"/>
        <v/>
      </c>
      <c r="E6787" s="531"/>
      <c r="F6787" s="531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2" t="str">
        <f t="shared" si="349"/>
        <v/>
      </c>
      <c r="E6788" s="531"/>
      <c r="F6788" s="531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2" t="str">
        <f t="shared" si="349"/>
        <v/>
      </c>
      <c r="E6789" s="531"/>
      <c r="F6789" s="531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2" t="str">
        <f t="shared" si="349"/>
        <v/>
      </c>
      <c r="E6790" s="531"/>
      <c r="F6790" s="531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2" t="str">
        <f t="shared" si="349"/>
        <v/>
      </c>
      <c r="E6791" s="531"/>
      <c r="F6791" s="531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2" t="str">
        <f t="shared" si="349"/>
        <v/>
      </c>
      <c r="E6792" s="531"/>
      <c r="F6792" s="531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2" t="str">
        <f t="shared" ref="D6793:D6856" si="352">IF(A6793&lt;&gt;"",PROPER(TEXT(A6793,"Mmmm")),"")</f>
        <v/>
      </c>
      <c r="E6793" s="531"/>
      <c r="F6793" s="531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2" t="str">
        <f t="shared" si="352"/>
        <v/>
      </c>
      <c r="E6794" s="531"/>
      <c r="F6794" s="531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2" t="str">
        <f t="shared" si="352"/>
        <v/>
      </c>
      <c r="E6795" s="531"/>
      <c r="F6795" s="531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2" t="str">
        <f t="shared" si="352"/>
        <v/>
      </c>
      <c r="E6796" s="531"/>
      <c r="F6796" s="531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2" t="str">
        <f t="shared" si="352"/>
        <v/>
      </c>
      <c r="E6797" s="531"/>
      <c r="F6797" s="531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2" t="str">
        <f t="shared" si="352"/>
        <v/>
      </c>
      <c r="E6798" s="531"/>
      <c r="F6798" s="531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2" t="str">
        <f t="shared" si="352"/>
        <v/>
      </c>
      <c r="E6799" s="531"/>
      <c r="F6799" s="531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2" t="str">
        <f t="shared" si="352"/>
        <v/>
      </c>
      <c r="E6800" s="531"/>
      <c r="F6800" s="531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2" t="str">
        <f t="shared" si="352"/>
        <v/>
      </c>
      <c r="E6801" s="531"/>
      <c r="F6801" s="531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2" t="str">
        <f t="shared" si="352"/>
        <v/>
      </c>
      <c r="E6802" s="531"/>
      <c r="F6802" s="531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2" t="str">
        <f t="shared" si="352"/>
        <v/>
      </c>
      <c r="E6803" s="531"/>
      <c r="F6803" s="531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2" t="str">
        <f t="shared" si="352"/>
        <v/>
      </c>
      <c r="E6804" s="531"/>
      <c r="F6804" s="531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2" t="str">
        <f t="shared" si="352"/>
        <v/>
      </c>
      <c r="E6805" s="531"/>
      <c r="F6805" s="531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2" t="str">
        <f t="shared" si="352"/>
        <v/>
      </c>
      <c r="E6806" s="531"/>
      <c r="F6806" s="531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2" t="str">
        <f t="shared" si="352"/>
        <v/>
      </c>
      <c r="E6807" s="531"/>
      <c r="F6807" s="531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2" t="str">
        <f t="shared" si="352"/>
        <v/>
      </c>
      <c r="E6808" s="531"/>
      <c r="F6808" s="531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2" t="str">
        <f t="shared" si="352"/>
        <v/>
      </c>
      <c r="E6809" s="531"/>
      <c r="F6809" s="531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2" t="str">
        <f t="shared" si="352"/>
        <v/>
      </c>
      <c r="E6810" s="531"/>
      <c r="F6810" s="531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2" t="str">
        <f t="shared" si="352"/>
        <v/>
      </c>
      <c r="E6811" s="531"/>
      <c r="F6811" s="531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2" t="str">
        <f t="shared" si="352"/>
        <v/>
      </c>
      <c r="E6812" s="531"/>
      <c r="F6812" s="531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2" t="str">
        <f t="shared" si="352"/>
        <v/>
      </c>
      <c r="E6813" s="531"/>
      <c r="F6813" s="531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2" t="str">
        <f t="shared" si="352"/>
        <v/>
      </c>
      <c r="E6814" s="531"/>
      <c r="F6814" s="531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2" t="str">
        <f t="shared" si="352"/>
        <v/>
      </c>
      <c r="E6815" s="531"/>
      <c r="F6815" s="531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2" t="str">
        <f t="shared" si="352"/>
        <v/>
      </c>
      <c r="E6816" s="531"/>
      <c r="F6816" s="531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2" t="str">
        <f t="shared" si="352"/>
        <v/>
      </c>
      <c r="E6817" s="531"/>
      <c r="F6817" s="531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2" t="str">
        <f t="shared" si="352"/>
        <v/>
      </c>
      <c r="E6818" s="531"/>
      <c r="F6818" s="531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2" t="str">
        <f t="shared" si="352"/>
        <v/>
      </c>
      <c r="E6819" s="531"/>
      <c r="F6819" s="531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2" t="str">
        <f t="shared" si="352"/>
        <v/>
      </c>
      <c r="E6820" s="531"/>
      <c r="F6820" s="531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2" t="str">
        <f t="shared" si="352"/>
        <v/>
      </c>
      <c r="E6821" s="531"/>
      <c r="F6821" s="531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2" t="str">
        <f t="shared" si="352"/>
        <v/>
      </c>
      <c r="E6822" s="531"/>
      <c r="F6822" s="531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2" t="str">
        <f t="shared" si="352"/>
        <v/>
      </c>
      <c r="E6823" s="531"/>
      <c r="F6823" s="531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2" t="str">
        <f t="shared" si="352"/>
        <v/>
      </c>
      <c r="E6824" s="531"/>
      <c r="F6824" s="531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2" t="str">
        <f t="shared" si="352"/>
        <v/>
      </c>
      <c r="E6825" s="531"/>
      <c r="F6825" s="531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2" t="str">
        <f t="shared" si="352"/>
        <v/>
      </c>
      <c r="E6826" s="531"/>
      <c r="F6826" s="531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2" t="str">
        <f t="shared" si="352"/>
        <v/>
      </c>
      <c r="E6827" s="531"/>
      <c r="F6827" s="531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2" t="str">
        <f t="shared" si="352"/>
        <v/>
      </c>
      <c r="E6828" s="531"/>
      <c r="F6828" s="531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2" t="str">
        <f t="shared" si="352"/>
        <v/>
      </c>
      <c r="E6829" s="531"/>
      <c r="F6829" s="531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2" t="str">
        <f t="shared" si="352"/>
        <v/>
      </c>
      <c r="E6830" s="531"/>
      <c r="F6830" s="531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2" t="str">
        <f t="shared" si="352"/>
        <v/>
      </c>
      <c r="E6831" s="531"/>
      <c r="F6831" s="531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2" t="str">
        <f t="shared" si="352"/>
        <v/>
      </c>
      <c r="E6832" s="531"/>
      <c r="F6832" s="531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2" t="str">
        <f t="shared" si="352"/>
        <v/>
      </c>
      <c r="E6833" s="531"/>
      <c r="F6833" s="531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2" t="str">
        <f t="shared" si="352"/>
        <v/>
      </c>
      <c r="E6834" s="531"/>
      <c r="F6834" s="531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2" t="str">
        <f t="shared" si="352"/>
        <v/>
      </c>
      <c r="E6835" s="531"/>
      <c r="F6835" s="531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2" t="str">
        <f t="shared" si="352"/>
        <v/>
      </c>
      <c r="E6836" s="531"/>
      <c r="F6836" s="531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2" t="str">
        <f t="shared" si="352"/>
        <v/>
      </c>
      <c r="E6837" s="531"/>
      <c r="F6837" s="531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2" t="str">
        <f t="shared" si="352"/>
        <v/>
      </c>
      <c r="E6838" s="531"/>
      <c r="F6838" s="531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2" t="str">
        <f t="shared" si="352"/>
        <v/>
      </c>
      <c r="E6839" s="531"/>
      <c r="F6839" s="531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2" t="str">
        <f t="shared" si="352"/>
        <v/>
      </c>
      <c r="E6840" s="531"/>
      <c r="F6840" s="531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2" t="str">
        <f t="shared" si="352"/>
        <v/>
      </c>
      <c r="E6841" s="531"/>
      <c r="F6841" s="531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2" t="str">
        <f t="shared" si="352"/>
        <v/>
      </c>
      <c r="E6842" s="531"/>
      <c r="F6842" s="531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2" t="str">
        <f t="shared" si="352"/>
        <v/>
      </c>
      <c r="E6843" s="531"/>
      <c r="F6843" s="531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2" t="str">
        <f t="shared" si="352"/>
        <v/>
      </c>
      <c r="E6844" s="531"/>
      <c r="F6844" s="531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2" t="str">
        <f t="shared" si="352"/>
        <v/>
      </c>
      <c r="E6845" s="531"/>
      <c r="F6845" s="531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2" t="str">
        <f t="shared" si="352"/>
        <v/>
      </c>
      <c r="E6846" s="531"/>
      <c r="F6846" s="531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2" t="str">
        <f t="shared" si="352"/>
        <v/>
      </c>
      <c r="E6847" s="531"/>
      <c r="F6847" s="531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2" t="str">
        <f t="shared" si="352"/>
        <v/>
      </c>
      <c r="E6848" s="531"/>
      <c r="F6848" s="531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2" t="str">
        <f t="shared" si="352"/>
        <v/>
      </c>
      <c r="E6849" s="531"/>
      <c r="F6849" s="531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2" t="str">
        <f t="shared" si="352"/>
        <v/>
      </c>
      <c r="E6850" s="531"/>
      <c r="F6850" s="531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2" t="str">
        <f t="shared" si="352"/>
        <v/>
      </c>
      <c r="E6851" s="531"/>
      <c r="F6851" s="531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2" t="str">
        <f t="shared" si="352"/>
        <v/>
      </c>
      <c r="E6852" s="531"/>
      <c r="F6852" s="531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2" t="str">
        <f t="shared" si="352"/>
        <v/>
      </c>
      <c r="E6853" s="531"/>
      <c r="F6853" s="531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2" t="str">
        <f t="shared" si="352"/>
        <v/>
      </c>
      <c r="E6854" s="531"/>
      <c r="F6854" s="531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2" t="str">
        <f t="shared" si="352"/>
        <v/>
      </c>
      <c r="E6855" s="531"/>
      <c r="F6855" s="531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2" t="str">
        <f t="shared" si="352"/>
        <v/>
      </c>
      <c r="E6856" s="531"/>
      <c r="F6856" s="531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2" t="str">
        <f t="shared" ref="D6857:D6920" si="355">IF(A6857&lt;&gt;"",PROPER(TEXT(A6857,"Mmmm")),"")</f>
        <v/>
      </c>
      <c r="E6857" s="531"/>
      <c r="F6857" s="531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2" t="str">
        <f t="shared" si="355"/>
        <v/>
      </c>
      <c r="E6858" s="531"/>
      <c r="F6858" s="531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2" t="str">
        <f t="shared" si="355"/>
        <v/>
      </c>
      <c r="E6859" s="531"/>
      <c r="F6859" s="531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2" t="str">
        <f t="shared" si="355"/>
        <v/>
      </c>
      <c r="E6860" s="531"/>
      <c r="F6860" s="531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2" t="str">
        <f t="shared" si="355"/>
        <v/>
      </c>
      <c r="E6861" s="531"/>
      <c r="F6861" s="531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2" t="str">
        <f t="shared" si="355"/>
        <v/>
      </c>
      <c r="E6862" s="531"/>
      <c r="F6862" s="531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2" t="str">
        <f t="shared" si="355"/>
        <v/>
      </c>
      <c r="E6863" s="531"/>
      <c r="F6863" s="531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2" t="str">
        <f t="shared" si="355"/>
        <v/>
      </c>
      <c r="E6864" s="531"/>
      <c r="F6864" s="531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2" t="str">
        <f t="shared" si="355"/>
        <v/>
      </c>
      <c r="E6865" s="531"/>
      <c r="F6865" s="531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2" t="str">
        <f t="shared" si="355"/>
        <v/>
      </c>
      <c r="E6866" s="531"/>
      <c r="F6866" s="531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2" t="str">
        <f t="shared" si="355"/>
        <v/>
      </c>
      <c r="E6867" s="531"/>
      <c r="F6867" s="531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2" t="str">
        <f t="shared" si="355"/>
        <v/>
      </c>
      <c r="E6868" s="531"/>
      <c r="F6868" s="531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2" t="str">
        <f t="shared" si="355"/>
        <v/>
      </c>
      <c r="E6869" s="531"/>
      <c r="F6869" s="531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2" t="str">
        <f t="shared" si="355"/>
        <v/>
      </c>
      <c r="E6870" s="531"/>
      <c r="F6870" s="531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2" t="str">
        <f t="shared" si="355"/>
        <v/>
      </c>
      <c r="E6871" s="531"/>
      <c r="F6871" s="531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2" t="str">
        <f t="shared" si="355"/>
        <v/>
      </c>
      <c r="E6872" s="531"/>
      <c r="F6872" s="531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2" t="str">
        <f t="shared" si="355"/>
        <v/>
      </c>
      <c r="E6873" s="531"/>
      <c r="F6873" s="531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2" t="str">
        <f t="shared" si="355"/>
        <v/>
      </c>
      <c r="E6874" s="531"/>
      <c r="F6874" s="531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2" t="str">
        <f t="shared" si="355"/>
        <v/>
      </c>
      <c r="E6875" s="531"/>
      <c r="F6875" s="531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2" t="str">
        <f t="shared" si="355"/>
        <v/>
      </c>
      <c r="E6876" s="531"/>
      <c r="F6876" s="531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2" t="str">
        <f t="shared" si="355"/>
        <v/>
      </c>
      <c r="E6877" s="531"/>
      <c r="F6877" s="531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2" t="str">
        <f t="shared" si="355"/>
        <v/>
      </c>
      <c r="E6878" s="531"/>
      <c r="F6878" s="531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2" t="str">
        <f t="shared" si="355"/>
        <v/>
      </c>
      <c r="E6879" s="531"/>
      <c r="F6879" s="531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2" t="str">
        <f t="shared" si="355"/>
        <v/>
      </c>
      <c r="E6880" s="531"/>
      <c r="F6880" s="531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2" t="str">
        <f t="shared" si="355"/>
        <v/>
      </c>
      <c r="E6881" s="531"/>
      <c r="F6881" s="531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2" t="str">
        <f t="shared" si="355"/>
        <v/>
      </c>
      <c r="E6882" s="531"/>
      <c r="F6882" s="531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2" t="str">
        <f t="shared" si="355"/>
        <v/>
      </c>
      <c r="E6883" s="531"/>
      <c r="F6883" s="531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2" t="str">
        <f t="shared" si="355"/>
        <v/>
      </c>
      <c r="E6884" s="531"/>
      <c r="F6884" s="531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2" t="str">
        <f t="shared" si="355"/>
        <v/>
      </c>
      <c r="E6885" s="531"/>
      <c r="F6885" s="531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2" t="str">
        <f t="shared" si="355"/>
        <v/>
      </c>
      <c r="E6886" s="531"/>
      <c r="F6886" s="531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2" t="str">
        <f t="shared" si="355"/>
        <v/>
      </c>
      <c r="E6887" s="531"/>
      <c r="F6887" s="531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2" t="str">
        <f t="shared" si="355"/>
        <v/>
      </c>
      <c r="E6888" s="531"/>
      <c r="F6888" s="531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2" t="str">
        <f t="shared" si="355"/>
        <v/>
      </c>
      <c r="E6889" s="531"/>
      <c r="F6889" s="531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2" t="str">
        <f t="shared" si="355"/>
        <v/>
      </c>
      <c r="E6890" s="531"/>
      <c r="F6890" s="531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2" t="str">
        <f t="shared" si="355"/>
        <v/>
      </c>
      <c r="E6891" s="531"/>
      <c r="F6891" s="531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2" t="str">
        <f t="shared" si="355"/>
        <v/>
      </c>
      <c r="E6892" s="531"/>
      <c r="F6892" s="531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2" t="str">
        <f t="shared" si="355"/>
        <v/>
      </c>
      <c r="E6893" s="531"/>
      <c r="F6893" s="531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2" t="str">
        <f t="shared" si="355"/>
        <v/>
      </c>
      <c r="E6894" s="531"/>
      <c r="F6894" s="531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2" t="str">
        <f t="shared" si="355"/>
        <v/>
      </c>
      <c r="E6895" s="531"/>
      <c r="F6895" s="531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2" t="str">
        <f t="shared" si="355"/>
        <v/>
      </c>
      <c r="E6896" s="531"/>
      <c r="F6896" s="531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2" t="str">
        <f t="shared" si="355"/>
        <v/>
      </c>
      <c r="E6897" s="531"/>
      <c r="F6897" s="531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2" t="str">
        <f t="shared" si="355"/>
        <v/>
      </c>
      <c r="E6898" s="531"/>
      <c r="F6898" s="531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2" t="str">
        <f t="shared" si="355"/>
        <v/>
      </c>
      <c r="E6899" s="531"/>
      <c r="F6899" s="531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2" t="str">
        <f t="shared" si="355"/>
        <v/>
      </c>
      <c r="E6900" s="531"/>
      <c r="F6900" s="531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2" t="str">
        <f t="shared" si="355"/>
        <v/>
      </c>
      <c r="E6901" s="531"/>
      <c r="F6901" s="531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2" t="str">
        <f t="shared" si="355"/>
        <v/>
      </c>
      <c r="E6902" s="531"/>
      <c r="F6902" s="531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2" t="str">
        <f t="shared" si="355"/>
        <v/>
      </c>
      <c r="E6903" s="531"/>
      <c r="F6903" s="531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2" t="str">
        <f t="shared" si="355"/>
        <v/>
      </c>
      <c r="E6904" s="531"/>
      <c r="F6904" s="531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2" t="str">
        <f t="shared" si="355"/>
        <v/>
      </c>
      <c r="E6905" s="531"/>
      <c r="F6905" s="531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2" t="str">
        <f t="shared" si="355"/>
        <v/>
      </c>
      <c r="E6906" s="531"/>
      <c r="F6906" s="531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2" t="str">
        <f t="shared" si="355"/>
        <v/>
      </c>
      <c r="E6907" s="531"/>
      <c r="F6907" s="531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2" t="str">
        <f t="shared" si="355"/>
        <v/>
      </c>
      <c r="E6908" s="531"/>
      <c r="F6908" s="531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2" t="str">
        <f t="shared" si="355"/>
        <v/>
      </c>
      <c r="E6909" s="531"/>
      <c r="F6909" s="531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2" t="str">
        <f t="shared" si="355"/>
        <v/>
      </c>
      <c r="E6910" s="531"/>
      <c r="F6910" s="531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2" t="str">
        <f t="shared" si="355"/>
        <v/>
      </c>
      <c r="E6911" s="531"/>
      <c r="F6911" s="531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2" t="str">
        <f t="shared" si="355"/>
        <v/>
      </c>
      <c r="E6912" s="531"/>
      <c r="F6912" s="531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2" t="str">
        <f t="shared" si="355"/>
        <v/>
      </c>
      <c r="E6913" s="531"/>
      <c r="F6913" s="531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2" t="str">
        <f t="shared" si="355"/>
        <v/>
      </c>
      <c r="E6914" s="531"/>
      <c r="F6914" s="531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2" t="str">
        <f t="shared" si="355"/>
        <v/>
      </c>
      <c r="E6915" s="531"/>
      <c r="F6915" s="531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2" t="str">
        <f t="shared" si="355"/>
        <v/>
      </c>
      <c r="E6916" s="531"/>
      <c r="F6916" s="531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2" t="str">
        <f t="shared" si="355"/>
        <v/>
      </c>
      <c r="E6917" s="531"/>
      <c r="F6917" s="531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2" t="str">
        <f t="shared" si="355"/>
        <v/>
      </c>
      <c r="E6918" s="531"/>
      <c r="F6918" s="531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2" t="str">
        <f t="shared" si="355"/>
        <v/>
      </c>
      <c r="E6919" s="531"/>
      <c r="F6919" s="531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2" t="str">
        <f t="shared" si="355"/>
        <v/>
      </c>
      <c r="E6920" s="531"/>
      <c r="F6920" s="531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2" t="str">
        <f t="shared" ref="D6921:D6984" si="358">IF(A6921&lt;&gt;"",PROPER(TEXT(A6921,"Mmmm")),"")</f>
        <v/>
      </c>
      <c r="E6921" s="531"/>
      <c r="F6921" s="531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2" t="str">
        <f t="shared" si="358"/>
        <v/>
      </c>
      <c r="E6922" s="531"/>
      <c r="F6922" s="531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2" t="str">
        <f t="shared" si="358"/>
        <v/>
      </c>
      <c r="E6923" s="531"/>
      <c r="F6923" s="531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2" t="str">
        <f t="shared" si="358"/>
        <v/>
      </c>
      <c r="E6924" s="531"/>
      <c r="F6924" s="531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2" t="str">
        <f t="shared" si="358"/>
        <v/>
      </c>
      <c r="E6925" s="531"/>
      <c r="F6925" s="531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2" t="str">
        <f t="shared" si="358"/>
        <v/>
      </c>
      <c r="E6926" s="531"/>
      <c r="F6926" s="531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2" t="str">
        <f t="shared" si="358"/>
        <v/>
      </c>
      <c r="E6927" s="531"/>
      <c r="F6927" s="531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2" t="str">
        <f t="shared" si="358"/>
        <v/>
      </c>
      <c r="E6928" s="531"/>
      <c r="F6928" s="531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2" t="str">
        <f t="shared" si="358"/>
        <v/>
      </c>
      <c r="E6929" s="531"/>
      <c r="F6929" s="531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2" t="str">
        <f t="shared" si="358"/>
        <v/>
      </c>
      <c r="E6930" s="531"/>
      <c r="F6930" s="531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2" t="str">
        <f t="shared" si="358"/>
        <v/>
      </c>
      <c r="E6931" s="531"/>
      <c r="F6931" s="531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2" t="str">
        <f t="shared" si="358"/>
        <v/>
      </c>
      <c r="E6932" s="531"/>
      <c r="F6932" s="531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2" t="str">
        <f t="shared" si="358"/>
        <v/>
      </c>
      <c r="E6933" s="531"/>
      <c r="F6933" s="531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2" t="str">
        <f t="shared" si="358"/>
        <v/>
      </c>
      <c r="E6934" s="531"/>
      <c r="F6934" s="531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2" t="str">
        <f t="shared" si="358"/>
        <v/>
      </c>
      <c r="E6935" s="531"/>
      <c r="F6935" s="531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2" t="str">
        <f t="shared" si="358"/>
        <v/>
      </c>
      <c r="E6936" s="531"/>
      <c r="F6936" s="531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2" t="str">
        <f t="shared" si="358"/>
        <v/>
      </c>
      <c r="E6937" s="531"/>
      <c r="F6937" s="531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2" t="str">
        <f t="shared" si="358"/>
        <v/>
      </c>
      <c r="E6938" s="531"/>
      <c r="F6938" s="531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2" t="str">
        <f t="shared" si="358"/>
        <v/>
      </c>
      <c r="E6939" s="531"/>
      <c r="F6939" s="531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2" t="str">
        <f t="shared" si="358"/>
        <v/>
      </c>
      <c r="E6940" s="531"/>
      <c r="F6940" s="531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2" t="str">
        <f t="shared" si="358"/>
        <v/>
      </c>
      <c r="E6941" s="531"/>
      <c r="F6941" s="531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2" t="str">
        <f t="shared" si="358"/>
        <v/>
      </c>
      <c r="E6942" s="531"/>
      <c r="F6942" s="531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2" t="str">
        <f t="shared" si="358"/>
        <v/>
      </c>
      <c r="E6943" s="531"/>
      <c r="F6943" s="531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2" t="str">
        <f t="shared" si="358"/>
        <v/>
      </c>
      <c r="E6944" s="531"/>
      <c r="F6944" s="531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2" t="str">
        <f t="shared" si="358"/>
        <v/>
      </c>
      <c r="E6945" s="531"/>
      <c r="F6945" s="531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2" t="str">
        <f t="shared" si="358"/>
        <v/>
      </c>
      <c r="E6946" s="531"/>
      <c r="F6946" s="531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2" t="str">
        <f t="shared" si="358"/>
        <v/>
      </c>
      <c r="E6947" s="531"/>
      <c r="F6947" s="531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2" t="str">
        <f t="shared" si="358"/>
        <v/>
      </c>
      <c r="E6948" s="531"/>
      <c r="F6948" s="531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2" t="str">
        <f t="shared" si="358"/>
        <v/>
      </c>
      <c r="E6949" s="531"/>
      <c r="F6949" s="531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2" t="str">
        <f t="shared" si="358"/>
        <v/>
      </c>
      <c r="E6950" s="531"/>
      <c r="F6950" s="531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2" t="str">
        <f t="shared" si="358"/>
        <v/>
      </c>
      <c r="E6951" s="531"/>
      <c r="F6951" s="531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2" t="str">
        <f t="shared" si="358"/>
        <v/>
      </c>
      <c r="E6952" s="531"/>
      <c r="F6952" s="531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2" t="str">
        <f t="shared" si="358"/>
        <v/>
      </c>
      <c r="E6953" s="531"/>
      <c r="F6953" s="531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2" t="str">
        <f t="shared" si="358"/>
        <v/>
      </c>
      <c r="E6954" s="531"/>
      <c r="F6954" s="531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2" t="str">
        <f t="shared" si="358"/>
        <v/>
      </c>
      <c r="E6955" s="531"/>
      <c r="F6955" s="531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2" t="str">
        <f t="shared" si="358"/>
        <v/>
      </c>
      <c r="E6956" s="531"/>
      <c r="F6956" s="531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2" t="str">
        <f t="shared" si="358"/>
        <v/>
      </c>
      <c r="E6957" s="531"/>
      <c r="F6957" s="531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2" t="str">
        <f t="shared" si="358"/>
        <v/>
      </c>
      <c r="E6958" s="531"/>
      <c r="F6958" s="531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2" t="str">
        <f t="shared" si="358"/>
        <v/>
      </c>
      <c r="E6959" s="531"/>
      <c r="F6959" s="531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2" t="str">
        <f t="shared" si="358"/>
        <v/>
      </c>
      <c r="E6960" s="531"/>
      <c r="F6960" s="531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2" t="str">
        <f t="shared" si="358"/>
        <v/>
      </c>
      <c r="E6961" s="531"/>
      <c r="F6961" s="531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2" t="str">
        <f t="shared" si="358"/>
        <v/>
      </c>
      <c r="E6962" s="531"/>
      <c r="F6962" s="531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2" t="str">
        <f t="shared" si="358"/>
        <v/>
      </c>
      <c r="E6963" s="531"/>
      <c r="F6963" s="531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2" t="str">
        <f t="shared" si="358"/>
        <v/>
      </c>
      <c r="E6964" s="531"/>
      <c r="F6964" s="531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2" t="str">
        <f t="shared" si="358"/>
        <v/>
      </c>
      <c r="E6965" s="531"/>
      <c r="F6965" s="531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2" t="str">
        <f t="shared" si="358"/>
        <v/>
      </c>
      <c r="E6966" s="531"/>
      <c r="F6966" s="531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2" t="str">
        <f t="shared" si="358"/>
        <v/>
      </c>
      <c r="E6967" s="531"/>
      <c r="F6967" s="531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2" t="str">
        <f t="shared" si="358"/>
        <v/>
      </c>
      <c r="E6968" s="531"/>
      <c r="F6968" s="531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2" t="str">
        <f t="shared" si="358"/>
        <v/>
      </c>
      <c r="E6969" s="531"/>
      <c r="F6969" s="531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2" t="str">
        <f t="shared" si="358"/>
        <v/>
      </c>
      <c r="E6970" s="531"/>
      <c r="F6970" s="531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2" t="str">
        <f t="shared" si="358"/>
        <v/>
      </c>
      <c r="E6971" s="531"/>
      <c r="F6971" s="531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2" t="str">
        <f t="shared" si="358"/>
        <v/>
      </c>
      <c r="E6972" s="531"/>
      <c r="F6972" s="531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2" t="str">
        <f t="shared" si="358"/>
        <v/>
      </c>
      <c r="E6973" s="531"/>
      <c r="F6973" s="531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2" t="str">
        <f t="shared" si="358"/>
        <v/>
      </c>
      <c r="E6974" s="531"/>
      <c r="F6974" s="531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2" t="str">
        <f t="shared" si="358"/>
        <v/>
      </c>
      <c r="E6975" s="531"/>
      <c r="F6975" s="531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2" t="str">
        <f t="shared" si="358"/>
        <v/>
      </c>
      <c r="E6976" s="531"/>
      <c r="F6976" s="531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2" t="str">
        <f t="shared" si="358"/>
        <v/>
      </c>
      <c r="E6977" s="531"/>
      <c r="F6977" s="531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2" t="str">
        <f t="shared" si="358"/>
        <v/>
      </c>
      <c r="E6978" s="531"/>
      <c r="F6978" s="531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2" t="str">
        <f t="shared" si="358"/>
        <v/>
      </c>
      <c r="E6979" s="531"/>
      <c r="F6979" s="531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2" t="str">
        <f t="shared" si="358"/>
        <v/>
      </c>
      <c r="E6980" s="531"/>
      <c r="F6980" s="531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2" t="str">
        <f t="shared" si="358"/>
        <v/>
      </c>
      <c r="E6981" s="531"/>
      <c r="F6981" s="531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2" t="str">
        <f t="shared" si="358"/>
        <v/>
      </c>
      <c r="E6982" s="531"/>
      <c r="F6982" s="531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2" t="str">
        <f t="shared" si="358"/>
        <v/>
      </c>
      <c r="E6983" s="531"/>
      <c r="F6983" s="531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2" t="str">
        <f t="shared" si="358"/>
        <v/>
      </c>
      <c r="E6984" s="531"/>
      <c r="F6984" s="531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2" t="str">
        <f t="shared" ref="D6985:D7048" si="361">IF(A6985&lt;&gt;"",PROPER(TEXT(A6985,"Mmmm")),"")</f>
        <v/>
      </c>
      <c r="E6985" s="531"/>
      <c r="F6985" s="531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2" t="str">
        <f t="shared" si="361"/>
        <v/>
      </c>
      <c r="E6986" s="531"/>
      <c r="F6986" s="531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2" t="str">
        <f t="shared" si="361"/>
        <v/>
      </c>
      <c r="E6987" s="531"/>
      <c r="F6987" s="531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2" t="str">
        <f t="shared" si="361"/>
        <v/>
      </c>
      <c r="E6988" s="531"/>
      <c r="F6988" s="531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2" t="str">
        <f t="shared" si="361"/>
        <v/>
      </c>
      <c r="E6989" s="531"/>
      <c r="F6989" s="531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2" t="str">
        <f t="shared" si="361"/>
        <v/>
      </c>
      <c r="E6990" s="531"/>
      <c r="F6990" s="531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2" t="str">
        <f t="shared" si="361"/>
        <v/>
      </c>
      <c r="E6991" s="531"/>
      <c r="F6991" s="531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2" t="str">
        <f t="shared" si="361"/>
        <v/>
      </c>
      <c r="E6992" s="531"/>
      <c r="F6992" s="531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2" t="str">
        <f t="shared" si="361"/>
        <v/>
      </c>
      <c r="E6993" s="531"/>
      <c r="F6993" s="531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2" t="str">
        <f t="shared" si="361"/>
        <v/>
      </c>
      <c r="E6994" s="531"/>
      <c r="F6994" s="531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2" t="str">
        <f t="shared" si="361"/>
        <v/>
      </c>
      <c r="E6995" s="531"/>
      <c r="F6995" s="531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2" t="str">
        <f t="shared" si="361"/>
        <v/>
      </c>
      <c r="E6996" s="531"/>
      <c r="F6996" s="531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2" t="str">
        <f t="shared" si="361"/>
        <v/>
      </c>
      <c r="E6997" s="531"/>
      <c r="F6997" s="531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2" t="str">
        <f t="shared" si="361"/>
        <v/>
      </c>
      <c r="E6998" s="531"/>
      <c r="F6998" s="531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2" t="str">
        <f t="shared" si="361"/>
        <v/>
      </c>
      <c r="E6999" s="531"/>
      <c r="F6999" s="531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2" t="str">
        <f t="shared" si="361"/>
        <v/>
      </c>
      <c r="E7000" s="531"/>
      <c r="F7000" s="531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2" t="str">
        <f t="shared" si="361"/>
        <v/>
      </c>
      <c r="E7001" s="531"/>
      <c r="F7001" s="531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2" t="str">
        <f t="shared" si="361"/>
        <v/>
      </c>
      <c r="E7002" s="531"/>
      <c r="F7002" s="531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2" t="str">
        <f t="shared" si="361"/>
        <v/>
      </c>
      <c r="E7003" s="531"/>
      <c r="F7003" s="531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2" t="str">
        <f t="shared" si="361"/>
        <v/>
      </c>
      <c r="E7004" s="531"/>
      <c r="F7004" s="531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2" t="str">
        <f t="shared" si="361"/>
        <v/>
      </c>
      <c r="E7005" s="531"/>
      <c r="F7005" s="531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2" t="str">
        <f t="shared" si="361"/>
        <v/>
      </c>
      <c r="E7006" s="531"/>
      <c r="F7006" s="531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2" t="str">
        <f t="shared" si="361"/>
        <v/>
      </c>
      <c r="E7007" s="531"/>
      <c r="F7007" s="531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2" t="str">
        <f t="shared" si="361"/>
        <v/>
      </c>
      <c r="E7008" s="531"/>
      <c r="F7008" s="531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2" t="str">
        <f t="shared" si="361"/>
        <v/>
      </c>
      <c r="E7009" s="531"/>
      <c r="F7009" s="531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2" t="str">
        <f t="shared" si="361"/>
        <v/>
      </c>
      <c r="E7010" s="531"/>
      <c r="F7010" s="531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2" t="str">
        <f t="shared" si="361"/>
        <v/>
      </c>
      <c r="E7011" s="531"/>
      <c r="F7011" s="531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2" t="str">
        <f t="shared" si="361"/>
        <v/>
      </c>
      <c r="E7012" s="531"/>
      <c r="F7012" s="531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2" t="str">
        <f t="shared" si="361"/>
        <v/>
      </c>
      <c r="E7013" s="531"/>
      <c r="F7013" s="531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2" t="str">
        <f t="shared" si="361"/>
        <v/>
      </c>
      <c r="E7014" s="531"/>
      <c r="F7014" s="531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2" t="str">
        <f t="shared" si="361"/>
        <v/>
      </c>
      <c r="E7015" s="531"/>
      <c r="F7015" s="531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2" t="str">
        <f t="shared" si="361"/>
        <v/>
      </c>
      <c r="E7016" s="531"/>
      <c r="F7016" s="531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2" t="str">
        <f t="shared" si="361"/>
        <v/>
      </c>
      <c r="E7017" s="531"/>
      <c r="F7017" s="531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2" t="str">
        <f t="shared" si="361"/>
        <v/>
      </c>
      <c r="E7018" s="531"/>
      <c r="F7018" s="531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2" t="str">
        <f t="shared" si="361"/>
        <v/>
      </c>
      <c r="E7019" s="531"/>
      <c r="F7019" s="531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2" t="str">
        <f t="shared" si="361"/>
        <v/>
      </c>
      <c r="E7020" s="531"/>
      <c r="F7020" s="531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2" t="str">
        <f t="shared" si="361"/>
        <v/>
      </c>
      <c r="E7021" s="531"/>
      <c r="F7021" s="531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2" t="str">
        <f t="shared" si="361"/>
        <v/>
      </c>
      <c r="E7022" s="531"/>
      <c r="F7022" s="531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2" t="str">
        <f t="shared" si="361"/>
        <v/>
      </c>
      <c r="E7023" s="531"/>
      <c r="F7023" s="531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2" t="str">
        <f t="shared" si="361"/>
        <v/>
      </c>
      <c r="E7024" s="531"/>
      <c r="F7024" s="531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2" t="str">
        <f t="shared" si="361"/>
        <v/>
      </c>
      <c r="E7025" s="531"/>
      <c r="F7025" s="531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2" t="str">
        <f t="shared" si="361"/>
        <v/>
      </c>
      <c r="E7026" s="531"/>
      <c r="F7026" s="531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2" t="str">
        <f t="shared" si="361"/>
        <v/>
      </c>
      <c r="E7027" s="531"/>
      <c r="F7027" s="531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2" t="str">
        <f t="shared" si="361"/>
        <v/>
      </c>
      <c r="E7028" s="531"/>
      <c r="F7028" s="531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2" t="str">
        <f t="shared" si="361"/>
        <v/>
      </c>
      <c r="E7029" s="531"/>
      <c r="F7029" s="531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2" t="str">
        <f t="shared" si="361"/>
        <v/>
      </c>
      <c r="E7030" s="531"/>
      <c r="F7030" s="531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2" t="str">
        <f t="shared" si="361"/>
        <v/>
      </c>
      <c r="E7031" s="531"/>
      <c r="F7031" s="531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2" t="str">
        <f t="shared" si="361"/>
        <v/>
      </c>
      <c r="E7032" s="531"/>
      <c r="F7032" s="531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2" t="str">
        <f t="shared" si="361"/>
        <v/>
      </c>
      <c r="E7033" s="531"/>
      <c r="F7033" s="531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2" t="str">
        <f t="shared" si="361"/>
        <v/>
      </c>
      <c r="E7034" s="531"/>
      <c r="F7034" s="531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2" t="str">
        <f t="shared" si="361"/>
        <v/>
      </c>
      <c r="E7035" s="531"/>
      <c r="F7035" s="531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2" t="str">
        <f t="shared" si="361"/>
        <v/>
      </c>
      <c r="E7036" s="531"/>
      <c r="F7036" s="531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2" t="str">
        <f t="shared" si="361"/>
        <v/>
      </c>
      <c r="E7037" s="531"/>
      <c r="F7037" s="531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2" t="str">
        <f t="shared" si="361"/>
        <v/>
      </c>
      <c r="E7038" s="531"/>
      <c r="F7038" s="531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2" t="str">
        <f t="shared" si="361"/>
        <v/>
      </c>
      <c r="E7039" s="531"/>
      <c r="F7039" s="531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2" t="str">
        <f t="shared" si="361"/>
        <v/>
      </c>
      <c r="E7040" s="531"/>
      <c r="F7040" s="531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2" t="str">
        <f t="shared" si="361"/>
        <v/>
      </c>
      <c r="E7041" s="531"/>
      <c r="F7041" s="531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2" t="str">
        <f t="shared" si="361"/>
        <v/>
      </c>
      <c r="E7042" s="531"/>
      <c r="F7042" s="531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2" t="str">
        <f t="shared" si="361"/>
        <v/>
      </c>
      <c r="E7043" s="531"/>
      <c r="F7043" s="531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2" t="str">
        <f t="shared" si="361"/>
        <v/>
      </c>
      <c r="E7044" s="531"/>
      <c r="F7044" s="531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2" t="str">
        <f t="shared" si="361"/>
        <v/>
      </c>
      <c r="E7045" s="531"/>
      <c r="F7045" s="531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2" t="str">
        <f t="shared" si="361"/>
        <v/>
      </c>
      <c r="E7046" s="531"/>
      <c r="F7046" s="531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2" t="str">
        <f t="shared" si="361"/>
        <v/>
      </c>
      <c r="E7047" s="531"/>
      <c r="F7047" s="531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2" t="str">
        <f t="shared" si="361"/>
        <v/>
      </c>
      <c r="E7048" s="531"/>
      <c r="F7048" s="531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2" t="str">
        <f t="shared" ref="D7049:D7112" si="364">IF(A7049&lt;&gt;"",PROPER(TEXT(A7049,"Mmmm")),"")</f>
        <v/>
      </c>
      <c r="E7049" s="531"/>
      <c r="F7049" s="531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2" t="str">
        <f t="shared" si="364"/>
        <v/>
      </c>
      <c r="E7050" s="531"/>
      <c r="F7050" s="531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2" t="str">
        <f t="shared" si="364"/>
        <v/>
      </c>
      <c r="E7051" s="531"/>
      <c r="F7051" s="531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2" t="str">
        <f t="shared" si="364"/>
        <v/>
      </c>
      <c r="E7052" s="531"/>
      <c r="F7052" s="531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2" t="str">
        <f t="shared" si="364"/>
        <v/>
      </c>
      <c r="E7053" s="531"/>
      <c r="F7053" s="531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2" t="str">
        <f t="shared" si="364"/>
        <v/>
      </c>
      <c r="E7054" s="531"/>
      <c r="F7054" s="531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2" t="str">
        <f t="shared" si="364"/>
        <v/>
      </c>
      <c r="E7055" s="531"/>
      <c r="F7055" s="531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2" t="str">
        <f t="shared" si="364"/>
        <v/>
      </c>
      <c r="E7056" s="531"/>
      <c r="F7056" s="531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2" t="str">
        <f t="shared" si="364"/>
        <v/>
      </c>
      <c r="E7057" s="531"/>
      <c r="F7057" s="531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2" t="str">
        <f t="shared" si="364"/>
        <v/>
      </c>
      <c r="E7058" s="531"/>
      <c r="F7058" s="531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2" t="str">
        <f t="shared" si="364"/>
        <v/>
      </c>
      <c r="E7059" s="531"/>
      <c r="F7059" s="531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2" t="str">
        <f t="shared" si="364"/>
        <v/>
      </c>
      <c r="E7060" s="531"/>
      <c r="F7060" s="531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2" t="str">
        <f t="shared" si="364"/>
        <v/>
      </c>
      <c r="E7061" s="531"/>
      <c r="F7061" s="531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2" t="str">
        <f t="shared" si="364"/>
        <v/>
      </c>
      <c r="E7062" s="531"/>
      <c r="F7062" s="531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2" t="str">
        <f t="shared" si="364"/>
        <v/>
      </c>
      <c r="E7063" s="531"/>
      <c r="F7063" s="531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2" t="str">
        <f t="shared" si="364"/>
        <v/>
      </c>
      <c r="E7064" s="531"/>
      <c r="F7064" s="531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2" t="str">
        <f t="shared" si="364"/>
        <v/>
      </c>
      <c r="E7065" s="531"/>
      <c r="F7065" s="531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2" t="str">
        <f t="shared" si="364"/>
        <v/>
      </c>
      <c r="E7066" s="531"/>
      <c r="F7066" s="531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2" t="str">
        <f t="shared" si="364"/>
        <v/>
      </c>
      <c r="E7067" s="531"/>
      <c r="F7067" s="531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2" t="str">
        <f t="shared" si="364"/>
        <v/>
      </c>
      <c r="E7068" s="531"/>
      <c r="F7068" s="531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2" t="str">
        <f t="shared" si="364"/>
        <v/>
      </c>
      <c r="E7069" s="531"/>
      <c r="F7069" s="531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2" t="str">
        <f t="shared" si="364"/>
        <v/>
      </c>
      <c r="E7070" s="531"/>
      <c r="F7070" s="531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2" t="str">
        <f t="shared" si="364"/>
        <v/>
      </c>
      <c r="E7071" s="531"/>
      <c r="F7071" s="531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2" t="str">
        <f t="shared" si="364"/>
        <v/>
      </c>
      <c r="E7072" s="531"/>
      <c r="F7072" s="531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2" t="str">
        <f t="shared" si="364"/>
        <v/>
      </c>
      <c r="E7073" s="531"/>
      <c r="F7073" s="531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2" t="str">
        <f t="shared" si="364"/>
        <v/>
      </c>
      <c r="E7074" s="531"/>
      <c r="F7074" s="531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2" t="str">
        <f t="shared" si="364"/>
        <v/>
      </c>
      <c r="E7075" s="531"/>
      <c r="F7075" s="531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2" t="str">
        <f t="shared" si="364"/>
        <v/>
      </c>
      <c r="E7076" s="531"/>
      <c r="F7076" s="531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2" t="str">
        <f t="shared" si="364"/>
        <v/>
      </c>
      <c r="E7077" s="531"/>
      <c r="F7077" s="531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2" t="str">
        <f t="shared" si="364"/>
        <v/>
      </c>
      <c r="E7078" s="531"/>
      <c r="F7078" s="531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2" t="str">
        <f t="shared" si="364"/>
        <v/>
      </c>
      <c r="E7079" s="531"/>
      <c r="F7079" s="531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2" t="str">
        <f t="shared" si="364"/>
        <v/>
      </c>
      <c r="E7080" s="531"/>
      <c r="F7080" s="531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2" t="str">
        <f t="shared" si="364"/>
        <v/>
      </c>
      <c r="E7081" s="531"/>
      <c r="F7081" s="531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2" t="str">
        <f t="shared" si="364"/>
        <v/>
      </c>
      <c r="E7082" s="531"/>
      <c r="F7082" s="531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2" t="str">
        <f t="shared" si="364"/>
        <v/>
      </c>
      <c r="E7083" s="531"/>
      <c r="F7083" s="531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2" t="str">
        <f t="shared" si="364"/>
        <v/>
      </c>
      <c r="E7084" s="531"/>
      <c r="F7084" s="531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2" t="str">
        <f t="shared" si="364"/>
        <v/>
      </c>
      <c r="E7085" s="531"/>
      <c r="F7085" s="531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2" t="str">
        <f t="shared" si="364"/>
        <v/>
      </c>
      <c r="E7086" s="531"/>
      <c r="F7086" s="531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2" t="str">
        <f t="shared" si="364"/>
        <v/>
      </c>
      <c r="E7087" s="531"/>
      <c r="F7087" s="531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2" t="str">
        <f t="shared" si="364"/>
        <v/>
      </c>
      <c r="E7088" s="531"/>
      <c r="F7088" s="531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2" t="str">
        <f t="shared" si="364"/>
        <v/>
      </c>
      <c r="E7089" s="531"/>
      <c r="F7089" s="531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2" t="str">
        <f t="shared" si="364"/>
        <v/>
      </c>
      <c r="E7090" s="531"/>
      <c r="F7090" s="531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2" t="str">
        <f t="shared" si="364"/>
        <v/>
      </c>
      <c r="E7091" s="531"/>
      <c r="F7091" s="531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2" t="str">
        <f t="shared" si="364"/>
        <v/>
      </c>
      <c r="E7092" s="531"/>
      <c r="F7092" s="531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2" t="str">
        <f t="shared" si="364"/>
        <v/>
      </c>
      <c r="E7093" s="531"/>
      <c r="F7093" s="531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2" t="str">
        <f t="shared" si="364"/>
        <v/>
      </c>
      <c r="E7094" s="531"/>
      <c r="F7094" s="531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2" t="str">
        <f t="shared" si="364"/>
        <v/>
      </c>
      <c r="E7095" s="531"/>
      <c r="F7095" s="531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2" t="str">
        <f t="shared" si="364"/>
        <v/>
      </c>
      <c r="E7096" s="531"/>
      <c r="F7096" s="531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2" t="str">
        <f t="shared" si="364"/>
        <v/>
      </c>
      <c r="E7097" s="531"/>
      <c r="F7097" s="531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2" t="str">
        <f t="shared" si="364"/>
        <v/>
      </c>
      <c r="E7098" s="531"/>
      <c r="F7098" s="531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2" t="str">
        <f t="shared" si="364"/>
        <v/>
      </c>
      <c r="E7099" s="531"/>
      <c r="F7099" s="531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2" t="str">
        <f t="shared" si="364"/>
        <v/>
      </c>
      <c r="E7100" s="531"/>
      <c r="F7100" s="531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2" t="str">
        <f t="shared" si="364"/>
        <v/>
      </c>
      <c r="E7101" s="531"/>
      <c r="F7101" s="531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2" t="str">
        <f t="shared" si="364"/>
        <v/>
      </c>
      <c r="E7102" s="531"/>
      <c r="F7102" s="531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2" t="str">
        <f t="shared" si="364"/>
        <v/>
      </c>
      <c r="E7103" s="531"/>
      <c r="F7103" s="531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2" t="str">
        <f t="shared" si="364"/>
        <v/>
      </c>
      <c r="E7104" s="531"/>
      <c r="F7104" s="531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2" t="str">
        <f t="shared" si="364"/>
        <v/>
      </c>
      <c r="E7105" s="531"/>
      <c r="F7105" s="531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2" t="str">
        <f t="shared" si="364"/>
        <v/>
      </c>
      <c r="E7106" s="531"/>
      <c r="F7106" s="531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2" t="str">
        <f t="shared" si="364"/>
        <v/>
      </c>
      <c r="E7107" s="531"/>
      <c r="F7107" s="531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2" t="str">
        <f t="shared" si="364"/>
        <v/>
      </c>
      <c r="E7108" s="531"/>
      <c r="F7108" s="531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2" t="str">
        <f t="shared" si="364"/>
        <v/>
      </c>
      <c r="E7109" s="531"/>
      <c r="F7109" s="531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2" t="str">
        <f t="shared" si="364"/>
        <v/>
      </c>
      <c r="E7110" s="531"/>
      <c r="F7110" s="531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2" t="str">
        <f t="shared" si="364"/>
        <v/>
      </c>
      <c r="E7111" s="531"/>
      <c r="F7111" s="531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2" t="str">
        <f t="shared" si="364"/>
        <v/>
      </c>
      <c r="E7112" s="531"/>
      <c r="F7112" s="531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2" t="str">
        <f t="shared" ref="D7113:D7176" si="367">IF(A7113&lt;&gt;"",PROPER(TEXT(A7113,"Mmmm")),"")</f>
        <v/>
      </c>
      <c r="E7113" s="531"/>
      <c r="F7113" s="531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2" t="str">
        <f t="shared" si="367"/>
        <v/>
      </c>
      <c r="E7114" s="531"/>
      <c r="F7114" s="531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2" t="str">
        <f t="shared" si="367"/>
        <v/>
      </c>
      <c r="E7115" s="531"/>
      <c r="F7115" s="531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2" t="str">
        <f t="shared" si="367"/>
        <v/>
      </c>
      <c r="E7116" s="531"/>
      <c r="F7116" s="531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2" t="str">
        <f t="shared" si="367"/>
        <v/>
      </c>
      <c r="E7117" s="531"/>
      <c r="F7117" s="531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2" t="str">
        <f t="shared" si="367"/>
        <v/>
      </c>
      <c r="E7118" s="531"/>
      <c r="F7118" s="531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2" t="str">
        <f t="shared" si="367"/>
        <v/>
      </c>
      <c r="E7119" s="531"/>
      <c r="F7119" s="531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2" t="str">
        <f t="shared" si="367"/>
        <v/>
      </c>
      <c r="E7120" s="531"/>
      <c r="F7120" s="531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2" t="str">
        <f t="shared" si="367"/>
        <v/>
      </c>
      <c r="E7121" s="531"/>
      <c r="F7121" s="531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2" t="str">
        <f t="shared" si="367"/>
        <v/>
      </c>
      <c r="E7122" s="531"/>
      <c r="F7122" s="531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2" t="str">
        <f t="shared" si="367"/>
        <v/>
      </c>
      <c r="E7123" s="531"/>
      <c r="F7123" s="531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2" t="str">
        <f t="shared" si="367"/>
        <v/>
      </c>
      <c r="E7124" s="531"/>
      <c r="F7124" s="531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2" t="str">
        <f t="shared" si="367"/>
        <v/>
      </c>
      <c r="E7125" s="531"/>
      <c r="F7125" s="531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2" t="str">
        <f t="shared" si="367"/>
        <v/>
      </c>
      <c r="E7126" s="531"/>
      <c r="F7126" s="531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2" t="str">
        <f t="shared" si="367"/>
        <v/>
      </c>
      <c r="E7127" s="531"/>
      <c r="F7127" s="531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2" t="str">
        <f t="shared" si="367"/>
        <v/>
      </c>
      <c r="E7128" s="531"/>
      <c r="F7128" s="531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2" t="str">
        <f t="shared" si="367"/>
        <v/>
      </c>
      <c r="E7129" s="531"/>
      <c r="F7129" s="531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2" t="str">
        <f t="shared" si="367"/>
        <v/>
      </c>
      <c r="E7130" s="531"/>
      <c r="F7130" s="531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2" t="str">
        <f t="shared" si="367"/>
        <v/>
      </c>
      <c r="E7131" s="531"/>
      <c r="F7131" s="531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2" t="str">
        <f t="shared" si="367"/>
        <v/>
      </c>
      <c r="E7132" s="531"/>
      <c r="F7132" s="531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2" t="str">
        <f t="shared" si="367"/>
        <v/>
      </c>
      <c r="E7133" s="531"/>
      <c r="F7133" s="531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2" t="str">
        <f t="shared" si="367"/>
        <v/>
      </c>
      <c r="E7134" s="531"/>
      <c r="F7134" s="531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2" t="str">
        <f t="shared" si="367"/>
        <v/>
      </c>
      <c r="E7135" s="531"/>
      <c r="F7135" s="531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2" t="str">
        <f t="shared" si="367"/>
        <v/>
      </c>
      <c r="E7136" s="531"/>
      <c r="F7136" s="531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2" t="str">
        <f t="shared" si="367"/>
        <v/>
      </c>
      <c r="E7137" s="531"/>
      <c r="F7137" s="531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2" t="str">
        <f t="shared" si="367"/>
        <v/>
      </c>
      <c r="E7138" s="531"/>
      <c r="F7138" s="531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2" t="str">
        <f t="shared" si="367"/>
        <v/>
      </c>
      <c r="E7139" s="531"/>
      <c r="F7139" s="531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2" t="str">
        <f t="shared" si="367"/>
        <v/>
      </c>
      <c r="E7140" s="531"/>
      <c r="F7140" s="531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2" t="str">
        <f t="shared" si="367"/>
        <v/>
      </c>
      <c r="E7141" s="531"/>
      <c r="F7141" s="531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2" t="str">
        <f t="shared" si="367"/>
        <v/>
      </c>
      <c r="E7142" s="531"/>
      <c r="F7142" s="531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2" t="str">
        <f t="shared" si="367"/>
        <v/>
      </c>
      <c r="E7143" s="531"/>
      <c r="F7143" s="531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2" t="str">
        <f t="shared" si="367"/>
        <v/>
      </c>
      <c r="E7144" s="531"/>
      <c r="F7144" s="531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2" t="str">
        <f t="shared" si="367"/>
        <v/>
      </c>
      <c r="E7145" s="531"/>
      <c r="F7145" s="531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2" t="str">
        <f t="shared" si="367"/>
        <v/>
      </c>
      <c r="E7146" s="531"/>
      <c r="F7146" s="531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2" t="str">
        <f t="shared" si="367"/>
        <v/>
      </c>
      <c r="E7147" s="531"/>
      <c r="F7147" s="531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2" t="str">
        <f t="shared" si="367"/>
        <v/>
      </c>
      <c r="E7148" s="531"/>
      <c r="F7148" s="531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2" t="str">
        <f t="shared" si="367"/>
        <v/>
      </c>
      <c r="E7149" s="531"/>
      <c r="F7149" s="531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2" t="str">
        <f t="shared" si="367"/>
        <v/>
      </c>
      <c r="E7150" s="531"/>
      <c r="F7150" s="531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2" t="str">
        <f t="shared" si="367"/>
        <v/>
      </c>
      <c r="E7151" s="531"/>
      <c r="F7151" s="531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2" t="str">
        <f t="shared" si="367"/>
        <v/>
      </c>
      <c r="E7152" s="531"/>
      <c r="F7152" s="531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2" t="str">
        <f t="shared" si="367"/>
        <v/>
      </c>
      <c r="E7153" s="531"/>
      <c r="F7153" s="531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2" t="str">
        <f t="shared" si="367"/>
        <v/>
      </c>
      <c r="E7154" s="531"/>
      <c r="F7154" s="531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2" t="str">
        <f t="shared" si="367"/>
        <v/>
      </c>
      <c r="E7155" s="531"/>
      <c r="F7155" s="531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2" t="str">
        <f t="shared" si="367"/>
        <v/>
      </c>
      <c r="E7156" s="531"/>
      <c r="F7156" s="531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2" t="str">
        <f t="shared" si="367"/>
        <v/>
      </c>
      <c r="E7157" s="531"/>
      <c r="F7157" s="531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2" t="str">
        <f t="shared" si="367"/>
        <v/>
      </c>
      <c r="E7158" s="531"/>
      <c r="F7158" s="531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2" t="str">
        <f t="shared" si="367"/>
        <v/>
      </c>
      <c r="E7159" s="531"/>
      <c r="F7159" s="531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2" t="str">
        <f t="shared" si="367"/>
        <v/>
      </c>
      <c r="E7160" s="531"/>
      <c r="F7160" s="531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2" t="str">
        <f t="shared" si="367"/>
        <v/>
      </c>
      <c r="E7161" s="531"/>
      <c r="F7161" s="531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2" t="str">
        <f t="shared" si="367"/>
        <v/>
      </c>
      <c r="E7162" s="531"/>
      <c r="F7162" s="531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2" t="str">
        <f t="shared" si="367"/>
        <v/>
      </c>
      <c r="E7163" s="531"/>
      <c r="F7163" s="531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2" t="str">
        <f t="shared" si="367"/>
        <v/>
      </c>
      <c r="E7164" s="531"/>
      <c r="F7164" s="531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2" t="str">
        <f t="shared" si="367"/>
        <v/>
      </c>
      <c r="E7165" s="531"/>
      <c r="F7165" s="531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2" t="str">
        <f t="shared" si="367"/>
        <v/>
      </c>
      <c r="E7166" s="531"/>
      <c r="F7166" s="531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2" t="str">
        <f t="shared" si="367"/>
        <v/>
      </c>
      <c r="E7167" s="531"/>
      <c r="F7167" s="531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2" t="str">
        <f t="shared" si="367"/>
        <v/>
      </c>
      <c r="E7168" s="531"/>
      <c r="F7168" s="531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2" t="str">
        <f t="shared" si="367"/>
        <v/>
      </c>
      <c r="E7169" s="531"/>
      <c r="F7169" s="531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2" t="str">
        <f t="shared" si="367"/>
        <v/>
      </c>
      <c r="E7170" s="531"/>
      <c r="F7170" s="531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2" t="str">
        <f t="shared" si="367"/>
        <v/>
      </c>
      <c r="E7171" s="531"/>
      <c r="F7171" s="531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2" t="str">
        <f t="shared" si="367"/>
        <v/>
      </c>
      <c r="E7172" s="531"/>
      <c r="F7172" s="531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2" t="str">
        <f t="shared" si="367"/>
        <v/>
      </c>
      <c r="E7173" s="531"/>
      <c r="F7173" s="531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2" t="str">
        <f t="shared" si="367"/>
        <v/>
      </c>
      <c r="E7174" s="531"/>
      <c r="F7174" s="531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2" t="str">
        <f t="shared" si="367"/>
        <v/>
      </c>
      <c r="E7175" s="531"/>
      <c r="F7175" s="531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2" t="str">
        <f t="shared" si="367"/>
        <v/>
      </c>
      <c r="E7176" s="531"/>
      <c r="F7176" s="531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2" t="str">
        <f t="shared" ref="D7177:D7240" si="370">IF(A7177&lt;&gt;"",PROPER(TEXT(A7177,"Mmmm")),"")</f>
        <v/>
      </c>
      <c r="E7177" s="531"/>
      <c r="F7177" s="531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2" t="str">
        <f t="shared" si="370"/>
        <v/>
      </c>
      <c r="E7178" s="531"/>
      <c r="F7178" s="531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2" t="str">
        <f t="shared" si="370"/>
        <v/>
      </c>
      <c r="E7179" s="531"/>
      <c r="F7179" s="531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2" t="str">
        <f t="shared" si="370"/>
        <v/>
      </c>
      <c r="E7180" s="531"/>
      <c r="F7180" s="531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2" t="str">
        <f t="shared" si="370"/>
        <v/>
      </c>
      <c r="E7181" s="531"/>
      <c r="F7181" s="531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2" t="str">
        <f t="shared" si="370"/>
        <v/>
      </c>
      <c r="E7182" s="531"/>
      <c r="F7182" s="531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2" t="str">
        <f t="shared" si="370"/>
        <v/>
      </c>
      <c r="E7183" s="531"/>
      <c r="F7183" s="531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2" t="str">
        <f t="shared" si="370"/>
        <v/>
      </c>
      <c r="E7184" s="531"/>
      <c r="F7184" s="531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2" t="str">
        <f t="shared" si="370"/>
        <v/>
      </c>
      <c r="E7185" s="531"/>
      <c r="F7185" s="531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2" t="str">
        <f t="shared" si="370"/>
        <v/>
      </c>
      <c r="E7186" s="531"/>
      <c r="F7186" s="531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2" t="str">
        <f t="shared" si="370"/>
        <v/>
      </c>
      <c r="E7187" s="531"/>
      <c r="F7187" s="531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2" t="str">
        <f t="shared" si="370"/>
        <v/>
      </c>
      <c r="E7188" s="531"/>
      <c r="F7188" s="531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2" t="str">
        <f t="shared" si="370"/>
        <v/>
      </c>
      <c r="E7189" s="531"/>
      <c r="F7189" s="531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2" t="str">
        <f t="shared" si="370"/>
        <v/>
      </c>
      <c r="E7190" s="531"/>
      <c r="F7190" s="531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2" t="str">
        <f t="shared" si="370"/>
        <v/>
      </c>
      <c r="E7191" s="531"/>
      <c r="F7191" s="531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2" t="str">
        <f t="shared" si="370"/>
        <v/>
      </c>
      <c r="E7192" s="531"/>
      <c r="F7192" s="531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2" t="str">
        <f t="shared" si="370"/>
        <v/>
      </c>
      <c r="E7193" s="531"/>
      <c r="F7193" s="531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2" t="str">
        <f t="shared" si="370"/>
        <v/>
      </c>
      <c r="E7194" s="531"/>
      <c r="F7194" s="531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2" t="str">
        <f t="shared" si="370"/>
        <v/>
      </c>
      <c r="E7195" s="531"/>
      <c r="F7195" s="531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2" t="str">
        <f t="shared" si="370"/>
        <v/>
      </c>
      <c r="E7196" s="531"/>
      <c r="F7196" s="531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2" t="str">
        <f t="shared" si="370"/>
        <v/>
      </c>
      <c r="E7197" s="531"/>
      <c r="F7197" s="531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2" t="str">
        <f t="shared" si="370"/>
        <v/>
      </c>
      <c r="E7198" s="531"/>
      <c r="F7198" s="531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2" t="str">
        <f t="shared" si="370"/>
        <v/>
      </c>
      <c r="E7199" s="531"/>
      <c r="F7199" s="531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2" t="str">
        <f t="shared" si="370"/>
        <v/>
      </c>
      <c r="E7200" s="531"/>
      <c r="F7200" s="531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2" t="str">
        <f t="shared" si="370"/>
        <v/>
      </c>
      <c r="E7201" s="531"/>
      <c r="F7201" s="531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2" t="str">
        <f t="shared" si="370"/>
        <v/>
      </c>
      <c r="E7202" s="531"/>
      <c r="F7202" s="531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2" t="str">
        <f t="shared" si="370"/>
        <v/>
      </c>
      <c r="E7203" s="531"/>
      <c r="F7203" s="531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2" t="str">
        <f t="shared" si="370"/>
        <v/>
      </c>
      <c r="E7204" s="531"/>
      <c r="F7204" s="531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2" t="str">
        <f t="shared" si="370"/>
        <v/>
      </c>
      <c r="E7205" s="531"/>
      <c r="F7205" s="531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2" t="str">
        <f t="shared" si="370"/>
        <v/>
      </c>
      <c r="E7206" s="531"/>
      <c r="F7206" s="531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2" t="str">
        <f t="shared" si="370"/>
        <v/>
      </c>
      <c r="E7207" s="531"/>
      <c r="F7207" s="531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2" t="str">
        <f t="shared" si="370"/>
        <v/>
      </c>
      <c r="E7208" s="531"/>
      <c r="F7208" s="531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2" t="str">
        <f t="shared" si="370"/>
        <v/>
      </c>
      <c r="E7209" s="531"/>
      <c r="F7209" s="531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2" t="str">
        <f t="shared" si="370"/>
        <v/>
      </c>
      <c r="E7210" s="531"/>
      <c r="F7210" s="531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2" t="str">
        <f t="shared" si="370"/>
        <v/>
      </c>
      <c r="E7211" s="531"/>
      <c r="F7211" s="531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2" t="str">
        <f t="shared" si="370"/>
        <v/>
      </c>
      <c r="E7212" s="531"/>
      <c r="F7212" s="531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2" t="str">
        <f t="shared" si="370"/>
        <v/>
      </c>
      <c r="E7213" s="531"/>
      <c r="F7213" s="531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2" t="str">
        <f t="shared" si="370"/>
        <v/>
      </c>
      <c r="E7214" s="531"/>
      <c r="F7214" s="531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2" t="str">
        <f t="shared" si="370"/>
        <v/>
      </c>
      <c r="E7215" s="531"/>
      <c r="F7215" s="531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2" t="str">
        <f t="shared" si="370"/>
        <v/>
      </c>
      <c r="E7216" s="531"/>
      <c r="F7216" s="531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2" t="str">
        <f t="shared" si="370"/>
        <v/>
      </c>
      <c r="E7217" s="531"/>
      <c r="F7217" s="531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2" t="str">
        <f t="shared" si="370"/>
        <v/>
      </c>
      <c r="E7218" s="531"/>
      <c r="F7218" s="531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2" t="str">
        <f t="shared" si="370"/>
        <v/>
      </c>
      <c r="E7219" s="531"/>
      <c r="F7219" s="531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2" t="str">
        <f t="shared" si="370"/>
        <v/>
      </c>
      <c r="E7220" s="531"/>
      <c r="F7220" s="531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2" t="str">
        <f t="shared" si="370"/>
        <v/>
      </c>
      <c r="E7221" s="531"/>
      <c r="F7221" s="531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2" t="str">
        <f t="shared" si="370"/>
        <v/>
      </c>
      <c r="E7222" s="531"/>
      <c r="F7222" s="531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2" t="str">
        <f t="shared" si="370"/>
        <v/>
      </c>
      <c r="E7223" s="531"/>
      <c r="F7223" s="531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2" t="str">
        <f t="shared" si="370"/>
        <v/>
      </c>
      <c r="E7224" s="531"/>
      <c r="F7224" s="531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2" t="str">
        <f t="shared" si="370"/>
        <v/>
      </c>
      <c r="E7225" s="531"/>
      <c r="F7225" s="531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2" t="str">
        <f t="shared" si="370"/>
        <v/>
      </c>
      <c r="E7226" s="531"/>
      <c r="F7226" s="531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2" t="str">
        <f t="shared" si="370"/>
        <v/>
      </c>
      <c r="E7227" s="531"/>
      <c r="F7227" s="531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2" t="str">
        <f t="shared" si="370"/>
        <v/>
      </c>
      <c r="E7228" s="531"/>
      <c r="F7228" s="531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2" t="str">
        <f t="shared" si="370"/>
        <v/>
      </c>
      <c r="E7229" s="531"/>
      <c r="F7229" s="531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2" t="str">
        <f t="shared" si="370"/>
        <v/>
      </c>
      <c r="E7230" s="531"/>
      <c r="F7230" s="531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2" t="str">
        <f t="shared" si="370"/>
        <v/>
      </c>
      <c r="E7231" s="531"/>
      <c r="F7231" s="531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2" t="str">
        <f t="shared" si="370"/>
        <v/>
      </c>
      <c r="E7232" s="531"/>
      <c r="F7232" s="531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2" t="str">
        <f t="shared" si="370"/>
        <v/>
      </c>
      <c r="E7233" s="531"/>
      <c r="F7233" s="531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2" t="str">
        <f t="shared" si="370"/>
        <v/>
      </c>
      <c r="E7234" s="531"/>
      <c r="F7234" s="531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2" t="str">
        <f t="shared" si="370"/>
        <v/>
      </c>
      <c r="E7235" s="531"/>
      <c r="F7235" s="531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2" t="str">
        <f t="shared" si="370"/>
        <v/>
      </c>
      <c r="E7236" s="531"/>
      <c r="F7236" s="531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2" t="str">
        <f t="shared" si="370"/>
        <v/>
      </c>
      <c r="E7237" s="531"/>
      <c r="F7237" s="531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2" t="str">
        <f t="shared" si="370"/>
        <v/>
      </c>
      <c r="E7238" s="531"/>
      <c r="F7238" s="531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2" t="str">
        <f t="shared" si="370"/>
        <v/>
      </c>
      <c r="E7239" s="531"/>
      <c r="F7239" s="531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2" t="str">
        <f t="shared" si="370"/>
        <v/>
      </c>
      <c r="E7240" s="531"/>
      <c r="F7240" s="531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2" t="str">
        <f t="shared" ref="D7241:D7304" si="373">IF(A7241&lt;&gt;"",PROPER(TEXT(A7241,"Mmmm")),"")</f>
        <v/>
      </c>
      <c r="E7241" s="531"/>
      <c r="F7241" s="531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2" t="str">
        <f t="shared" si="373"/>
        <v/>
      </c>
      <c r="E7242" s="531"/>
      <c r="F7242" s="531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2" t="str">
        <f t="shared" si="373"/>
        <v/>
      </c>
      <c r="E7243" s="531"/>
      <c r="F7243" s="531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2" t="str">
        <f t="shared" si="373"/>
        <v/>
      </c>
      <c r="E7244" s="531"/>
      <c r="F7244" s="531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2" t="str">
        <f t="shared" si="373"/>
        <v/>
      </c>
      <c r="E7245" s="531"/>
      <c r="F7245" s="531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2" t="str">
        <f t="shared" si="373"/>
        <v/>
      </c>
      <c r="E7246" s="531"/>
      <c r="F7246" s="531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2" t="str">
        <f t="shared" si="373"/>
        <v/>
      </c>
      <c r="E7247" s="531"/>
      <c r="F7247" s="531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2" t="str">
        <f t="shared" si="373"/>
        <v/>
      </c>
      <c r="E7248" s="531"/>
      <c r="F7248" s="531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2" t="str">
        <f t="shared" si="373"/>
        <v/>
      </c>
      <c r="E7249" s="531"/>
      <c r="F7249" s="531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2" t="str">
        <f t="shared" si="373"/>
        <v/>
      </c>
      <c r="E7250" s="531"/>
      <c r="F7250" s="531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2" t="str">
        <f t="shared" si="373"/>
        <v/>
      </c>
      <c r="E7251" s="531"/>
      <c r="F7251" s="531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2" t="str">
        <f t="shared" si="373"/>
        <v/>
      </c>
      <c r="E7252" s="531"/>
      <c r="F7252" s="531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2" t="str">
        <f t="shared" si="373"/>
        <v/>
      </c>
      <c r="E7253" s="531"/>
      <c r="F7253" s="531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2" t="str">
        <f t="shared" si="373"/>
        <v/>
      </c>
      <c r="E7254" s="531"/>
      <c r="F7254" s="531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2" t="str">
        <f t="shared" si="373"/>
        <v/>
      </c>
      <c r="E7255" s="531"/>
      <c r="F7255" s="531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2" t="str">
        <f t="shared" si="373"/>
        <v/>
      </c>
      <c r="E7256" s="531"/>
      <c r="F7256" s="531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2" t="str">
        <f t="shared" si="373"/>
        <v/>
      </c>
      <c r="E7257" s="531"/>
      <c r="F7257" s="531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2" t="str">
        <f t="shared" si="373"/>
        <v/>
      </c>
      <c r="E7258" s="531"/>
      <c r="F7258" s="531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2" t="str">
        <f t="shared" si="373"/>
        <v/>
      </c>
      <c r="E7259" s="531"/>
      <c r="F7259" s="531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2" t="str">
        <f t="shared" si="373"/>
        <v/>
      </c>
      <c r="E7260" s="531"/>
      <c r="F7260" s="531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2" t="str">
        <f t="shared" si="373"/>
        <v/>
      </c>
      <c r="E7261" s="531"/>
      <c r="F7261" s="531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2" t="str">
        <f t="shared" si="373"/>
        <v/>
      </c>
      <c r="E7262" s="531"/>
      <c r="F7262" s="531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2" t="str">
        <f t="shared" si="373"/>
        <v/>
      </c>
      <c r="E7263" s="531"/>
      <c r="F7263" s="531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2" t="str">
        <f t="shared" si="373"/>
        <v/>
      </c>
      <c r="E7264" s="531"/>
      <c r="F7264" s="531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2" t="str">
        <f t="shared" si="373"/>
        <v/>
      </c>
      <c r="E7265" s="531"/>
      <c r="F7265" s="531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2" t="str">
        <f t="shared" si="373"/>
        <v/>
      </c>
      <c r="E7266" s="531"/>
      <c r="F7266" s="531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2" t="str">
        <f t="shared" si="373"/>
        <v/>
      </c>
      <c r="E7267" s="531"/>
      <c r="F7267" s="531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2" t="str">
        <f t="shared" si="373"/>
        <v/>
      </c>
      <c r="E7268" s="531"/>
      <c r="F7268" s="531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2" t="str">
        <f t="shared" si="373"/>
        <v/>
      </c>
      <c r="E7269" s="531"/>
      <c r="F7269" s="531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2" t="str">
        <f t="shared" si="373"/>
        <v/>
      </c>
      <c r="E7270" s="531"/>
      <c r="F7270" s="531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2" t="str">
        <f t="shared" si="373"/>
        <v/>
      </c>
      <c r="E7271" s="531"/>
      <c r="F7271" s="531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2" t="str">
        <f t="shared" si="373"/>
        <v/>
      </c>
      <c r="E7272" s="531"/>
      <c r="F7272" s="531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2" t="str">
        <f t="shared" si="373"/>
        <v/>
      </c>
      <c r="E7273" s="531"/>
      <c r="F7273" s="531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2" t="str">
        <f t="shared" si="373"/>
        <v/>
      </c>
      <c r="E7274" s="531"/>
      <c r="F7274" s="531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2" t="str">
        <f t="shared" si="373"/>
        <v/>
      </c>
      <c r="E7275" s="531"/>
      <c r="F7275" s="531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2" t="str">
        <f t="shared" si="373"/>
        <v/>
      </c>
      <c r="E7276" s="531"/>
      <c r="F7276" s="531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2" t="str">
        <f t="shared" si="373"/>
        <v/>
      </c>
      <c r="E7277" s="531"/>
      <c r="F7277" s="531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2" t="str">
        <f t="shared" si="373"/>
        <v/>
      </c>
      <c r="E7278" s="531"/>
      <c r="F7278" s="531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2" t="str">
        <f t="shared" si="373"/>
        <v/>
      </c>
      <c r="E7279" s="531"/>
      <c r="F7279" s="531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2" t="str">
        <f t="shared" si="373"/>
        <v/>
      </c>
      <c r="E7280" s="531"/>
      <c r="F7280" s="531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2" t="str">
        <f t="shared" si="373"/>
        <v/>
      </c>
      <c r="E7281" s="531"/>
      <c r="F7281" s="531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2" t="str">
        <f t="shared" si="373"/>
        <v/>
      </c>
      <c r="E7282" s="531"/>
      <c r="F7282" s="531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2" t="str">
        <f t="shared" si="373"/>
        <v/>
      </c>
      <c r="E7283" s="531"/>
      <c r="F7283" s="531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2" t="str">
        <f t="shared" si="373"/>
        <v/>
      </c>
      <c r="E7284" s="531"/>
      <c r="F7284" s="531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2" t="str">
        <f t="shared" si="373"/>
        <v/>
      </c>
      <c r="E7285" s="531"/>
      <c r="F7285" s="531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2" t="str">
        <f t="shared" si="373"/>
        <v/>
      </c>
      <c r="E7286" s="531"/>
      <c r="F7286" s="531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2" t="str">
        <f t="shared" si="373"/>
        <v/>
      </c>
      <c r="E7287" s="531"/>
      <c r="F7287" s="531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2" t="str">
        <f t="shared" si="373"/>
        <v/>
      </c>
      <c r="E7288" s="531"/>
      <c r="F7288" s="531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2" t="str">
        <f t="shared" si="373"/>
        <v/>
      </c>
      <c r="E7289" s="531"/>
      <c r="F7289" s="531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2" t="str">
        <f t="shared" si="373"/>
        <v/>
      </c>
      <c r="E7290" s="531"/>
      <c r="F7290" s="531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2" t="str">
        <f t="shared" si="373"/>
        <v/>
      </c>
      <c r="E7291" s="531"/>
      <c r="F7291" s="531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2" t="str">
        <f t="shared" si="373"/>
        <v/>
      </c>
      <c r="E7292" s="531"/>
      <c r="F7292" s="531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2" t="str">
        <f t="shared" si="373"/>
        <v/>
      </c>
      <c r="E7293" s="531"/>
      <c r="F7293" s="531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2" t="str">
        <f t="shared" si="373"/>
        <v/>
      </c>
      <c r="E7294" s="531"/>
      <c r="F7294" s="531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2" t="str">
        <f t="shared" si="373"/>
        <v/>
      </c>
      <c r="E7295" s="531"/>
      <c r="F7295" s="531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2" t="str">
        <f t="shared" si="373"/>
        <v/>
      </c>
      <c r="E7296" s="531"/>
      <c r="F7296" s="531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2" t="str">
        <f t="shared" si="373"/>
        <v/>
      </c>
      <c r="E7297" s="531"/>
      <c r="F7297" s="531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2" t="str">
        <f t="shared" si="373"/>
        <v/>
      </c>
      <c r="E7298" s="531"/>
      <c r="F7298" s="531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2" t="str">
        <f t="shared" si="373"/>
        <v/>
      </c>
      <c r="E7299" s="531"/>
      <c r="F7299" s="531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2" t="str">
        <f t="shared" si="373"/>
        <v/>
      </c>
      <c r="E7300" s="531"/>
      <c r="F7300" s="531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2" t="str">
        <f t="shared" si="373"/>
        <v/>
      </c>
      <c r="E7301" s="531"/>
      <c r="F7301" s="531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2" t="str">
        <f t="shared" si="373"/>
        <v/>
      </c>
      <c r="E7302" s="531"/>
      <c r="F7302" s="531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2" t="str">
        <f t="shared" si="373"/>
        <v/>
      </c>
      <c r="E7303" s="531"/>
      <c r="F7303" s="531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2" t="str">
        <f t="shared" si="373"/>
        <v/>
      </c>
      <c r="E7304" s="531"/>
      <c r="F7304" s="531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2" t="str">
        <f t="shared" ref="D7305:D7368" si="376">IF(A7305&lt;&gt;"",PROPER(TEXT(A7305,"Mmmm")),"")</f>
        <v/>
      </c>
      <c r="E7305" s="531"/>
      <c r="F7305" s="531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2" t="str">
        <f t="shared" si="376"/>
        <v/>
      </c>
      <c r="E7306" s="531"/>
      <c r="F7306" s="531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2" t="str">
        <f t="shared" si="376"/>
        <v/>
      </c>
      <c r="E7307" s="531"/>
      <c r="F7307" s="531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2" t="str">
        <f t="shared" si="376"/>
        <v/>
      </c>
      <c r="E7308" s="531"/>
      <c r="F7308" s="531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2" t="str">
        <f t="shared" si="376"/>
        <v/>
      </c>
      <c r="E7309" s="531"/>
      <c r="F7309" s="531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2" t="str">
        <f t="shared" si="376"/>
        <v/>
      </c>
      <c r="E7310" s="531"/>
      <c r="F7310" s="531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2" t="str">
        <f t="shared" si="376"/>
        <v/>
      </c>
      <c r="E7311" s="531"/>
      <c r="F7311" s="531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2" t="str">
        <f t="shared" si="376"/>
        <v/>
      </c>
      <c r="E7312" s="531"/>
      <c r="F7312" s="531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2" t="str">
        <f t="shared" si="376"/>
        <v/>
      </c>
      <c r="E7313" s="531"/>
      <c r="F7313" s="531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2" t="str">
        <f t="shared" si="376"/>
        <v/>
      </c>
      <c r="E7314" s="531"/>
      <c r="F7314" s="531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2" t="str">
        <f t="shared" si="376"/>
        <v/>
      </c>
      <c r="E7315" s="531"/>
      <c r="F7315" s="531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2" t="str">
        <f t="shared" si="376"/>
        <v/>
      </c>
      <c r="E7316" s="531"/>
      <c r="F7316" s="531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2" t="str">
        <f t="shared" si="376"/>
        <v/>
      </c>
      <c r="E7317" s="531"/>
      <c r="F7317" s="531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2" t="str">
        <f t="shared" si="376"/>
        <v/>
      </c>
      <c r="E7318" s="531"/>
      <c r="F7318" s="531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2" t="str">
        <f t="shared" si="376"/>
        <v/>
      </c>
      <c r="E7319" s="531"/>
      <c r="F7319" s="531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2" t="str">
        <f t="shared" si="376"/>
        <v/>
      </c>
      <c r="E7320" s="531"/>
      <c r="F7320" s="531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2" t="str">
        <f t="shared" si="376"/>
        <v/>
      </c>
      <c r="E7321" s="531"/>
      <c r="F7321" s="531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2" t="str">
        <f t="shared" si="376"/>
        <v/>
      </c>
      <c r="E7322" s="531"/>
      <c r="F7322" s="531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2" t="str">
        <f t="shared" si="376"/>
        <v/>
      </c>
      <c r="E7323" s="531"/>
      <c r="F7323" s="531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2" t="str">
        <f t="shared" si="376"/>
        <v/>
      </c>
      <c r="E7324" s="531"/>
      <c r="F7324" s="531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2" t="str">
        <f t="shared" si="376"/>
        <v/>
      </c>
      <c r="E7325" s="531"/>
      <c r="F7325" s="531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2" t="str">
        <f t="shared" si="376"/>
        <v/>
      </c>
      <c r="E7326" s="531"/>
      <c r="F7326" s="531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2" t="str">
        <f t="shared" si="376"/>
        <v/>
      </c>
      <c r="E7327" s="531"/>
      <c r="F7327" s="531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2" t="str">
        <f t="shared" si="376"/>
        <v/>
      </c>
      <c r="E7328" s="531"/>
      <c r="F7328" s="531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2" t="str">
        <f t="shared" si="376"/>
        <v/>
      </c>
      <c r="E7329" s="531"/>
      <c r="F7329" s="531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2" t="str">
        <f t="shared" si="376"/>
        <v/>
      </c>
      <c r="E7330" s="531"/>
      <c r="F7330" s="531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2" t="str">
        <f t="shared" si="376"/>
        <v/>
      </c>
      <c r="E7331" s="531"/>
      <c r="F7331" s="531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2" t="str">
        <f t="shared" si="376"/>
        <v/>
      </c>
      <c r="E7332" s="531"/>
      <c r="F7332" s="531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2" t="str">
        <f t="shared" si="376"/>
        <v/>
      </c>
      <c r="E7333" s="531"/>
      <c r="F7333" s="531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2" t="str">
        <f t="shared" si="376"/>
        <v/>
      </c>
      <c r="E7334" s="531"/>
      <c r="F7334" s="531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2" t="str">
        <f t="shared" si="376"/>
        <v/>
      </c>
      <c r="E7335" s="531"/>
      <c r="F7335" s="531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2" t="str">
        <f t="shared" si="376"/>
        <v/>
      </c>
      <c r="E7336" s="531"/>
      <c r="F7336" s="531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2" t="str">
        <f t="shared" si="376"/>
        <v/>
      </c>
      <c r="E7337" s="531"/>
      <c r="F7337" s="531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2" t="str">
        <f t="shared" si="376"/>
        <v/>
      </c>
      <c r="E7338" s="531"/>
      <c r="F7338" s="531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2" t="str">
        <f t="shared" si="376"/>
        <v/>
      </c>
      <c r="E7339" s="531"/>
      <c r="F7339" s="531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2" t="str">
        <f t="shared" si="376"/>
        <v/>
      </c>
      <c r="E7340" s="531"/>
      <c r="F7340" s="531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2" t="str">
        <f t="shared" si="376"/>
        <v/>
      </c>
      <c r="E7341" s="531"/>
      <c r="F7341" s="531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2" t="str">
        <f t="shared" si="376"/>
        <v/>
      </c>
      <c r="E7342" s="531"/>
      <c r="F7342" s="531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2" t="str">
        <f t="shared" si="376"/>
        <v/>
      </c>
      <c r="E7343" s="531"/>
      <c r="F7343" s="531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2" t="str">
        <f t="shared" si="376"/>
        <v/>
      </c>
      <c r="E7344" s="531"/>
      <c r="F7344" s="531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2" t="str">
        <f t="shared" si="376"/>
        <v/>
      </c>
      <c r="E7345" s="531"/>
      <c r="F7345" s="531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2" t="str">
        <f t="shared" si="376"/>
        <v/>
      </c>
      <c r="E7346" s="531"/>
      <c r="F7346" s="531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2" t="str">
        <f t="shared" si="376"/>
        <v/>
      </c>
      <c r="E7347" s="531"/>
      <c r="F7347" s="531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2" t="str">
        <f t="shared" si="376"/>
        <v/>
      </c>
      <c r="E7348" s="531"/>
      <c r="F7348" s="531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2" t="str">
        <f t="shared" si="376"/>
        <v/>
      </c>
      <c r="E7349" s="531"/>
      <c r="F7349" s="531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2" t="str">
        <f t="shared" si="376"/>
        <v/>
      </c>
      <c r="E7350" s="531"/>
      <c r="F7350" s="531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2" t="str">
        <f t="shared" si="376"/>
        <v/>
      </c>
      <c r="E7351" s="531"/>
      <c r="F7351" s="531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2" t="str">
        <f t="shared" si="376"/>
        <v/>
      </c>
      <c r="E7352" s="531"/>
      <c r="F7352" s="531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2" t="str">
        <f t="shared" si="376"/>
        <v/>
      </c>
      <c r="E7353" s="531"/>
      <c r="F7353" s="531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2" t="str">
        <f t="shared" si="376"/>
        <v/>
      </c>
      <c r="E7354" s="531"/>
      <c r="F7354" s="531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2" t="str">
        <f t="shared" si="376"/>
        <v/>
      </c>
      <c r="E7355" s="531"/>
      <c r="F7355" s="531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2" t="str">
        <f t="shared" si="376"/>
        <v/>
      </c>
      <c r="E7356" s="531"/>
      <c r="F7356" s="531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2" t="str">
        <f t="shared" si="376"/>
        <v/>
      </c>
      <c r="E7357" s="531"/>
      <c r="F7357" s="531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2" t="str">
        <f t="shared" si="376"/>
        <v/>
      </c>
      <c r="E7358" s="531"/>
      <c r="F7358" s="531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2" t="str">
        <f t="shared" si="376"/>
        <v/>
      </c>
      <c r="E7359" s="531"/>
      <c r="F7359" s="531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2" t="str">
        <f t="shared" si="376"/>
        <v/>
      </c>
      <c r="E7360" s="531"/>
      <c r="F7360" s="531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2" t="str">
        <f t="shared" si="376"/>
        <v/>
      </c>
      <c r="E7361" s="531"/>
      <c r="F7361" s="531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2" t="str">
        <f t="shared" si="376"/>
        <v/>
      </c>
      <c r="E7362" s="531"/>
      <c r="F7362" s="531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2" t="str">
        <f t="shared" si="376"/>
        <v/>
      </c>
      <c r="E7363" s="531"/>
      <c r="F7363" s="531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2" t="str">
        <f t="shared" si="376"/>
        <v/>
      </c>
      <c r="E7364" s="531"/>
      <c r="F7364" s="531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2" t="str">
        <f t="shared" si="376"/>
        <v/>
      </c>
      <c r="E7365" s="531"/>
      <c r="F7365" s="531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2" t="str">
        <f t="shared" si="376"/>
        <v/>
      </c>
      <c r="E7366" s="531"/>
      <c r="F7366" s="531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2" t="str">
        <f t="shared" si="376"/>
        <v/>
      </c>
      <c r="E7367" s="531"/>
      <c r="F7367" s="531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2" t="str">
        <f t="shared" si="376"/>
        <v/>
      </c>
      <c r="E7368" s="531"/>
      <c r="F7368" s="531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2" t="str">
        <f t="shared" ref="D7369:D7432" si="379">IF(A7369&lt;&gt;"",PROPER(TEXT(A7369,"Mmmm")),"")</f>
        <v/>
      </c>
      <c r="E7369" s="531"/>
      <c r="F7369" s="531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2" t="str">
        <f t="shared" si="379"/>
        <v/>
      </c>
      <c r="E7370" s="531"/>
      <c r="F7370" s="531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2" t="str">
        <f t="shared" si="379"/>
        <v/>
      </c>
      <c r="E7371" s="531"/>
      <c r="F7371" s="531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2" t="str">
        <f t="shared" si="379"/>
        <v/>
      </c>
      <c r="E7372" s="531"/>
      <c r="F7372" s="531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2" t="str">
        <f t="shared" si="379"/>
        <v/>
      </c>
      <c r="E7373" s="531"/>
      <c r="F7373" s="531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2" t="str">
        <f t="shared" si="379"/>
        <v/>
      </c>
      <c r="E7374" s="531"/>
      <c r="F7374" s="531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2" t="str">
        <f t="shared" si="379"/>
        <v/>
      </c>
      <c r="E7375" s="531"/>
      <c r="F7375" s="531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2" t="str">
        <f t="shared" si="379"/>
        <v/>
      </c>
      <c r="E7376" s="531"/>
      <c r="F7376" s="531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2" t="str">
        <f t="shared" si="379"/>
        <v/>
      </c>
      <c r="E7377" s="531"/>
      <c r="F7377" s="531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2" t="str">
        <f t="shared" si="379"/>
        <v/>
      </c>
      <c r="E7378" s="531"/>
      <c r="F7378" s="531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2" t="str">
        <f t="shared" si="379"/>
        <v/>
      </c>
      <c r="E7379" s="531"/>
      <c r="F7379" s="531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2" t="str">
        <f t="shared" si="379"/>
        <v/>
      </c>
      <c r="E7380" s="531"/>
      <c r="F7380" s="531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2" t="str">
        <f t="shared" si="379"/>
        <v/>
      </c>
      <c r="E7381" s="531"/>
      <c r="F7381" s="531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2" t="str">
        <f t="shared" si="379"/>
        <v/>
      </c>
      <c r="E7382" s="531"/>
      <c r="F7382" s="531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2" t="str">
        <f t="shared" si="379"/>
        <v/>
      </c>
      <c r="E7383" s="531"/>
      <c r="F7383" s="531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2" t="str">
        <f t="shared" si="379"/>
        <v/>
      </c>
      <c r="E7384" s="531"/>
      <c r="F7384" s="531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2" t="str">
        <f t="shared" si="379"/>
        <v/>
      </c>
      <c r="E7385" s="531"/>
      <c r="F7385" s="531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2" t="str">
        <f t="shared" si="379"/>
        <v/>
      </c>
      <c r="E7386" s="531"/>
      <c r="F7386" s="531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2" t="str">
        <f t="shared" si="379"/>
        <v/>
      </c>
      <c r="E7387" s="531"/>
      <c r="F7387" s="531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2" t="str">
        <f t="shared" si="379"/>
        <v/>
      </c>
      <c r="E7388" s="531"/>
      <c r="F7388" s="531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2" t="str">
        <f t="shared" si="379"/>
        <v/>
      </c>
      <c r="E7389" s="531"/>
      <c r="F7389" s="531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2" t="str">
        <f t="shared" si="379"/>
        <v/>
      </c>
      <c r="E7390" s="531"/>
      <c r="F7390" s="531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2" t="str">
        <f t="shared" si="379"/>
        <v/>
      </c>
      <c r="E7391" s="531"/>
      <c r="F7391" s="531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2" t="str">
        <f t="shared" si="379"/>
        <v/>
      </c>
      <c r="E7392" s="531"/>
      <c r="F7392" s="531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2" t="str">
        <f t="shared" si="379"/>
        <v/>
      </c>
      <c r="E7393" s="531"/>
      <c r="F7393" s="531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2" t="str">
        <f t="shared" si="379"/>
        <v/>
      </c>
      <c r="E7394" s="531"/>
      <c r="F7394" s="531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2" t="str">
        <f t="shared" si="379"/>
        <v/>
      </c>
      <c r="E7395" s="531"/>
      <c r="F7395" s="531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2" t="str">
        <f t="shared" si="379"/>
        <v/>
      </c>
      <c r="E7396" s="531"/>
      <c r="F7396" s="531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2" t="str">
        <f t="shared" si="379"/>
        <v/>
      </c>
      <c r="E7397" s="531"/>
      <c r="F7397" s="531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2" t="str">
        <f t="shared" si="379"/>
        <v/>
      </c>
      <c r="E7398" s="531"/>
      <c r="F7398" s="531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2" t="str">
        <f t="shared" si="379"/>
        <v/>
      </c>
      <c r="E7399" s="531"/>
      <c r="F7399" s="531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2" t="str">
        <f t="shared" si="379"/>
        <v/>
      </c>
      <c r="E7400" s="531"/>
      <c r="F7400" s="531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2" t="str">
        <f t="shared" si="379"/>
        <v/>
      </c>
      <c r="E7401" s="531"/>
      <c r="F7401" s="531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2" t="str">
        <f t="shared" si="379"/>
        <v/>
      </c>
      <c r="E7402" s="531"/>
      <c r="F7402" s="531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2" t="str">
        <f t="shared" si="379"/>
        <v/>
      </c>
      <c r="E7403" s="531"/>
      <c r="F7403" s="531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2" t="str">
        <f t="shared" si="379"/>
        <v/>
      </c>
      <c r="E7404" s="531"/>
      <c r="F7404" s="531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2" t="str">
        <f t="shared" si="379"/>
        <v/>
      </c>
      <c r="E7405" s="531"/>
      <c r="F7405" s="531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2" t="str">
        <f t="shared" si="379"/>
        <v/>
      </c>
      <c r="E7406" s="531"/>
      <c r="F7406" s="531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2" t="str">
        <f t="shared" si="379"/>
        <v/>
      </c>
      <c r="E7407" s="531"/>
      <c r="F7407" s="531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2" t="str">
        <f t="shared" si="379"/>
        <v/>
      </c>
      <c r="E7408" s="531"/>
      <c r="F7408" s="531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2" t="str">
        <f t="shared" si="379"/>
        <v/>
      </c>
      <c r="E7409" s="531"/>
      <c r="F7409" s="531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2" t="str">
        <f t="shared" si="379"/>
        <v/>
      </c>
      <c r="E7410" s="531"/>
      <c r="F7410" s="531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2" t="str">
        <f t="shared" si="379"/>
        <v/>
      </c>
      <c r="E7411" s="531"/>
      <c r="F7411" s="531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2" t="str">
        <f t="shared" si="379"/>
        <v/>
      </c>
      <c r="E7412" s="531"/>
      <c r="F7412" s="531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2" t="str">
        <f t="shared" si="379"/>
        <v/>
      </c>
      <c r="E7413" s="531"/>
      <c r="F7413" s="531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2" t="str">
        <f t="shared" si="379"/>
        <v/>
      </c>
      <c r="E7414" s="531"/>
      <c r="F7414" s="531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2" t="str">
        <f t="shared" si="379"/>
        <v/>
      </c>
      <c r="E7415" s="531"/>
      <c r="F7415" s="531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2" t="str">
        <f t="shared" si="379"/>
        <v/>
      </c>
      <c r="E7416" s="531"/>
      <c r="F7416" s="531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2" t="str">
        <f t="shared" si="379"/>
        <v/>
      </c>
      <c r="E7417" s="531"/>
      <c r="F7417" s="531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2" t="str">
        <f t="shared" si="379"/>
        <v/>
      </c>
      <c r="E7418" s="531"/>
      <c r="F7418" s="531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2" t="str">
        <f t="shared" si="379"/>
        <v/>
      </c>
      <c r="E7419" s="531"/>
      <c r="F7419" s="531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2" t="str">
        <f t="shared" si="379"/>
        <v/>
      </c>
      <c r="E7420" s="531"/>
      <c r="F7420" s="531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2" t="str">
        <f t="shared" si="379"/>
        <v/>
      </c>
      <c r="E7421" s="531"/>
      <c r="F7421" s="531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2" t="str">
        <f t="shared" si="379"/>
        <v/>
      </c>
      <c r="E7422" s="531"/>
      <c r="F7422" s="531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2" t="str">
        <f t="shared" si="379"/>
        <v/>
      </c>
      <c r="E7423" s="531"/>
      <c r="F7423" s="531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2" t="str">
        <f t="shared" si="379"/>
        <v/>
      </c>
      <c r="E7424" s="531"/>
      <c r="F7424" s="531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2" t="str">
        <f t="shared" si="379"/>
        <v/>
      </c>
      <c r="E7425" s="531"/>
      <c r="F7425" s="531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2" t="str">
        <f t="shared" si="379"/>
        <v/>
      </c>
      <c r="E7426" s="531"/>
      <c r="F7426" s="531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2" t="str">
        <f t="shared" si="379"/>
        <v/>
      </c>
      <c r="E7427" s="531"/>
      <c r="F7427" s="531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2" t="str">
        <f t="shared" si="379"/>
        <v/>
      </c>
      <c r="E7428" s="531"/>
      <c r="F7428" s="531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2" t="str">
        <f t="shared" si="379"/>
        <v/>
      </c>
      <c r="E7429" s="531"/>
      <c r="F7429" s="531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2" t="str">
        <f t="shared" si="379"/>
        <v/>
      </c>
      <c r="E7430" s="531"/>
      <c r="F7430" s="531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2" t="str">
        <f t="shared" si="379"/>
        <v/>
      </c>
      <c r="E7431" s="531"/>
      <c r="F7431" s="531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2" t="str">
        <f t="shared" si="379"/>
        <v/>
      </c>
      <c r="E7432" s="531"/>
      <c r="F7432" s="531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2" t="str">
        <f t="shared" ref="D7433:D7496" si="382">IF(A7433&lt;&gt;"",PROPER(TEXT(A7433,"Mmmm")),"")</f>
        <v/>
      </c>
      <c r="E7433" s="531"/>
      <c r="F7433" s="531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2" t="str">
        <f t="shared" si="382"/>
        <v/>
      </c>
      <c r="E7434" s="531"/>
      <c r="F7434" s="531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2" t="str">
        <f t="shared" si="382"/>
        <v/>
      </c>
      <c r="E7435" s="531"/>
      <c r="F7435" s="531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2" t="str">
        <f t="shared" si="382"/>
        <v/>
      </c>
      <c r="E7436" s="531"/>
      <c r="F7436" s="531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2" t="str">
        <f t="shared" si="382"/>
        <v/>
      </c>
      <c r="E7437" s="531"/>
      <c r="F7437" s="531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2" t="str">
        <f t="shared" si="382"/>
        <v/>
      </c>
      <c r="E7438" s="531"/>
      <c r="F7438" s="531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2" t="str">
        <f t="shared" si="382"/>
        <v/>
      </c>
      <c r="E7439" s="531"/>
      <c r="F7439" s="531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2" t="str">
        <f t="shared" si="382"/>
        <v/>
      </c>
      <c r="E7440" s="531"/>
      <c r="F7440" s="531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2" t="str">
        <f t="shared" si="382"/>
        <v/>
      </c>
      <c r="E7441" s="531"/>
      <c r="F7441" s="531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2" t="str">
        <f t="shared" si="382"/>
        <v/>
      </c>
      <c r="E7442" s="531"/>
      <c r="F7442" s="531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2" t="str">
        <f t="shared" si="382"/>
        <v/>
      </c>
      <c r="E7443" s="531"/>
      <c r="F7443" s="531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2" t="str">
        <f t="shared" si="382"/>
        <v/>
      </c>
      <c r="E7444" s="531"/>
      <c r="F7444" s="531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2" t="str">
        <f t="shared" si="382"/>
        <v/>
      </c>
      <c r="E7445" s="531"/>
      <c r="F7445" s="531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2" t="str">
        <f t="shared" si="382"/>
        <v/>
      </c>
      <c r="E7446" s="531"/>
      <c r="F7446" s="531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2" t="str">
        <f t="shared" si="382"/>
        <v/>
      </c>
      <c r="E7447" s="531"/>
      <c r="F7447" s="531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2" t="str">
        <f t="shared" si="382"/>
        <v/>
      </c>
      <c r="E7448" s="531"/>
      <c r="F7448" s="531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2" t="str">
        <f t="shared" si="382"/>
        <v/>
      </c>
      <c r="E7449" s="531"/>
      <c r="F7449" s="531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2" t="str">
        <f t="shared" si="382"/>
        <v/>
      </c>
      <c r="E7450" s="531"/>
      <c r="F7450" s="531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2" t="str">
        <f t="shared" si="382"/>
        <v/>
      </c>
      <c r="E7451" s="531"/>
      <c r="F7451" s="531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2" t="str">
        <f t="shared" si="382"/>
        <v/>
      </c>
      <c r="E7452" s="531"/>
      <c r="F7452" s="531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2" t="str">
        <f t="shared" si="382"/>
        <v/>
      </c>
      <c r="E7453" s="531"/>
      <c r="F7453" s="531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2" t="str">
        <f t="shared" si="382"/>
        <v/>
      </c>
      <c r="E7454" s="531"/>
      <c r="F7454" s="531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2" t="str">
        <f t="shared" si="382"/>
        <v/>
      </c>
      <c r="E7455" s="531"/>
      <c r="F7455" s="531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2" t="str">
        <f t="shared" si="382"/>
        <v/>
      </c>
      <c r="E7456" s="531"/>
      <c r="F7456" s="531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2" t="str">
        <f t="shared" si="382"/>
        <v/>
      </c>
      <c r="E7457" s="531"/>
      <c r="F7457" s="531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2" t="str">
        <f t="shared" si="382"/>
        <v/>
      </c>
      <c r="E7458" s="531"/>
      <c r="F7458" s="531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2" t="str">
        <f t="shared" si="382"/>
        <v/>
      </c>
      <c r="E7459" s="531"/>
      <c r="F7459" s="531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2" t="str">
        <f t="shared" si="382"/>
        <v/>
      </c>
      <c r="E7460" s="531"/>
      <c r="F7460" s="531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2" t="str">
        <f t="shared" si="382"/>
        <v/>
      </c>
      <c r="E7461" s="531"/>
      <c r="F7461" s="531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2" t="str">
        <f t="shared" si="382"/>
        <v/>
      </c>
      <c r="E7462" s="531"/>
      <c r="F7462" s="531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2" t="str">
        <f t="shared" si="382"/>
        <v/>
      </c>
      <c r="E7463" s="531"/>
      <c r="F7463" s="531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2" t="str">
        <f t="shared" si="382"/>
        <v/>
      </c>
      <c r="E7464" s="531"/>
      <c r="F7464" s="531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2" t="str">
        <f t="shared" si="382"/>
        <v/>
      </c>
      <c r="E7465" s="531"/>
      <c r="F7465" s="531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2" t="str">
        <f t="shared" si="382"/>
        <v/>
      </c>
      <c r="E7466" s="531"/>
      <c r="F7466" s="531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2" t="str">
        <f t="shared" si="382"/>
        <v/>
      </c>
      <c r="E7467" s="531"/>
      <c r="F7467" s="531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2" t="str">
        <f t="shared" si="382"/>
        <v/>
      </c>
      <c r="E7468" s="531"/>
      <c r="F7468" s="531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2" t="str">
        <f t="shared" si="382"/>
        <v/>
      </c>
      <c r="E7469" s="531"/>
      <c r="F7469" s="531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2" t="str">
        <f t="shared" si="382"/>
        <v/>
      </c>
      <c r="E7470" s="531"/>
      <c r="F7470" s="531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2" t="str">
        <f t="shared" si="382"/>
        <v/>
      </c>
      <c r="E7471" s="531"/>
      <c r="F7471" s="531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2" t="str">
        <f t="shared" si="382"/>
        <v/>
      </c>
      <c r="E7472" s="531"/>
      <c r="F7472" s="531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2" t="str">
        <f t="shared" si="382"/>
        <v/>
      </c>
      <c r="E7473" s="531"/>
      <c r="F7473" s="531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2" t="str">
        <f t="shared" si="382"/>
        <v/>
      </c>
      <c r="E7474" s="531"/>
      <c r="F7474" s="531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2" t="str">
        <f t="shared" si="382"/>
        <v/>
      </c>
      <c r="E7475" s="531"/>
      <c r="F7475" s="531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2" t="str">
        <f t="shared" si="382"/>
        <v/>
      </c>
      <c r="E7476" s="531"/>
      <c r="F7476" s="531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2" t="str">
        <f t="shared" si="382"/>
        <v/>
      </c>
      <c r="E7477" s="531"/>
      <c r="F7477" s="531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2" t="str">
        <f t="shared" si="382"/>
        <v/>
      </c>
      <c r="E7478" s="531"/>
      <c r="F7478" s="531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2" t="str">
        <f t="shared" si="382"/>
        <v/>
      </c>
      <c r="E7479" s="531"/>
      <c r="F7479" s="531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2" t="str">
        <f t="shared" si="382"/>
        <v/>
      </c>
      <c r="E7480" s="531"/>
      <c r="F7480" s="531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2" t="str">
        <f t="shared" si="382"/>
        <v/>
      </c>
      <c r="E7481" s="531"/>
      <c r="F7481" s="531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2" t="str">
        <f t="shared" si="382"/>
        <v/>
      </c>
      <c r="E7482" s="531"/>
      <c r="F7482" s="531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2" t="str">
        <f t="shared" si="382"/>
        <v/>
      </c>
      <c r="E7483" s="531"/>
      <c r="F7483" s="531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2" t="str">
        <f t="shared" si="382"/>
        <v/>
      </c>
      <c r="E7484" s="531"/>
      <c r="F7484" s="531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2" t="str">
        <f t="shared" si="382"/>
        <v/>
      </c>
      <c r="E7485" s="531"/>
      <c r="F7485" s="531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2" t="str">
        <f t="shared" si="382"/>
        <v/>
      </c>
      <c r="E7486" s="531"/>
      <c r="F7486" s="531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2" t="str">
        <f t="shared" si="382"/>
        <v/>
      </c>
      <c r="E7487" s="531"/>
      <c r="F7487" s="531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2" t="str">
        <f t="shared" si="382"/>
        <v/>
      </c>
      <c r="E7488" s="531"/>
      <c r="F7488" s="531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2" t="str">
        <f t="shared" si="382"/>
        <v/>
      </c>
      <c r="E7489" s="531"/>
      <c r="F7489" s="531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2" t="str">
        <f t="shared" si="382"/>
        <v/>
      </c>
      <c r="E7490" s="531"/>
      <c r="F7490" s="531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2" t="str">
        <f t="shared" si="382"/>
        <v/>
      </c>
      <c r="E7491" s="531"/>
      <c r="F7491" s="531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2" t="str">
        <f t="shared" si="382"/>
        <v/>
      </c>
      <c r="E7492" s="531"/>
      <c r="F7492" s="531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2" t="str">
        <f t="shared" si="382"/>
        <v/>
      </c>
      <c r="E7493" s="531"/>
      <c r="F7493" s="531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2" t="str">
        <f t="shared" si="382"/>
        <v/>
      </c>
      <c r="E7494" s="531"/>
      <c r="F7494" s="531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2" t="str">
        <f t="shared" si="382"/>
        <v/>
      </c>
      <c r="E7495" s="531"/>
      <c r="F7495" s="531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2" t="str">
        <f t="shared" si="382"/>
        <v/>
      </c>
      <c r="E7496" s="531"/>
      <c r="F7496" s="531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2" t="str">
        <f t="shared" ref="D7497:D7560" si="385">IF(A7497&lt;&gt;"",PROPER(TEXT(A7497,"Mmmm")),"")</f>
        <v/>
      </c>
      <c r="E7497" s="531"/>
      <c r="F7497" s="531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2" t="str">
        <f t="shared" si="385"/>
        <v/>
      </c>
      <c r="E7498" s="531"/>
      <c r="F7498" s="531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2" t="str">
        <f t="shared" si="385"/>
        <v/>
      </c>
      <c r="E7499" s="531"/>
      <c r="F7499" s="531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2" t="str">
        <f t="shared" si="385"/>
        <v/>
      </c>
      <c r="E7500" s="531"/>
      <c r="F7500" s="531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2" t="str">
        <f t="shared" si="385"/>
        <v/>
      </c>
      <c r="E7501" s="531"/>
      <c r="F7501" s="531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2" t="str">
        <f t="shared" si="385"/>
        <v/>
      </c>
      <c r="E7502" s="531"/>
      <c r="F7502" s="531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2" t="str">
        <f t="shared" si="385"/>
        <v/>
      </c>
      <c r="E7503" s="531"/>
      <c r="F7503" s="531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2" t="str">
        <f t="shared" si="385"/>
        <v/>
      </c>
      <c r="E7504" s="531"/>
      <c r="F7504" s="531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2" t="str">
        <f t="shared" si="385"/>
        <v/>
      </c>
      <c r="E7505" s="531"/>
      <c r="F7505" s="531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2" t="str">
        <f t="shared" si="385"/>
        <v/>
      </c>
      <c r="E7506" s="531"/>
      <c r="F7506" s="531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2" t="str">
        <f t="shared" si="385"/>
        <v/>
      </c>
      <c r="E7507" s="531"/>
      <c r="F7507" s="531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2" t="str">
        <f t="shared" si="385"/>
        <v/>
      </c>
      <c r="E7508" s="531"/>
      <c r="F7508" s="531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2" t="str">
        <f t="shared" si="385"/>
        <v/>
      </c>
      <c r="E7509" s="531"/>
      <c r="F7509" s="531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2" t="str">
        <f t="shared" si="385"/>
        <v/>
      </c>
      <c r="E7510" s="531"/>
      <c r="F7510" s="531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2" t="str">
        <f t="shared" si="385"/>
        <v/>
      </c>
      <c r="E7511" s="531"/>
      <c r="F7511" s="531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2" t="str">
        <f t="shared" si="385"/>
        <v/>
      </c>
      <c r="E7512" s="531"/>
      <c r="F7512" s="531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2" t="str">
        <f t="shared" si="385"/>
        <v/>
      </c>
      <c r="E7513" s="531"/>
      <c r="F7513" s="531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2" t="str">
        <f t="shared" si="385"/>
        <v/>
      </c>
      <c r="E7514" s="531"/>
      <c r="F7514" s="531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2" t="str">
        <f t="shared" si="385"/>
        <v/>
      </c>
      <c r="E7515" s="531"/>
      <c r="F7515" s="531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2" t="str">
        <f t="shared" si="385"/>
        <v/>
      </c>
      <c r="E7516" s="531"/>
      <c r="F7516" s="531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2" t="str">
        <f t="shared" si="385"/>
        <v/>
      </c>
      <c r="E7517" s="531"/>
      <c r="F7517" s="531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2" t="str">
        <f t="shared" si="385"/>
        <v/>
      </c>
      <c r="E7518" s="531"/>
      <c r="F7518" s="531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2" t="str">
        <f t="shared" si="385"/>
        <v/>
      </c>
      <c r="E7519" s="531"/>
      <c r="F7519" s="531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2" t="str">
        <f t="shared" si="385"/>
        <v/>
      </c>
      <c r="E7520" s="531"/>
      <c r="F7520" s="531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2" t="str">
        <f t="shared" si="385"/>
        <v/>
      </c>
      <c r="E7521" s="531"/>
      <c r="F7521" s="531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2" t="str">
        <f t="shared" si="385"/>
        <v/>
      </c>
      <c r="E7522" s="531"/>
      <c r="F7522" s="531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2" t="str">
        <f t="shared" si="385"/>
        <v/>
      </c>
      <c r="E7523" s="531"/>
      <c r="F7523" s="531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2" t="str">
        <f t="shared" si="385"/>
        <v/>
      </c>
      <c r="E7524" s="531"/>
      <c r="F7524" s="531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2" t="str">
        <f t="shared" si="385"/>
        <v/>
      </c>
      <c r="E7525" s="531"/>
      <c r="F7525" s="531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2" t="str">
        <f t="shared" si="385"/>
        <v/>
      </c>
      <c r="E7526" s="531"/>
      <c r="F7526" s="531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2" t="str">
        <f t="shared" si="385"/>
        <v/>
      </c>
      <c r="E7527" s="531"/>
      <c r="F7527" s="531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2" t="str">
        <f t="shared" si="385"/>
        <v/>
      </c>
      <c r="E7528" s="531"/>
      <c r="F7528" s="531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2" t="str">
        <f t="shared" si="385"/>
        <v/>
      </c>
      <c r="E7529" s="531"/>
      <c r="F7529" s="531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2" t="str">
        <f t="shared" si="385"/>
        <v/>
      </c>
      <c r="E7530" s="531"/>
      <c r="F7530" s="531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2" t="str">
        <f t="shared" si="385"/>
        <v/>
      </c>
      <c r="E7531" s="531"/>
      <c r="F7531" s="531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2" t="str">
        <f t="shared" si="385"/>
        <v/>
      </c>
      <c r="E7532" s="531"/>
      <c r="F7532" s="531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2" t="str">
        <f t="shared" si="385"/>
        <v/>
      </c>
      <c r="E7533" s="531"/>
      <c r="F7533" s="531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2" t="str">
        <f t="shared" si="385"/>
        <v/>
      </c>
      <c r="E7534" s="531"/>
      <c r="F7534" s="531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2" t="str">
        <f t="shared" si="385"/>
        <v/>
      </c>
      <c r="E7535" s="531"/>
      <c r="F7535" s="531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2" t="str">
        <f t="shared" si="385"/>
        <v/>
      </c>
      <c r="E7536" s="531"/>
      <c r="F7536" s="531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2" t="str">
        <f t="shared" si="385"/>
        <v/>
      </c>
      <c r="E7537" s="531"/>
      <c r="F7537" s="531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2" t="str">
        <f t="shared" si="385"/>
        <v/>
      </c>
      <c r="E7538" s="531"/>
      <c r="F7538" s="531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2" t="str">
        <f t="shared" si="385"/>
        <v/>
      </c>
      <c r="E7539" s="531"/>
      <c r="F7539" s="531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2" t="str">
        <f t="shared" si="385"/>
        <v/>
      </c>
      <c r="E7540" s="531"/>
      <c r="F7540" s="531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2" t="str">
        <f t="shared" si="385"/>
        <v/>
      </c>
      <c r="E7541" s="531"/>
      <c r="F7541" s="531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2" t="str">
        <f t="shared" si="385"/>
        <v/>
      </c>
      <c r="E7542" s="531"/>
      <c r="F7542" s="531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2" t="str">
        <f t="shared" si="385"/>
        <v/>
      </c>
      <c r="E7543" s="531"/>
      <c r="F7543" s="531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2" t="str">
        <f t="shared" si="385"/>
        <v/>
      </c>
      <c r="E7544" s="531"/>
      <c r="F7544" s="531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2" t="str">
        <f t="shared" si="385"/>
        <v/>
      </c>
      <c r="E7545" s="531"/>
      <c r="F7545" s="531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2" t="str">
        <f t="shared" si="385"/>
        <v/>
      </c>
      <c r="E7546" s="531"/>
      <c r="F7546" s="531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2" t="str">
        <f t="shared" si="385"/>
        <v/>
      </c>
      <c r="E7547" s="531"/>
      <c r="F7547" s="531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2" t="str">
        <f t="shared" si="385"/>
        <v/>
      </c>
      <c r="E7548" s="531"/>
      <c r="F7548" s="531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2" t="str">
        <f t="shared" si="385"/>
        <v/>
      </c>
      <c r="E7549" s="531"/>
      <c r="F7549" s="531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2" t="str">
        <f t="shared" si="385"/>
        <v/>
      </c>
      <c r="E7550" s="531"/>
      <c r="F7550" s="531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2" t="str">
        <f t="shared" si="385"/>
        <v/>
      </c>
      <c r="E7551" s="531"/>
      <c r="F7551" s="531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2" t="str">
        <f t="shared" si="385"/>
        <v/>
      </c>
      <c r="E7552" s="531"/>
      <c r="F7552" s="531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2" t="str">
        <f t="shared" si="385"/>
        <v/>
      </c>
      <c r="E7553" s="531"/>
      <c r="F7553" s="531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2" t="str">
        <f t="shared" si="385"/>
        <v/>
      </c>
      <c r="E7554" s="531"/>
      <c r="F7554" s="531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2" t="str">
        <f t="shared" si="385"/>
        <v/>
      </c>
      <c r="E7555" s="531"/>
      <c r="F7555" s="531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2" t="str">
        <f t="shared" si="385"/>
        <v/>
      </c>
      <c r="E7556" s="531"/>
      <c r="F7556" s="531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2" t="str">
        <f t="shared" si="385"/>
        <v/>
      </c>
      <c r="E7557" s="531"/>
      <c r="F7557" s="531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2" t="str">
        <f t="shared" si="385"/>
        <v/>
      </c>
      <c r="E7558" s="531"/>
      <c r="F7558" s="531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2" t="str">
        <f t="shared" si="385"/>
        <v/>
      </c>
      <c r="E7559" s="531"/>
      <c r="F7559" s="531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2" t="str">
        <f t="shared" si="385"/>
        <v/>
      </c>
      <c r="E7560" s="531"/>
      <c r="F7560" s="531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2" t="str">
        <f t="shared" ref="D7561:D7624" si="388">IF(A7561&lt;&gt;"",PROPER(TEXT(A7561,"Mmmm")),"")</f>
        <v/>
      </c>
      <c r="E7561" s="531"/>
      <c r="F7561" s="531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2" t="str">
        <f t="shared" si="388"/>
        <v/>
      </c>
      <c r="E7562" s="531"/>
      <c r="F7562" s="531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2" t="str">
        <f t="shared" si="388"/>
        <v/>
      </c>
      <c r="E7563" s="531"/>
      <c r="F7563" s="531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2" t="str">
        <f t="shared" si="388"/>
        <v/>
      </c>
      <c r="E7564" s="531"/>
      <c r="F7564" s="531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2" t="str">
        <f t="shared" si="388"/>
        <v/>
      </c>
      <c r="E7565" s="531"/>
      <c r="F7565" s="531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2" t="str">
        <f t="shared" si="388"/>
        <v/>
      </c>
      <c r="E7566" s="531"/>
      <c r="F7566" s="531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2" t="str">
        <f t="shared" si="388"/>
        <v/>
      </c>
      <c r="E7567" s="531"/>
      <c r="F7567" s="531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2" t="str">
        <f t="shared" si="388"/>
        <v/>
      </c>
      <c r="E7568" s="531"/>
      <c r="F7568" s="531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2" t="str">
        <f t="shared" si="388"/>
        <v/>
      </c>
      <c r="E7569" s="531"/>
      <c r="F7569" s="531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2" t="str">
        <f t="shared" si="388"/>
        <v/>
      </c>
      <c r="E7570" s="531"/>
      <c r="F7570" s="531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2" t="str">
        <f t="shared" si="388"/>
        <v/>
      </c>
      <c r="E7571" s="531"/>
      <c r="F7571" s="531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2" t="str">
        <f t="shared" si="388"/>
        <v/>
      </c>
      <c r="E7572" s="531"/>
      <c r="F7572" s="531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2" t="str">
        <f t="shared" si="388"/>
        <v/>
      </c>
      <c r="E7573" s="531"/>
      <c r="F7573" s="531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2" t="str">
        <f t="shared" si="388"/>
        <v/>
      </c>
      <c r="E7574" s="531"/>
      <c r="F7574" s="531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2" t="str">
        <f t="shared" si="388"/>
        <v/>
      </c>
      <c r="E7575" s="531"/>
      <c r="F7575" s="531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2" t="str">
        <f t="shared" si="388"/>
        <v/>
      </c>
      <c r="E7576" s="531"/>
      <c r="F7576" s="531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2" t="str">
        <f t="shared" si="388"/>
        <v/>
      </c>
      <c r="E7577" s="531"/>
      <c r="F7577" s="531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2" t="str">
        <f t="shared" si="388"/>
        <v/>
      </c>
      <c r="E7578" s="531"/>
      <c r="F7578" s="531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2" t="str">
        <f t="shared" si="388"/>
        <v/>
      </c>
      <c r="E7579" s="531"/>
      <c r="F7579" s="531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2" t="str">
        <f t="shared" si="388"/>
        <v/>
      </c>
      <c r="E7580" s="531"/>
      <c r="F7580" s="531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2" t="str">
        <f t="shared" si="388"/>
        <v/>
      </c>
      <c r="E7581" s="531"/>
      <c r="F7581" s="531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2" t="str">
        <f t="shared" si="388"/>
        <v/>
      </c>
      <c r="E7582" s="531"/>
      <c r="F7582" s="531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2" t="str">
        <f t="shared" si="388"/>
        <v/>
      </c>
      <c r="E7583" s="531"/>
      <c r="F7583" s="531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2" t="str">
        <f t="shared" si="388"/>
        <v/>
      </c>
      <c r="E7584" s="531"/>
      <c r="F7584" s="531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2" t="str">
        <f t="shared" si="388"/>
        <v/>
      </c>
      <c r="E7585" s="531"/>
      <c r="F7585" s="531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2" t="str">
        <f t="shared" si="388"/>
        <v/>
      </c>
      <c r="E7586" s="531"/>
      <c r="F7586" s="531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2" t="str">
        <f t="shared" si="388"/>
        <v/>
      </c>
      <c r="E7587" s="531"/>
      <c r="F7587" s="531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2" t="str">
        <f t="shared" si="388"/>
        <v/>
      </c>
      <c r="E7588" s="531"/>
      <c r="F7588" s="531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2" t="str">
        <f t="shared" si="388"/>
        <v/>
      </c>
      <c r="E7589" s="531"/>
      <c r="F7589" s="531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2" t="str">
        <f t="shared" si="388"/>
        <v/>
      </c>
      <c r="E7590" s="531"/>
      <c r="F7590" s="531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2" t="str">
        <f t="shared" si="388"/>
        <v/>
      </c>
      <c r="E7591" s="531"/>
      <c r="F7591" s="531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2" t="str">
        <f t="shared" si="388"/>
        <v/>
      </c>
      <c r="E7592" s="531"/>
      <c r="F7592" s="531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2" t="str">
        <f t="shared" si="388"/>
        <v/>
      </c>
      <c r="E7593" s="531"/>
      <c r="F7593" s="531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2" t="str">
        <f t="shared" si="388"/>
        <v/>
      </c>
      <c r="E7594" s="531"/>
      <c r="F7594" s="531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2" t="str">
        <f t="shared" si="388"/>
        <v/>
      </c>
      <c r="E7595" s="531"/>
      <c r="F7595" s="531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2" t="str">
        <f t="shared" si="388"/>
        <v/>
      </c>
      <c r="E7596" s="531"/>
      <c r="F7596" s="531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2" t="str">
        <f t="shared" si="388"/>
        <v/>
      </c>
      <c r="E7597" s="531"/>
      <c r="F7597" s="531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2" t="str">
        <f t="shared" si="388"/>
        <v/>
      </c>
      <c r="E7598" s="531"/>
      <c r="F7598" s="531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2" t="str">
        <f t="shared" si="388"/>
        <v/>
      </c>
      <c r="E7599" s="531"/>
      <c r="F7599" s="531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2" t="str">
        <f t="shared" si="388"/>
        <v/>
      </c>
      <c r="E7600" s="531"/>
      <c r="F7600" s="531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2" t="str">
        <f t="shared" si="388"/>
        <v/>
      </c>
      <c r="E7601" s="531"/>
      <c r="F7601" s="531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2" t="str">
        <f t="shared" si="388"/>
        <v/>
      </c>
      <c r="E7602" s="531"/>
      <c r="F7602" s="531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2" t="str">
        <f t="shared" si="388"/>
        <v/>
      </c>
      <c r="E7603" s="531"/>
      <c r="F7603" s="531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2" t="str">
        <f t="shared" si="388"/>
        <v/>
      </c>
      <c r="E7604" s="531"/>
      <c r="F7604" s="531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2" t="str">
        <f t="shared" si="388"/>
        <v/>
      </c>
      <c r="E7605" s="531"/>
      <c r="F7605" s="531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2" t="str">
        <f t="shared" si="388"/>
        <v/>
      </c>
      <c r="E7606" s="531"/>
      <c r="F7606" s="531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2" t="str">
        <f t="shared" si="388"/>
        <v/>
      </c>
      <c r="E7607" s="531"/>
      <c r="F7607" s="531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2" t="str">
        <f t="shared" si="388"/>
        <v/>
      </c>
      <c r="E7608" s="531"/>
      <c r="F7608" s="531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2" t="str">
        <f t="shared" si="388"/>
        <v/>
      </c>
      <c r="E7609" s="531"/>
      <c r="F7609" s="531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2" t="str">
        <f t="shared" si="388"/>
        <v/>
      </c>
      <c r="E7610" s="531"/>
      <c r="F7610" s="531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2" t="str">
        <f t="shared" si="388"/>
        <v/>
      </c>
      <c r="E7611" s="531"/>
      <c r="F7611" s="531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2" t="str">
        <f t="shared" si="388"/>
        <v/>
      </c>
      <c r="E7612" s="531"/>
      <c r="F7612" s="531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2" t="str">
        <f t="shared" si="388"/>
        <v/>
      </c>
      <c r="E7613" s="531"/>
      <c r="F7613" s="531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2" t="str">
        <f t="shared" si="388"/>
        <v/>
      </c>
      <c r="E7614" s="531"/>
      <c r="F7614" s="531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2" t="str">
        <f t="shared" si="388"/>
        <v/>
      </c>
      <c r="E7615" s="531"/>
      <c r="F7615" s="531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2" t="str">
        <f t="shared" si="388"/>
        <v/>
      </c>
      <c r="E7616" s="531"/>
      <c r="F7616" s="531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2" t="str">
        <f t="shared" si="388"/>
        <v/>
      </c>
      <c r="E7617" s="531"/>
      <c r="F7617" s="531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2" t="str">
        <f t="shared" si="388"/>
        <v/>
      </c>
      <c r="E7618" s="531"/>
      <c r="F7618" s="531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2" t="str">
        <f t="shared" si="388"/>
        <v/>
      </c>
      <c r="E7619" s="531"/>
      <c r="F7619" s="531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2" t="str">
        <f t="shared" si="388"/>
        <v/>
      </c>
      <c r="E7620" s="531"/>
      <c r="F7620" s="531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2" t="str">
        <f t="shared" si="388"/>
        <v/>
      </c>
      <c r="E7621" s="531"/>
      <c r="F7621" s="531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2" t="str">
        <f t="shared" si="388"/>
        <v/>
      </c>
      <c r="E7622" s="531"/>
      <c r="F7622" s="531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2" t="str">
        <f t="shared" si="388"/>
        <v/>
      </c>
      <c r="E7623" s="531"/>
      <c r="F7623" s="531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2" t="str">
        <f t="shared" si="388"/>
        <v/>
      </c>
      <c r="E7624" s="531"/>
      <c r="F7624" s="531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2" t="str">
        <f t="shared" ref="D7625:D7688" si="391">IF(A7625&lt;&gt;"",PROPER(TEXT(A7625,"Mmmm")),"")</f>
        <v/>
      </c>
      <c r="E7625" s="531"/>
      <c r="F7625" s="531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2" t="str">
        <f t="shared" si="391"/>
        <v/>
      </c>
      <c r="E7626" s="531"/>
      <c r="F7626" s="531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2" t="str">
        <f t="shared" si="391"/>
        <v/>
      </c>
      <c r="E7627" s="531"/>
      <c r="F7627" s="531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2" t="str">
        <f t="shared" si="391"/>
        <v/>
      </c>
      <c r="E7628" s="531"/>
      <c r="F7628" s="531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2" t="str">
        <f t="shared" si="391"/>
        <v/>
      </c>
      <c r="E7629" s="531"/>
      <c r="F7629" s="531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2" t="str">
        <f t="shared" si="391"/>
        <v/>
      </c>
      <c r="E7630" s="531"/>
      <c r="F7630" s="531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2" t="str">
        <f t="shared" si="391"/>
        <v/>
      </c>
      <c r="E7631" s="531"/>
      <c r="F7631" s="531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2" t="str">
        <f t="shared" si="391"/>
        <v/>
      </c>
      <c r="E7632" s="531"/>
      <c r="F7632" s="531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2" t="str">
        <f t="shared" si="391"/>
        <v/>
      </c>
      <c r="E7633" s="531"/>
      <c r="F7633" s="531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2" t="str">
        <f t="shared" si="391"/>
        <v/>
      </c>
      <c r="E7634" s="531"/>
      <c r="F7634" s="531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2" t="str">
        <f t="shared" si="391"/>
        <v/>
      </c>
      <c r="E7635" s="531"/>
      <c r="F7635" s="531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2" t="str">
        <f t="shared" si="391"/>
        <v/>
      </c>
      <c r="E7636" s="531"/>
      <c r="F7636" s="531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2" t="str">
        <f t="shared" si="391"/>
        <v/>
      </c>
      <c r="E7637" s="531"/>
      <c r="F7637" s="531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2" t="str">
        <f t="shared" si="391"/>
        <v/>
      </c>
      <c r="E7638" s="531"/>
      <c r="F7638" s="531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2" t="str">
        <f t="shared" si="391"/>
        <v/>
      </c>
      <c r="E7639" s="531"/>
      <c r="F7639" s="531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2" t="str">
        <f t="shared" si="391"/>
        <v/>
      </c>
      <c r="E7640" s="531"/>
      <c r="F7640" s="531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2" t="str">
        <f t="shared" si="391"/>
        <v/>
      </c>
      <c r="E7641" s="531"/>
      <c r="F7641" s="531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2" t="str">
        <f t="shared" si="391"/>
        <v/>
      </c>
      <c r="E7642" s="531"/>
      <c r="F7642" s="531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2" t="str">
        <f t="shared" si="391"/>
        <v/>
      </c>
      <c r="E7643" s="531"/>
      <c r="F7643" s="531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2" t="str">
        <f t="shared" si="391"/>
        <v/>
      </c>
      <c r="E7644" s="531"/>
      <c r="F7644" s="531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2" t="str">
        <f t="shared" si="391"/>
        <v/>
      </c>
      <c r="E7645" s="531"/>
      <c r="F7645" s="531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2" t="str">
        <f t="shared" si="391"/>
        <v/>
      </c>
      <c r="E7646" s="531"/>
      <c r="F7646" s="531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2" t="str">
        <f t="shared" si="391"/>
        <v/>
      </c>
      <c r="E7647" s="531"/>
      <c r="F7647" s="531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2" t="str">
        <f t="shared" si="391"/>
        <v/>
      </c>
      <c r="E7648" s="531"/>
      <c r="F7648" s="531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2" t="str">
        <f t="shared" si="391"/>
        <v/>
      </c>
      <c r="E7649" s="531"/>
      <c r="F7649" s="531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2" t="str">
        <f t="shared" si="391"/>
        <v/>
      </c>
      <c r="E7650" s="531"/>
      <c r="F7650" s="531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2" t="str">
        <f t="shared" si="391"/>
        <v/>
      </c>
      <c r="E7651" s="531"/>
      <c r="F7651" s="531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2" t="str">
        <f t="shared" si="391"/>
        <v/>
      </c>
      <c r="E7652" s="531"/>
      <c r="F7652" s="531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2" t="str">
        <f t="shared" si="391"/>
        <v/>
      </c>
      <c r="E7653" s="531"/>
      <c r="F7653" s="531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2" t="str">
        <f t="shared" si="391"/>
        <v/>
      </c>
      <c r="E7654" s="531"/>
      <c r="F7654" s="531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2" t="str">
        <f t="shared" si="391"/>
        <v/>
      </c>
      <c r="E7655" s="531"/>
      <c r="F7655" s="531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2" t="str">
        <f t="shared" si="391"/>
        <v/>
      </c>
      <c r="E7656" s="531"/>
      <c r="F7656" s="531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2" t="str">
        <f t="shared" si="391"/>
        <v/>
      </c>
      <c r="E7657" s="531"/>
      <c r="F7657" s="531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2" t="str">
        <f t="shared" si="391"/>
        <v/>
      </c>
      <c r="E7658" s="531"/>
      <c r="F7658" s="531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2" t="str">
        <f t="shared" si="391"/>
        <v/>
      </c>
      <c r="E7659" s="531"/>
      <c r="F7659" s="531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2" t="str">
        <f t="shared" si="391"/>
        <v/>
      </c>
      <c r="E7660" s="531"/>
      <c r="F7660" s="531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2" t="str">
        <f t="shared" si="391"/>
        <v/>
      </c>
      <c r="E7661" s="531"/>
      <c r="F7661" s="531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2" t="str">
        <f t="shared" si="391"/>
        <v/>
      </c>
      <c r="E7662" s="531"/>
      <c r="F7662" s="531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2" t="str">
        <f t="shared" si="391"/>
        <v/>
      </c>
      <c r="E7663" s="531"/>
      <c r="F7663" s="531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2" t="str">
        <f t="shared" si="391"/>
        <v/>
      </c>
      <c r="E7664" s="531"/>
      <c r="F7664" s="531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2" t="str">
        <f t="shared" si="391"/>
        <v/>
      </c>
      <c r="E7665" s="531"/>
      <c r="F7665" s="531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2" t="str">
        <f t="shared" si="391"/>
        <v/>
      </c>
      <c r="E7666" s="531"/>
      <c r="F7666" s="531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2" t="str">
        <f t="shared" si="391"/>
        <v/>
      </c>
      <c r="E7667" s="531"/>
      <c r="F7667" s="531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2" t="str">
        <f t="shared" si="391"/>
        <v/>
      </c>
      <c r="E7668" s="531"/>
      <c r="F7668" s="531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2" t="str">
        <f t="shared" si="391"/>
        <v/>
      </c>
      <c r="E7669" s="531"/>
      <c r="F7669" s="531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2" t="str">
        <f t="shared" si="391"/>
        <v/>
      </c>
      <c r="E7670" s="531"/>
      <c r="F7670" s="531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2" t="str">
        <f t="shared" si="391"/>
        <v/>
      </c>
      <c r="E7671" s="531"/>
      <c r="F7671" s="531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2" t="str">
        <f t="shared" si="391"/>
        <v/>
      </c>
      <c r="E7672" s="531"/>
      <c r="F7672" s="531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2" t="str">
        <f t="shared" si="391"/>
        <v/>
      </c>
      <c r="E7673" s="531"/>
      <c r="F7673" s="531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2" t="str">
        <f t="shared" si="391"/>
        <v/>
      </c>
      <c r="E7674" s="531"/>
      <c r="F7674" s="531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2" t="str">
        <f t="shared" si="391"/>
        <v/>
      </c>
      <c r="E7675" s="531"/>
      <c r="F7675" s="531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2" t="str">
        <f t="shared" si="391"/>
        <v/>
      </c>
      <c r="E7676" s="531"/>
      <c r="F7676" s="531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2" t="str">
        <f t="shared" si="391"/>
        <v/>
      </c>
      <c r="E7677" s="531"/>
      <c r="F7677" s="531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2" t="str">
        <f t="shared" si="391"/>
        <v/>
      </c>
      <c r="E7678" s="531"/>
      <c r="F7678" s="531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2" t="str">
        <f t="shared" si="391"/>
        <v/>
      </c>
      <c r="E7679" s="531"/>
      <c r="F7679" s="531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2" t="str">
        <f t="shared" si="391"/>
        <v/>
      </c>
      <c r="E7680" s="531"/>
      <c r="F7680" s="531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2" t="str">
        <f t="shared" si="391"/>
        <v/>
      </c>
      <c r="E7681" s="531"/>
      <c r="F7681" s="531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2" t="str">
        <f t="shared" si="391"/>
        <v/>
      </c>
      <c r="E7682" s="531"/>
      <c r="F7682" s="531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2" t="str">
        <f t="shared" si="391"/>
        <v/>
      </c>
      <c r="E7683" s="531"/>
      <c r="F7683" s="531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2" t="str">
        <f t="shared" si="391"/>
        <v/>
      </c>
      <c r="E7684" s="531"/>
      <c r="F7684" s="531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2" t="str">
        <f t="shared" si="391"/>
        <v/>
      </c>
      <c r="E7685" s="531"/>
      <c r="F7685" s="531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2" t="str">
        <f t="shared" si="391"/>
        <v/>
      </c>
      <c r="E7686" s="531"/>
      <c r="F7686" s="531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2" t="str">
        <f t="shared" si="391"/>
        <v/>
      </c>
      <c r="E7687" s="531"/>
      <c r="F7687" s="531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2" t="str">
        <f t="shared" si="391"/>
        <v/>
      </c>
      <c r="E7688" s="531"/>
      <c r="F7688" s="531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2" t="str">
        <f t="shared" ref="D7689:D7752" si="394">IF(A7689&lt;&gt;"",PROPER(TEXT(A7689,"Mmmm")),"")</f>
        <v/>
      </c>
      <c r="E7689" s="531"/>
      <c r="F7689" s="531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2" t="str">
        <f t="shared" si="394"/>
        <v/>
      </c>
      <c r="E7690" s="531"/>
      <c r="F7690" s="531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2" t="str">
        <f t="shared" si="394"/>
        <v/>
      </c>
      <c r="E7691" s="531"/>
      <c r="F7691" s="531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2" t="str">
        <f t="shared" si="394"/>
        <v/>
      </c>
      <c r="E7692" s="531"/>
      <c r="F7692" s="531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2" t="str">
        <f t="shared" si="394"/>
        <v/>
      </c>
      <c r="E7693" s="531"/>
      <c r="F7693" s="531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2" t="str">
        <f t="shared" si="394"/>
        <v/>
      </c>
      <c r="E7694" s="531"/>
      <c r="F7694" s="531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2" t="str">
        <f t="shared" si="394"/>
        <v/>
      </c>
      <c r="E7695" s="531"/>
      <c r="F7695" s="531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2" t="str">
        <f t="shared" si="394"/>
        <v/>
      </c>
      <c r="E7696" s="531"/>
      <c r="F7696" s="531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2" t="str">
        <f t="shared" si="394"/>
        <v/>
      </c>
      <c r="E7697" s="531"/>
      <c r="F7697" s="531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2" t="str">
        <f t="shared" si="394"/>
        <v/>
      </c>
      <c r="E7698" s="531"/>
      <c r="F7698" s="531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2" t="str">
        <f t="shared" si="394"/>
        <v/>
      </c>
      <c r="E7699" s="531"/>
      <c r="F7699" s="531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2" t="str">
        <f t="shared" si="394"/>
        <v/>
      </c>
      <c r="E7700" s="531"/>
      <c r="F7700" s="531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2" t="str">
        <f t="shared" si="394"/>
        <v/>
      </c>
      <c r="E7701" s="531"/>
      <c r="F7701" s="531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2" t="str">
        <f t="shared" si="394"/>
        <v/>
      </c>
      <c r="E7702" s="531"/>
      <c r="F7702" s="531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2" t="str">
        <f t="shared" si="394"/>
        <v/>
      </c>
      <c r="E7703" s="531"/>
      <c r="F7703" s="531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2" t="str">
        <f t="shared" si="394"/>
        <v/>
      </c>
      <c r="E7704" s="531"/>
      <c r="F7704" s="531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2" t="str">
        <f t="shared" si="394"/>
        <v/>
      </c>
      <c r="E7705" s="531"/>
      <c r="F7705" s="531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2" t="str">
        <f t="shared" si="394"/>
        <v/>
      </c>
      <c r="E7706" s="531"/>
      <c r="F7706" s="531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2" t="str">
        <f t="shared" si="394"/>
        <v/>
      </c>
      <c r="E7707" s="531"/>
      <c r="F7707" s="531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2" t="str">
        <f t="shared" si="394"/>
        <v/>
      </c>
      <c r="E7708" s="531"/>
      <c r="F7708" s="531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2" t="str">
        <f t="shared" si="394"/>
        <v/>
      </c>
      <c r="E7709" s="531"/>
      <c r="F7709" s="531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2" t="str">
        <f t="shared" si="394"/>
        <v/>
      </c>
      <c r="E7710" s="531"/>
      <c r="F7710" s="531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2" t="str">
        <f t="shared" si="394"/>
        <v/>
      </c>
      <c r="E7711" s="531"/>
      <c r="F7711" s="531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2" t="str">
        <f t="shared" si="394"/>
        <v/>
      </c>
      <c r="E7712" s="531"/>
      <c r="F7712" s="531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2" t="str">
        <f t="shared" si="394"/>
        <v/>
      </c>
      <c r="E7713" s="531"/>
      <c r="F7713" s="531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2" t="str">
        <f t="shared" si="394"/>
        <v/>
      </c>
      <c r="E7714" s="531"/>
      <c r="F7714" s="531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2" t="str">
        <f t="shared" si="394"/>
        <v/>
      </c>
      <c r="E7715" s="531"/>
      <c r="F7715" s="531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2" t="str">
        <f t="shared" si="394"/>
        <v/>
      </c>
      <c r="E7716" s="531"/>
      <c r="F7716" s="531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2" t="str">
        <f t="shared" si="394"/>
        <v/>
      </c>
      <c r="E7717" s="531"/>
      <c r="F7717" s="531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2" t="str">
        <f t="shared" si="394"/>
        <v/>
      </c>
      <c r="E7718" s="531"/>
      <c r="F7718" s="531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2" t="str">
        <f t="shared" si="394"/>
        <v/>
      </c>
      <c r="E7719" s="531"/>
      <c r="F7719" s="531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2" t="str">
        <f t="shared" si="394"/>
        <v/>
      </c>
      <c r="E7720" s="531"/>
      <c r="F7720" s="531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2" t="str">
        <f t="shared" si="394"/>
        <v/>
      </c>
      <c r="E7721" s="531"/>
      <c r="F7721" s="531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2" t="str">
        <f t="shared" si="394"/>
        <v/>
      </c>
      <c r="E7722" s="531"/>
      <c r="F7722" s="531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2" t="str">
        <f t="shared" si="394"/>
        <v/>
      </c>
      <c r="E7723" s="531"/>
      <c r="F7723" s="531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2" t="str">
        <f t="shared" si="394"/>
        <v/>
      </c>
      <c r="E7724" s="531"/>
      <c r="F7724" s="531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2" t="str">
        <f t="shared" si="394"/>
        <v/>
      </c>
      <c r="E7725" s="531"/>
      <c r="F7725" s="531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2" t="str">
        <f t="shared" si="394"/>
        <v/>
      </c>
      <c r="E7726" s="531"/>
      <c r="F7726" s="531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2" t="str">
        <f t="shared" si="394"/>
        <v/>
      </c>
      <c r="E7727" s="531"/>
      <c r="F7727" s="531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2" t="str">
        <f t="shared" si="394"/>
        <v/>
      </c>
      <c r="E7728" s="531"/>
      <c r="F7728" s="531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2" t="str">
        <f t="shared" si="394"/>
        <v/>
      </c>
      <c r="E7729" s="531"/>
      <c r="F7729" s="531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2" t="str">
        <f t="shared" si="394"/>
        <v/>
      </c>
      <c r="E7730" s="531"/>
      <c r="F7730" s="531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2" t="str">
        <f t="shared" si="394"/>
        <v/>
      </c>
      <c r="E7731" s="531"/>
      <c r="F7731" s="531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2" t="str">
        <f t="shared" si="394"/>
        <v/>
      </c>
      <c r="E7732" s="531"/>
      <c r="F7732" s="531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2" t="str">
        <f t="shared" si="394"/>
        <v/>
      </c>
      <c r="E7733" s="531"/>
      <c r="F7733" s="531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2" t="str">
        <f t="shared" si="394"/>
        <v/>
      </c>
      <c r="E7734" s="531"/>
      <c r="F7734" s="531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2" t="str">
        <f t="shared" si="394"/>
        <v/>
      </c>
      <c r="E7735" s="531"/>
      <c r="F7735" s="531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2" t="str">
        <f t="shared" si="394"/>
        <v/>
      </c>
      <c r="E7736" s="531"/>
      <c r="F7736" s="531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2" t="str">
        <f t="shared" si="394"/>
        <v/>
      </c>
      <c r="E7737" s="531"/>
      <c r="F7737" s="531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2" t="str">
        <f t="shared" si="394"/>
        <v/>
      </c>
      <c r="E7738" s="531"/>
      <c r="F7738" s="531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2" t="str">
        <f t="shared" si="394"/>
        <v/>
      </c>
      <c r="E7739" s="531"/>
      <c r="F7739" s="531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2" t="str">
        <f t="shared" si="394"/>
        <v/>
      </c>
      <c r="E7740" s="531"/>
      <c r="F7740" s="531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2" t="str">
        <f t="shared" si="394"/>
        <v/>
      </c>
      <c r="E7741" s="531"/>
      <c r="F7741" s="531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2" t="str">
        <f t="shared" si="394"/>
        <v/>
      </c>
      <c r="E7742" s="531"/>
      <c r="F7742" s="531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2" t="str">
        <f t="shared" si="394"/>
        <v/>
      </c>
      <c r="E7743" s="531"/>
      <c r="F7743" s="531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2" t="str">
        <f t="shared" si="394"/>
        <v/>
      </c>
      <c r="E7744" s="531"/>
      <c r="F7744" s="531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2" t="str">
        <f t="shared" si="394"/>
        <v/>
      </c>
      <c r="E7745" s="531"/>
      <c r="F7745" s="531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2" t="str">
        <f t="shared" si="394"/>
        <v/>
      </c>
      <c r="E7746" s="531"/>
      <c r="F7746" s="531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2" t="str">
        <f t="shared" si="394"/>
        <v/>
      </c>
      <c r="E7747" s="531"/>
      <c r="F7747" s="531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2" t="str">
        <f t="shared" si="394"/>
        <v/>
      </c>
      <c r="E7748" s="531"/>
      <c r="F7748" s="531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2" t="str">
        <f t="shared" si="394"/>
        <v/>
      </c>
      <c r="E7749" s="531"/>
      <c r="F7749" s="531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2" t="str">
        <f t="shared" si="394"/>
        <v/>
      </c>
      <c r="E7750" s="531"/>
      <c r="F7750" s="531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2" t="str">
        <f t="shared" si="394"/>
        <v/>
      </c>
      <c r="E7751" s="531"/>
      <c r="F7751" s="531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2" t="str">
        <f t="shared" si="394"/>
        <v/>
      </c>
      <c r="E7752" s="531"/>
      <c r="F7752" s="531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2" t="str">
        <f t="shared" ref="D7753:D7816" si="397">IF(A7753&lt;&gt;"",PROPER(TEXT(A7753,"Mmmm")),"")</f>
        <v/>
      </c>
      <c r="E7753" s="531"/>
      <c r="F7753" s="531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2" t="str">
        <f t="shared" si="397"/>
        <v/>
      </c>
      <c r="E7754" s="531"/>
      <c r="F7754" s="531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2" t="str">
        <f t="shared" si="397"/>
        <v/>
      </c>
      <c r="E7755" s="531"/>
      <c r="F7755" s="531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2" t="str">
        <f t="shared" si="397"/>
        <v/>
      </c>
      <c r="E7756" s="531"/>
      <c r="F7756" s="531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2" t="str">
        <f t="shared" si="397"/>
        <v/>
      </c>
      <c r="E7757" s="531"/>
      <c r="F7757" s="531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2" t="str">
        <f t="shared" si="397"/>
        <v/>
      </c>
      <c r="E7758" s="531"/>
      <c r="F7758" s="531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2" t="str">
        <f t="shared" si="397"/>
        <v/>
      </c>
      <c r="E7759" s="531"/>
      <c r="F7759" s="531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2" t="str">
        <f t="shared" si="397"/>
        <v/>
      </c>
      <c r="E7760" s="531"/>
      <c r="F7760" s="531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2" t="str">
        <f t="shared" si="397"/>
        <v/>
      </c>
      <c r="E7761" s="531"/>
      <c r="F7761" s="531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2" t="str">
        <f t="shared" si="397"/>
        <v/>
      </c>
      <c r="E7762" s="531"/>
      <c r="F7762" s="531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2" t="str">
        <f t="shared" si="397"/>
        <v/>
      </c>
      <c r="E7763" s="531"/>
      <c r="F7763" s="531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2" t="str">
        <f t="shared" si="397"/>
        <v/>
      </c>
      <c r="E7764" s="531"/>
      <c r="F7764" s="531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2" t="str">
        <f t="shared" si="397"/>
        <v/>
      </c>
      <c r="E7765" s="531"/>
      <c r="F7765" s="531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2" t="str">
        <f t="shared" si="397"/>
        <v/>
      </c>
      <c r="E7766" s="531"/>
      <c r="F7766" s="531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2" t="str">
        <f t="shared" si="397"/>
        <v/>
      </c>
      <c r="E7767" s="531"/>
      <c r="F7767" s="531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2" t="str">
        <f t="shared" si="397"/>
        <v/>
      </c>
      <c r="E7768" s="531"/>
      <c r="F7768" s="531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2" t="str">
        <f t="shared" si="397"/>
        <v/>
      </c>
      <c r="E7769" s="531"/>
      <c r="F7769" s="531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2" t="str">
        <f t="shared" si="397"/>
        <v/>
      </c>
      <c r="E7770" s="531"/>
      <c r="F7770" s="531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2" t="str">
        <f t="shared" si="397"/>
        <v/>
      </c>
      <c r="E7771" s="531"/>
      <c r="F7771" s="531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2" t="str">
        <f t="shared" si="397"/>
        <v/>
      </c>
      <c r="E7772" s="531"/>
      <c r="F7772" s="531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2" t="str">
        <f t="shared" si="397"/>
        <v/>
      </c>
      <c r="E7773" s="531"/>
      <c r="F7773" s="531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2" t="str">
        <f t="shared" si="397"/>
        <v/>
      </c>
      <c r="E7774" s="531"/>
      <c r="F7774" s="531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2" t="str">
        <f t="shared" si="397"/>
        <v/>
      </c>
      <c r="E7775" s="531"/>
      <c r="F7775" s="531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2" t="str">
        <f t="shared" si="397"/>
        <v/>
      </c>
      <c r="E7776" s="531"/>
      <c r="F7776" s="531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2" t="str">
        <f t="shared" si="397"/>
        <v/>
      </c>
      <c r="E7777" s="531"/>
      <c r="F7777" s="531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2" t="str">
        <f t="shared" si="397"/>
        <v/>
      </c>
      <c r="E7778" s="531"/>
      <c r="F7778" s="531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2" t="str">
        <f t="shared" si="397"/>
        <v/>
      </c>
      <c r="E7779" s="531"/>
      <c r="F7779" s="531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2" t="str">
        <f t="shared" si="397"/>
        <v/>
      </c>
      <c r="E7780" s="531"/>
      <c r="F7780" s="531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2" t="str">
        <f t="shared" si="397"/>
        <v/>
      </c>
      <c r="E7781" s="531"/>
      <c r="F7781" s="531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2" t="str">
        <f t="shared" si="397"/>
        <v/>
      </c>
      <c r="E7782" s="531"/>
      <c r="F7782" s="531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2" t="str">
        <f t="shared" si="397"/>
        <v/>
      </c>
      <c r="E7783" s="531"/>
      <c r="F7783" s="531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2" t="str">
        <f t="shared" si="397"/>
        <v/>
      </c>
      <c r="E7784" s="531"/>
      <c r="F7784" s="531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2" t="str">
        <f t="shared" si="397"/>
        <v/>
      </c>
      <c r="E7785" s="531"/>
      <c r="F7785" s="531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2" t="str">
        <f t="shared" si="397"/>
        <v/>
      </c>
      <c r="E7786" s="531"/>
      <c r="F7786" s="531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2" t="str">
        <f t="shared" si="397"/>
        <v/>
      </c>
      <c r="E7787" s="531"/>
      <c r="F7787" s="531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2" t="str">
        <f t="shared" si="397"/>
        <v/>
      </c>
      <c r="E7788" s="531"/>
      <c r="F7788" s="531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2" t="str">
        <f t="shared" si="397"/>
        <v/>
      </c>
      <c r="E7789" s="531"/>
      <c r="F7789" s="531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2" t="str">
        <f t="shared" si="397"/>
        <v/>
      </c>
      <c r="E7790" s="531"/>
      <c r="F7790" s="531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2" t="str">
        <f t="shared" si="397"/>
        <v/>
      </c>
      <c r="E7791" s="531"/>
      <c r="F7791" s="531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2" t="str">
        <f t="shared" si="397"/>
        <v/>
      </c>
      <c r="E7792" s="531"/>
      <c r="F7792" s="531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2" t="str">
        <f t="shared" si="397"/>
        <v/>
      </c>
      <c r="E7793" s="531"/>
      <c r="F7793" s="531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2" t="str">
        <f t="shared" si="397"/>
        <v/>
      </c>
      <c r="E7794" s="531"/>
      <c r="F7794" s="531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2" t="str">
        <f t="shared" si="397"/>
        <v/>
      </c>
      <c r="E7795" s="531"/>
      <c r="F7795" s="531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2" t="str">
        <f t="shared" si="397"/>
        <v/>
      </c>
      <c r="E7796" s="531"/>
      <c r="F7796" s="531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2" t="str">
        <f t="shared" si="397"/>
        <v/>
      </c>
      <c r="E7797" s="531"/>
      <c r="F7797" s="531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2" t="str">
        <f t="shared" si="397"/>
        <v/>
      </c>
      <c r="E7798" s="531"/>
      <c r="F7798" s="531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2" t="str">
        <f t="shared" si="397"/>
        <v/>
      </c>
      <c r="E7799" s="531"/>
      <c r="F7799" s="531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2" t="str">
        <f t="shared" si="397"/>
        <v/>
      </c>
      <c r="E7800" s="531"/>
      <c r="F7800" s="531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2" t="str">
        <f t="shared" si="397"/>
        <v/>
      </c>
      <c r="E7801" s="531"/>
      <c r="F7801" s="531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2" t="str">
        <f t="shared" si="397"/>
        <v/>
      </c>
      <c r="E7802" s="531"/>
      <c r="F7802" s="531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2" t="str">
        <f t="shared" si="397"/>
        <v/>
      </c>
      <c r="E7803" s="531"/>
      <c r="F7803" s="531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2" t="str">
        <f t="shared" si="397"/>
        <v/>
      </c>
      <c r="E7804" s="531"/>
      <c r="F7804" s="531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2" t="str">
        <f t="shared" si="397"/>
        <v/>
      </c>
      <c r="E7805" s="531"/>
      <c r="F7805" s="531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2" t="str">
        <f t="shared" si="397"/>
        <v/>
      </c>
      <c r="E7806" s="531"/>
      <c r="F7806" s="531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2" t="str">
        <f t="shared" si="397"/>
        <v/>
      </c>
      <c r="E7807" s="531"/>
      <c r="F7807" s="531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2" t="str">
        <f t="shared" si="397"/>
        <v/>
      </c>
      <c r="E7808" s="531"/>
      <c r="F7808" s="531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2" t="str">
        <f t="shared" si="397"/>
        <v/>
      </c>
      <c r="E7809" s="531"/>
      <c r="F7809" s="531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2" t="str">
        <f t="shared" si="397"/>
        <v/>
      </c>
      <c r="E7810" s="531"/>
      <c r="F7810" s="531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2" t="str">
        <f t="shared" si="397"/>
        <v/>
      </c>
      <c r="E7811" s="531"/>
      <c r="F7811" s="531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2" t="str">
        <f t="shared" si="397"/>
        <v/>
      </c>
      <c r="E7812" s="531"/>
      <c r="F7812" s="531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2" t="str">
        <f t="shared" si="397"/>
        <v/>
      </c>
      <c r="E7813" s="531"/>
      <c r="F7813" s="531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2" t="str">
        <f t="shared" si="397"/>
        <v/>
      </c>
      <c r="E7814" s="531"/>
      <c r="F7814" s="531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2" t="str">
        <f t="shared" si="397"/>
        <v/>
      </c>
      <c r="E7815" s="531"/>
      <c r="F7815" s="531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2" t="str">
        <f t="shared" si="397"/>
        <v/>
      </c>
      <c r="E7816" s="531"/>
      <c r="F7816" s="531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2" t="str">
        <f t="shared" ref="D7817:D7880" si="400">IF(A7817&lt;&gt;"",PROPER(TEXT(A7817,"Mmmm")),"")</f>
        <v/>
      </c>
      <c r="E7817" s="531"/>
      <c r="F7817" s="531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2" t="str">
        <f t="shared" si="400"/>
        <v/>
      </c>
      <c r="E7818" s="531"/>
      <c r="F7818" s="531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2" t="str">
        <f t="shared" si="400"/>
        <v/>
      </c>
      <c r="E7819" s="531"/>
      <c r="F7819" s="531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2" t="str">
        <f t="shared" si="400"/>
        <v/>
      </c>
      <c r="E7820" s="531"/>
      <c r="F7820" s="531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2" t="str">
        <f t="shared" si="400"/>
        <v/>
      </c>
      <c r="E7821" s="531"/>
      <c r="F7821" s="531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2" t="str">
        <f t="shared" si="400"/>
        <v/>
      </c>
      <c r="E7822" s="531"/>
      <c r="F7822" s="531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2" t="str">
        <f t="shared" si="400"/>
        <v/>
      </c>
      <c r="E7823" s="531"/>
      <c r="F7823" s="531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2" t="str">
        <f t="shared" si="400"/>
        <v/>
      </c>
      <c r="E7824" s="531"/>
      <c r="F7824" s="531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2" t="str">
        <f t="shared" si="400"/>
        <v/>
      </c>
      <c r="E7825" s="531"/>
      <c r="F7825" s="531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2" t="str">
        <f t="shared" si="400"/>
        <v/>
      </c>
      <c r="E7826" s="531"/>
      <c r="F7826" s="531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2" t="str">
        <f t="shared" si="400"/>
        <v/>
      </c>
      <c r="E7827" s="531"/>
      <c r="F7827" s="531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2" t="str">
        <f t="shared" si="400"/>
        <v/>
      </c>
      <c r="E7828" s="531"/>
      <c r="F7828" s="531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2" t="str">
        <f t="shared" si="400"/>
        <v/>
      </c>
      <c r="E7829" s="531"/>
      <c r="F7829" s="531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2" t="str">
        <f t="shared" si="400"/>
        <v/>
      </c>
      <c r="E7830" s="531"/>
      <c r="F7830" s="531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2" t="str">
        <f t="shared" si="400"/>
        <v/>
      </c>
      <c r="E7831" s="531"/>
      <c r="F7831" s="531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2" t="str">
        <f t="shared" si="400"/>
        <v/>
      </c>
      <c r="E7832" s="531"/>
      <c r="F7832" s="531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2" t="str">
        <f t="shared" si="400"/>
        <v/>
      </c>
      <c r="E7833" s="531"/>
      <c r="F7833" s="531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2" t="str">
        <f t="shared" si="400"/>
        <v/>
      </c>
      <c r="E7834" s="531"/>
      <c r="F7834" s="531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2" t="str">
        <f t="shared" si="400"/>
        <v/>
      </c>
      <c r="E7835" s="531"/>
      <c r="F7835" s="531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2" t="str">
        <f t="shared" si="400"/>
        <v/>
      </c>
      <c r="E7836" s="531"/>
      <c r="F7836" s="531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2" t="str">
        <f t="shared" si="400"/>
        <v/>
      </c>
      <c r="E7837" s="531"/>
      <c r="F7837" s="531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2" t="str">
        <f t="shared" si="400"/>
        <v/>
      </c>
      <c r="E7838" s="531"/>
      <c r="F7838" s="531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2" t="str">
        <f t="shared" si="400"/>
        <v/>
      </c>
      <c r="E7839" s="531"/>
      <c r="F7839" s="531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2" t="str">
        <f t="shared" si="400"/>
        <v/>
      </c>
      <c r="E7840" s="531"/>
      <c r="F7840" s="531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2" t="str">
        <f t="shared" si="400"/>
        <v/>
      </c>
      <c r="E7841" s="531"/>
      <c r="F7841" s="531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2" t="str">
        <f t="shared" si="400"/>
        <v/>
      </c>
      <c r="E7842" s="531"/>
      <c r="F7842" s="531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2" t="str">
        <f t="shared" si="400"/>
        <v/>
      </c>
      <c r="E7843" s="531"/>
      <c r="F7843" s="531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2" t="str">
        <f t="shared" si="400"/>
        <v/>
      </c>
      <c r="E7844" s="531"/>
      <c r="F7844" s="531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2" t="str">
        <f t="shared" si="400"/>
        <v/>
      </c>
      <c r="E7845" s="531"/>
      <c r="F7845" s="531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2" t="str">
        <f t="shared" si="400"/>
        <v/>
      </c>
      <c r="E7846" s="531"/>
      <c r="F7846" s="531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2" t="str">
        <f t="shared" si="400"/>
        <v/>
      </c>
      <c r="E7847" s="531"/>
      <c r="F7847" s="531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2" t="str">
        <f t="shared" si="400"/>
        <v/>
      </c>
      <c r="E7848" s="531"/>
      <c r="F7848" s="531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2" t="str">
        <f t="shared" si="400"/>
        <v/>
      </c>
      <c r="E7849" s="531"/>
      <c r="F7849" s="531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2" t="str">
        <f t="shared" si="400"/>
        <v/>
      </c>
      <c r="E7850" s="531"/>
      <c r="F7850" s="531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2" t="str">
        <f t="shared" si="400"/>
        <v/>
      </c>
      <c r="E7851" s="531"/>
      <c r="F7851" s="531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2" t="str">
        <f t="shared" si="400"/>
        <v/>
      </c>
      <c r="E7852" s="531"/>
      <c r="F7852" s="531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2" t="str">
        <f t="shared" si="400"/>
        <v/>
      </c>
      <c r="E7853" s="531"/>
      <c r="F7853" s="531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2" t="str">
        <f t="shared" si="400"/>
        <v/>
      </c>
      <c r="E7854" s="531"/>
      <c r="F7854" s="531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2" t="str">
        <f t="shared" si="400"/>
        <v/>
      </c>
      <c r="E7855" s="531"/>
      <c r="F7855" s="531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2" t="str">
        <f t="shared" si="400"/>
        <v/>
      </c>
      <c r="E7856" s="531"/>
      <c r="F7856" s="531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2" t="str">
        <f t="shared" si="400"/>
        <v/>
      </c>
      <c r="E7857" s="531"/>
      <c r="F7857" s="531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2" t="str">
        <f t="shared" si="400"/>
        <v/>
      </c>
      <c r="E7858" s="531"/>
      <c r="F7858" s="531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2" t="str">
        <f t="shared" si="400"/>
        <v/>
      </c>
      <c r="E7859" s="531"/>
      <c r="F7859" s="531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2" t="str">
        <f t="shared" si="400"/>
        <v/>
      </c>
      <c r="E7860" s="531"/>
      <c r="F7860" s="531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2" t="str">
        <f t="shared" si="400"/>
        <v/>
      </c>
      <c r="E7861" s="531"/>
      <c r="F7861" s="531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2" t="str">
        <f t="shared" si="400"/>
        <v/>
      </c>
      <c r="E7862" s="531"/>
      <c r="F7862" s="531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2" t="str">
        <f t="shared" si="400"/>
        <v/>
      </c>
      <c r="E7863" s="531"/>
      <c r="F7863" s="531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2" t="str">
        <f t="shared" si="400"/>
        <v/>
      </c>
      <c r="E7864" s="531"/>
      <c r="F7864" s="531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2" t="str">
        <f t="shared" si="400"/>
        <v/>
      </c>
      <c r="E7865" s="531"/>
      <c r="F7865" s="531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2" t="str">
        <f t="shared" si="400"/>
        <v/>
      </c>
      <c r="E7866" s="531"/>
      <c r="F7866" s="531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2" t="str">
        <f t="shared" si="400"/>
        <v/>
      </c>
      <c r="E7867" s="531"/>
      <c r="F7867" s="531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2" t="str">
        <f t="shared" si="400"/>
        <v/>
      </c>
      <c r="E7868" s="531"/>
      <c r="F7868" s="531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2" t="str">
        <f t="shared" si="400"/>
        <v/>
      </c>
      <c r="E7869" s="531"/>
      <c r="F7869" s="531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2" t="str">
        <f t="shared" si="400"/>
        <v/>
      </c>
      <c r="E7870" s="531"/>
      <c r="F7870" s="531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2" t="str">
        <f t="shared" si="400"/>
        <v/>
      </c>
      <c r="E7871" s="531"/>
      <c r="F7871" s="531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2" t="str">
        <f t="shared" si="400"/>
        <v/>
      </c>
      <c r="E7872" s="531"/>
      <c r="F7872" s="531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2" t="str">
        <f t="shared" si="400"/>
        <v/>
      </c>
      <c r="E7873" s="531"/>
      <c r="F7873" s="531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2" t="str">
        <f t="shared" si="400"/>
        <v/>
      </c>
      <c r="E7874" s="531"/>
      <c r="F7874" s="531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2" t="str">
        <f t="shared" si="400"/>
        <v/>
      </c>
      <c r="E7875" s="531"/>
      <c r="F7875" s="531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2" t="str">
        <f t="shared" si="400"/>
        <v/>
      </c>
      <c r="E7876" s="531"/>
      <c r="F7876" s="531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2" t="str">
        <f t="shared" si="400"/>
        <v/>
      </c>
      <c r="E7877" s="531"/>
      <c r="F7877" s="531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2" t="str">
        <f t="shared" si="400"/>
        <v/>
      </c>
      <c r="E7878" s="531"/>
      <c r="F7878" s="531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2" t="str">
        <f t="shared" si="400"/>
        <v/>
      </c>
      <c r="E7879" s="531"/>
      <c r="F7879" s="531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2" t="str">
        <f t="shared" si="400"/>
        <v/>
      </c>
      <c r="E7880" s="531"/>
      <c r="F7880" s="531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2" t="str">
        <f t="shared" ref="D7881:D7944" si="403">IF(A7881&lt;&gt;"",PROPER(TEXT(A7881,"Mmmm")),"")</f>
        <v/>
      </c>
      <c r="E7881" s="531"/>
      <c r="F7881" s="531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2" t="str">
        <f t="shared" si="403"/>
        <v/>
      </c>
      <c r="E7882" s="531"/>
      <c r="F7882" s="531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2" t="str">
        <f t="shared" si="403"/>
        <v/>
      </c>
      <c r="E7883" s="531"/>
      <c r="F7883" s="531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2" t="str">
        <f t="shared" si="403"/>
        <v/>
      </c>
      <c r="E7884" s="531"/>
      <c r="F7884" s="531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2" t="str">
        <f t="shared" si="403"/>
        <v/>
      </c>
      <c r="E7885" s="531"/>
      <c r="F7885" s="531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2" t="str">
        <f t="shared" si="403"/>
        <v/>
      </c>
      <c r="E7886" s="531"/>
      <c r="F7886" s="531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2" t="str">
        <f t="shared" si="403"/>
        <v/>
      </c>
      <c r="E7887" s="531"/>
      <c r="F7887" s="531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2" t="str">
        <f t="shared" si="403"/>
        <v/>
      </c>
      <c r="E7888" s="531"/>
      <c r="F7888" s="531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2" t="str">
        <f t="shared" si="403"/>
        <v/>
      </c>
      <c r="E7889" s="531"/>
      <c r="F7889" s="531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2" t="str">
        <f t="shared" si="403"/>
        <v/>
      </c>
      <c r="E7890" s="531"/>
      <c r="F7890" s="531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2" t="str">
        <f t="shared" si="403"/>
        <v/>
      </c>
      <c r="E7891" s="531"/>
      <c r="F7891" s="531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2" t="str">
        <f t="shared" si="403"/>
        <v/>
      </c>
      <c r="E7892" s="531"/>
      <c r="F7892" s="531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2" t="str">
        <f t="shared" si="403"/>
        <v/>
      </c>
      <c r="E7893" s="531"/>
      <c r="F7893" s="531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2" t="str">
        <f t="shared" si="403"/>
        <v/>
      </c>
      <c r="E7894" s="531"/>
      <c r="F7894" s="531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2" t="str">
        <f t="shared" si="403"/>
        <v/>
      </c>
      <c r="E7895" s="531"/>
      <c r="F7895" s="531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2" t="str">
        <f t="shared" si="403"/>
        <v/>
      </c>
      <c r="E7896" s="531"/>
      <c r="F7896" s="531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2" t="str">
        <f t="shared" si="403"/>
        <v/>
      </c>
      <c r="E7897" s="531"/>
      <c r="F7897" s="531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2" t="str">
        <f t="shared" si="403"/>
        <v/>
      </c>
      <c r="E7898" s="531"/>
      <c r="F7898" s="531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2" t="str">
        <f t="shared" si="403"/>
        <v/>
      </c>
      <c r="E7899" s="531"/>
      <c r="F7899" s="531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2" t="str">
        <f t="shared" si="403"/>
        <v/>
      </c>
      <c r="E7900" s="531"/>
      <c r="F7900" s="531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2" t="str">
        <f t="shared" si="403"/>
        <v/>
      </c>
      <c r="E7901" s="531"/>
      <c r="F7901" s="531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2" t="str">
        <f t="shared" si="403"/>
        <v/>
      </c>
      <c r="E7902" s="531"/>
      <c r="F7902" s="531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2" t="str">
        <f t="shared" si="403"/>
        <v/>
      </c>
      <c r="E7903" s="531"/>
      <c r="F7903" s="531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2" t="str">
        <f t="shared" si="403"/>
        <v/>
      </c>
      <c r="E7904" s="531"/>
      <c r="F7904" s="531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2" t="str">
        <f t="shared" si="403"/>
        <v/>
      </c>
      <c r="E7905" s="531"/>
      <c r="F7905" s="531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2" t="str">
        <f t="shared" si="403"/>
        <v/>
      </c>
      <c r="E7906" s="531"/>
      <c r="F7906" s="531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2" t="str">
        <f t="shared" si="403"/>
        <v/>
      </c>
      <c r="E7907" s="531"/>
      <c r="F7907" s="531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2" t="str">
        <f t="shared" si="403"/>
        <v/>
      </c>
      <c r="E7908" s="531"/>
      <c r="F7908" s="531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2" t="str">
        <f t="shared" si="403"/>
        <v/>
      </c>
      <c r="E7909" s="531"/>
      <c r="F7909" s="531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2" t="str">
        <f t="shared" si="403"/>
        <v/>
      </c>
      <c r="E7910" s="531"/>
      <c r="F7910" s="531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2" t="str">
        <f t="shared" si="403"/>
        <v/>
      </c>
      <c r="E7911" s="531"/>
      <c r="F7911" s="531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2" t="str">
        <f t="shared" si="403"/>
        <v/>
      </c>
      <c r="E7912" s="531"/>
      <c r="F7912" s="531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2" t="str">
        <f t="shared" si="403"/>
        <v/>
      </c>
      <c r="E7913" s="531"/>
      <c r="F7913" s="531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2" t="str">
        <f t="shared" si="403"/>
        <v/>
      </c>
      <c r="E7914" s="531"/>
      <c r="F7914" s="531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2" t="str">
        <f t="shared" si="403"/>
        <v/>
      </c>
      <c r="E7915" s="531"/>
      <c r="F7915" s="531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2" t="str">
        <f t="shared" si="403"/>
        <v/>
      </c>
      <c r="E7916" s="531"/>
      <c r="F7916" s="531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2" t="str">
        <f t="shared" si="403"/>
        <v/>
      </c>
      <c r="E7917" s="531"/>
      <c r="F7917" s="531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2" t="str">
        <f t="shared" si="403"/>
        <v/>
      </c>
      <c r="E7918" s="531"/>
      <c r="F7918" s="531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2" t="str">
        <f t="shared" si="403"/>
        <v/>
      </c>
      <c r="E7919" s="531"/>
      <c r="F7919" s="531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2" t="str">
        <f t="shared" si="403"/>
        <v/>
      </c>
      <c r="E7920" s="531"/>
      <c r="F7920" s="531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2" t="str">
        <f t="shared" si="403"/>
        <v/>
      </c>
      <c r="E7921" s="531"/>
      <c r="F7921" s="531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2" t="str">
        <f t="shared" si="403"/>
        <v/>
      </c>
      <c r="E7922" s="531"/>
      <c r="F7922" s="531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2" t="str">
        <f t="shared" si="403"/>
        <v/>
      </c>
      <c r="E7923" s="531"/>
      <c r="F7923" s="531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2" t="str">
        <f t="shared" si="403"/>
        <v/>
      </c>
      <c r="E7924" s="531"/>
      <c r="F7924" s="531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2" t="str">
        <f t="shared" si="403"/>
        <v/>
      </c>
      <c r="E7925" s="531"/>
      <c r="F7925" s="531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2" t="str">
        <f t="shared" si="403"/>
        <v/>
      </c>
      <c r="E7926" s="531"/>
      <c r="F7926" s="531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2" t="str">
        <f t="shared" si="403"/>
        <v/>
      </c>
      <c r="E7927" s="531"/>
      <c r="F7927" s="531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2" t="str">
        <f t="shared" si="403"/>
        <v/>
      </c>
      <c r="E7928" s="531"/>
      <c r="F7928" s="531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2" t="str">
        <f t="shared" si="403"/>
        <v/>
      </c>
      <c r="E7929" s="531"/>
      <c r="F7929" s="531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2" t="str">
        <f t="shared" si="403"/>
        <v/>
      </c>
      <c r="E7930" s="531"/>
      <c r="F7930" s="531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2" t="str">
        <f t="shared" si="403"/>
        <v/>
      </c>
      <c r="E7931" s="531"/>
      <c r="F7931" s="531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2" t="str">
        <f t="shared" si="403"/>
        <v/>
      </c>
      <c r="E7932" s="531"/>
      <c r="F7932" s="531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2" t="str">
        <f t="shared" si="403"/>
        <v/>
      </c>
      <c r="E7933" s="531"/>
      <c r="F7933" s="531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2" t="str">
        <f t="shared" si="403"/>
        <v/>
      </c>
      <c r="E7934" s="531"/>
      <c r="F7934" s="531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2" t="str">
        <f t="shared" si="403"/>
        <v/>
      </c>
      <c r="E7935" s="531"/>
      <c r="F7935" s="531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2" t="str">
        <f t="shared" si="403"/>
        <v/>
      </c>
      <c r="E7936" s="531"/>
      <c r="F7936" s="531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2" t="str">
        <f t="shared" si="403"/>
        <v/>
      </c>
      <c r="E7937" s="531"/>
      <c r="F7937" s="531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2" t="str">
        <f t="shared" si="403"/>
        <v/>
      </c>
      <c r="E7938" s="531"/>
      <c r="F7938" s="531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2" t="str">
        <f t="shared" si="403"/>
        <v/>
      </c>
      <c r="E7939" s="531"/>
      <c r="F7939" s="531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2" t="str">
        <f t="shared" si="403"/>
        <v/>
      </c>
      <c r="E7940" s="531"/>
      <c r="F7940" s="531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2" t="str">
        <f t="shared" si="403"/>
        <v/>
      </c>
      <c r="E7941" s="531"/>
      <c r="F7941" s="531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2" t="str">
        <f t="shared" si="403"/>
        <v/>
      </c>
      <c r="E7942" s="531"/>
      <c r="F7942" s="531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2" t="str">
        <f t="shared" si="403"/>
        <v/>
      </c>
      <c r="E7943" s="531"/>
      <c r="F7943" s="531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2" t="str">
        <f t="shared" si="403"/>
        <v/>
      </c>
      <c r="E7944" s="531"/>
      <c r="F7944" s="531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2" t="str">
        <f t="shared" ref="D7945:D8008" si="406">IF(A7945&lt;&gt;"",PROPER(TEXT(A7945,"Mmmm")),"")</f>
        <v/>
      </c>
      <c r="E7945" s="531"/>
      <c r="F7945" s="531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2" t="str">
        <f t="shared" si="406"/>
        <v/>
      </c>
      <c r="E7946" s="531"/>
      <c r="F7946" s="531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2" t="str">
        <f t="shared" si="406"/>
        <v/>
      </c>
      <c r="E7947" s="531"/>
      <c r="F7947" s="531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2" t="str">
        <f t="shared" si="406"/>
        <v/>
      </c>
      <c r="E7948" s="531"/>
      <c r="F7948" s="531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2" t="str">
        <f t="shared" si="406"/>
        <v/>
      </c>
      <c r="E7949" s="531"/>
      <c r="F7949" s="531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2" t="str">
        <f t="shared" si="406"/>
        <v/>
      </c>
      <c r="E7950" s="531"/>
      <c r="F7950" s="531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2" t="str">
        <f t="shared" si="406"/>
        <v/>
      </c>
      <c r="E7951" s="531"/>
      <c r="F7951" s="531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2" t="str">
        <f t="shared" si="406"/>
        <v/>
      </c>
      <c r="E7952" s="531"/>
      <c r="F7952" s="531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2" t="str">
        <f t="shared" si="406"/>
        <v/>
      </c>
      <c r="E7953" s="531"/>
      <c r="F7953" s="531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2" t="str">
        <f t="shared" si="406"/>
        <v/>
      </c>
      <c r="E7954" s="531"/>
      <c r="F7954" s="531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2" t="str">
        <f t="shared" si="406"/>
        <v/>
      </c>
      <c r="E7955" s="531"/>
      <c r="F7955" s="531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2" t="str">
        <f t="shared" si="406"/>
        <v/>
      </c>
      <c r="E7956" s="531"/>
      <c r="F7956" s="531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2" t="str">
        <f t="shared" si="406"/>
        <v/>
      </c>
      <c r="E7957" s="531"/>
      <c r="F7957" s="531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2" t="str">
        <f t="shared" si="406"/>
        <v/>
      </c>
      <c r="E7958" s="531"/>
      <c r="F7958" s="531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2" t="str">
        <f t="shared" si="406"/>
        <v/>
      </c>
      <c r="E7959" s="531"/>
      <c r="F7959" s="531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2" t="str">
        <f t="shared" si="406"/>
        <v/>
      </c>
      <c r="E7960" s="531"/>
      <c r="F7960" s="531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2" t="str">
        <f t="shared" si="406"/>
        <v/>
      </c>
      <c r="E7961" s="531"/>
      <c r="F7961" s="531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2" t="str">
        <f t="shared" si="406"/>
        <v/>
      </c>
      <c r="E7962" s="531"/>
      <c r="F7962" s="531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2" t="str">
        <f t="shared" si="406"/>
        <v/>
      </c>
      <c r="E7963" s="531"/>
      <c r="F7963" s="531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2" t="str">
        <f t="shared" si="406"/>
        <v/>
      </c>
      <c r="E7964" s="531"/>
      <c r="F7964" s="531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2" t="str">
        <f t="shared" si="406"/>
        <v/>
      </c>
      <c r="E7965" s="531"/>
      <c r="F7965" s="531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2" t="str">
        <f t="shared" si="406"/>
        <v/>
      </c>
      <c r="E7966" s="531"/>
      <c r="F7966" s="531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2" t="str">
        <f t="shared" si="406"/>
        <v/>
      </c>
      <c r="E7967" s="531"/>
      <c r="F7967" s="531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2" t="str">
        <f t="shared" si="406"/>
        <v/>
      </c>
      <c r="E7968" s="531"/>
      <c r="F7968" s="531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2" t="str">
        <f t="shared" si="406"/>
        <v/>
      </c>
      <c r="E7969" s="531"/>
      <c r="F7969" s="531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2" t="str">
        <f t="shared" si="406"/>
        <v/>
      </c>
      <c r="E7970" s="531"/>
      <c r="F7970" s="531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2" t="str">
        <f t="shared" si="406"/>
        <v/>
      </c>
      <c r="E7971" s="531"/>
      <c r="F7971" s="531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2" t="str">
        <f t="shared" si="406"/>
        <v/>
      </c>
      <c r="E7972" s="531"/>
      <c r="F7972" s="531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2" t="str">
        <f t="shared" si="406"/>
        <v/>
      </c>
      <c r="E7973" s="531"/>
      <c r="F7973" s="531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2" t="str">
        <f t="shared" si="406"/>
        <v/>
      </c>
      <c r="E7974" s="531"/>
      <c r="F7974" s="531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2" t="str">
        <f t="shared" si="406"/>
        <v/>
      </c>
      <c r="E7975" s="531"/>
      <c r="F7975" s="531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2" t="str">
        <f t="shared" si="406"/>
        <v/>
      </c>
      <c r="E7976" s="531"/>
      <c r="F7976" s="531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2" t="str">
        <f t="shared" si="406"/>
        <v/>
      </c>
      <c r="E7977" s="531"/>
      <c r="F7977" s="531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2" t="str">
        <f t="shared" si="406"/>
        <v/>
      </c>
      <c r="E7978" s="531"/>
      <c r="F7978" s="531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2" t="str">
        <f t="shared" si="406"/>
        <v/>
      </c>
      <c r="E7979" s="531"/>
      <c r="F7979" s="531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2" t="str">
        <f t="shared" si="406"/>
        <v/>
      </c>
      <c r="E7980" s="531"/>
      <c r="F7980" s="531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2" t="str">
        <f t="shared" si="406"/>
        <v/>
      </c>
      <c r="E7981" s="531"/>
      <c r="F7981" s="531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2" t="str">
        <f t="shared" si="406"/>
        <v/>
      </c>
      <c r="E7982" s="531"/>
      <c r="F7982" s="531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2" t="str">
        <f t="shared" si="406"/>
        <v/>
      </c>
      <c r="E7983" s="531"/>
      <c r="F7983" s="531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2" t="str">
        <f t="shared" si="406"/>
        <v/>
      </c>
      <c r="E7984" s="531"/>
      <c r="F7984" s="531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2" t="str">
        <f t="shared" si="406"/>
        <v/>
      </c>
      <c r="E7985" s="531"/>
      <c r="F7985" s="531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2" t="str">
        <f t="shared" si="406"/>
        <v/>
      </c>
      <c r="E7986" s="531"/>
      <c r="F7986" s="531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2" t="str">
        <f t="shared" si="406"/>
        <v/>
      </c>
      <c r="E7987" s="531"/>
      <c r="F7987" s="531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2" t="str">
        <f t="shared" si="406"/>
        <v/>
      </c>
      <c r="E7988" s="531"/>
      <c r="F7988" s="531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2" t="str">
        <f t="shared" si="406"/>
        <v/>
      </c>
      <c r="E7989" s="531"/>
      <c r="F7989" s="531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2" t="str">
        <f t="shared" si="406"/>
        <v/>
      </c>
      <c r="E7990" s="531"/>
      <c r="F7990" s="531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2" t="str">
        <f t="shared" si="406"/>
        <v/>
      </c>
      <c r="E7991" s="531"/>
      <c r="F7991" s="531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2" t="str">
        <f t="shared" si="406"/>
        <v/>
      </c>
      <c r="E7992" s="531"/>
      <c r="F7992" s="531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2" t="str">
        <f t="shared" si="406"/>
        <v/>
      </c>
      <c r="E7993" s="531"/>
      <c r="F7993" s="531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2" t="str">
        <f t="shared" si="406"/>
        <v/>
      </c>
      <c r="E7994" s="531"/>
      <c r="F7994" s="531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2" t="str">
        <f t="shared" si="406"/>
        <v/>
      </c>
      <c r="E7995" s="531"/>
      <c r="F7995" s="531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2" t="str">
        <f t="shared" si="406"/>
        <v/>
      </c>
      <c r="E7996" s="531"/>
      <c r="F7996" s="531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2" t="str">
        <f t="shared" si="406"/>
        <v/>
      </c>
      <c r="E7997" s="531"/>
      <c r="F7997" s="531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2" t="str">
        <f t="shared" si="406"/>
        <v/>
      </c>
      <c r="E7998" s="531"/>
      <c r="F7998" s="531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2" t="str">
        <f t="shared" si="406"/>
        <v/>
      </c>
      <c r="E7999" s="531"/>
      <c r="F7999" s="531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2" t="str">
        <f t="shared" si="406"/>
        <v/>
      </c>
      <c r="E8000" s="531"/>
      <c r="F8000" s="531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2" t="str">
        <f t="shared" si="406"/>
        <v/>
      </c>
      <c r="E8001" s="531"/>
      <c r="F8001" s="531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2" t="str">
        <f t="shared" si="406"/>
        <v/>
      </c>
      <c r="E8002" s="531"/>
      <c r="F8002" s="531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2" t="str">
        <f t="shared" si="406"/>
        <v/>
      </c>
      <c r="E8003" s="531"/>
      <c r="F8003" s="531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2" t="str">
        <f t="shared" si="406"/>
        <v/>
      </c>
      <c r="E8004" s="531"/>
      <c r="F8004" s="531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2" t="str">
        <f t="shared" si="406"/>
        <v/>
      </c>
      <c r="E8005" s="531"/>
      <c r="F8005" s="531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2" t="str">
        <f t="shared" si="406"/>
        <v/>
      </c>
      <c r="E8006" s="531"/>
      <c r="F8006" s="531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2" t="str">
        <f t="shared" si="406"/>
        <v/>
      </c>
      <c r="E8007" s="531"/>
      <c r="F8007" s="531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2" t="str">
        <f t="shared" si="406"/>
        <v/>
      </c>
      <c r="E8008" s="531"/>
      <c r="F8008" s="531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2" t="str">
        <f t="shared" ref="D8009:D8072" si="409">IF(A8009&lt;&gt;"",PROPER(TEXT(A8009,"Mmmm")),"")</f>
        <v/>
      </c>
      <c r="E8009" s="531"/>
      <c r="F8009" s="531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2" t="str">
        <f t="shared" si="409"/>
        <v/>
      </c>
      <c r="E8010" s="531"/>
      <c r="F8010" s="531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2" t="str">
        <f t="shared" si="409"/>
        <v/>
      </c>
      <c r="E8011" s="531"/>
      <c r="F8011" s="531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2" t="str">
        <f t="shared" si="409"/>
        <v/>
      </c>
      <c r="E8012" s="531"/>
      <c r="F8012" s="531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2" t="str">
        <f t="shared" si="409"/>
        <v/>
      </c>
      <c r="E8013" s="531"/>
      <c r="F8013" s="531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2" t="str">
        <f t="shared" si="409"/>
        <v/>
      </c>
      <c r="E8014" s="531"/>
      <c r="F8014" s="531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2" t="str">
        <f t="shared" si="409"/>
        <v/>
      </c>
      <c r="E8015" s="531"/>
      <c r="F8015" s="531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2" t="str">
        <f t="shared" si="409"/>
        <v/>
      </c>
      <c r="E8016" s="531"/>
      <c r="F8016" s="531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2" t="str">
        <f t="shared" si="409"/>
        <v/>
      </c>
      <c r="E8017" s="531"/>
      <c r="F8017" s="531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2" t="str">
        <f t="shared" si="409"/>
        <v/>
      </c>
      <c r="E8018" s="531"/>
      <c r="F8018" s="531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2" t="str">
        <f t="shared" si="409"/>
        <v/>
      </c>
      <c r="E8019" s="531"/>
      <c r="F8019" s="531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2" t="str">
        <f t="shared" si="409"/>
        <v/>
      </c>
      <c r="E8020" s="531"/>
      <c r="F8020" s="531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2" t="str">
        <f t="shared" si="409"/>
        <v/>
      </c>
      <c r="E8021" s="531"/>
      <c r="F8021" s="531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2" t="str">
        <f t="shared" si="409"/>
        <v/>
      </c>
      <c r="E8022" s="531"/>
      <c r="F8022" s="531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2" t="str">
        <f t="shared" si="409"/>
        <v/>
      </c>
      <c r="E8023" s="531"/>
      <c r="F8023" s="531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2" t="str">
        <f t="shared" si="409"/>
        <v/>
      </c>
      <c r="E8024" s="531"/>
      <c r="F8024" s="531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2" t="str">
        <f t="shared" si="409"/>
        <v/>
      </c>
      <c r="E8025" s="531"/>
      <c r="F8025" s="531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2" t="str">
        <f t="shared" si="409"/>
        <v/>
      </c>
      <c r="E8026" s="531"/>
      <c r="F8026" s="531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2" t="str">
        <f t="shared" si="409"/>
        <v/>
      </c>
      <c r="E8027" s="531"/>
      <c r="F8027" s="531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2" t="str">
        <f t="shared" si="409"/>
        <v/>
      </c>
      <c r="E8028" s="531"/>
      <c r="F8028" s="531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2" t="str">
        <f t="shared" si="409"/>
        <v/>
      </c>
      <c r="E8029" s="531"/>
      <c r="F8029" s="531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2" t="str">
        <f t="shared" si="409"/>
        <v/>
      </c>
      <c r="E8030" s="531"/>
      <c r="F8030" s="531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2" t="str">
        <f t="shared" si="409"/>
        <v/>
      </c>
      <c r="E8031" s="531"/>
      <c r="F8031" s="531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2" t="str">
        <f t="shared" si="409"/>
        <v/>
      </c>
      <c r="E8032" s="531"/>
      <c r="F8032" s="531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2" t="str">
        <f t="shared" si="409"/>
        <v/>
      </c>
      <c r="E8033" s="531"/>
      <c r="F8033" s="531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2" t="str">
        <f t="shared" si="409"/>
        <v/>
      </c>
      <c r="E8034" s="531"/>
      <c r="F8034" s="531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2" t="str">
        <f t="shared" si="409"/>
        <v/>
      </c>
      <c r="E8035" s="531"/>
      <c r="F8035" s="531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2" t="str">
        <f t="shared" si="409"/>
        <v/>
      </c>
      <c r="E8036" s="531"/>
      <c r="F8036" s="531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2" t="str">
        <f t="shared" si="409"/>
        <v/>
      </c>
      <c r="E8037" s="531"/>
      <c r="F8037" s="531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2" t="str">
        <f t="shared" si="409"/>
        <v/>
      </c>
      <c r="E8038" s="531"/>
      <c r="F8038" s="531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2" t="str">
        <f t="shared" si="409"/>
        <v/>
      </c>
      <c r="E8039" s="531"/>
      <c r="F8039" s="531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2" t="str">
        <f t="shared" si="409"/>
        <v/>
      </c>
      <c r="E8040" s="531"/>
      <c r="F8040" s="531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2" t="str">
        <f t="shared" si="409"/>
        <v/>
      </c>
      <c r="E8041" s="531"/>
      <c r="F8041" s="531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2" t="str">
        <f t="shared" si="409"/>
        <v/>
      </c>
      <c r="E8042" s="531"/>
      <c r="F8042" s="531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2" t="str">
        <f t="shared" si="409"/>
        <v/>
      </c>
      <c r="E8043" s="531"/>
      <c r="F8043" s="531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2" t="str">
        <f t="shared" si="409"/>
        <v/>
      </c>
      <c r="E8044" s="531"/>
      <c r="F8044" s="531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2" t="str">
        <f t="shared" si="409"/>
        <v/>
      </c>
      <c r="E8045" s="531"/>
      <c r="F8045" s="531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2" t="str">
        <f t="shared" si="409"/>
        <v/>
      </c>
      <c r="E8046" s="531"/>
      <c r="F8046" s="531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2" t="str">
        <f t="shared" si="409"/>
        <v/>
      </c>
      <c r="E8047" s="531"/>
      <c r="F8047" s="531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2" t="str">
        <f t="shared" si="409"/>
        <v/>
      </c>
      <c r="E8048" s="531"/>
      <c r="F8048" s="531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2" t="str">
        <f t="shared" si="409"/>
        <v/>
      </c>
      <c r="E8049" s="531"/>
      <c r="F8049" s="531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2" t="str">
        <f t="shared" si="409"/>
        <v/>
      </c>
      <c r="E8050" s="531"/>
      <c r="F8050" s="531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2" t="str">
        <f t="shared" si="409"/>
        <v/>
      </c>
      <c r="E8051" s="531"/>
      <c r="F8051" s="531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2" t="str">
        <f t="shared" si="409"/>
        <v/>
      </c>
      <c r="E8052" s="531"/>
      <c r="F8052" s="531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2" t="str">
        <f t="shared" si="409"/>
        <v/>
      </c>
      <c r="E8053" s="531"/>
      <c r="F8053" s="531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2" t="str">
        <f t="shared" si="409"/>
        <v/>
      </c>
      <c r="E8054" s="531"/>
      <c r="F8054" s="531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2" t="str">
        <f t="shared" si="409"/>
        <v/>
      </c>
      <c r="E8055" s="531"/>
      <c r="F8055" s="531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2" t="str">
        <f t="shared" si="409"/>
        <v/>
      </c>
      <c r="E8056" s="531"/>
      <c r="F8056" s="531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2" t="str">
        <f t="shared" si="409"/>
        <v/>
      </c>
      <c r="E8057" s="531"/>
      <c r="F8057" s="531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2" t="str">
        <f t="shared" si="409"/>
        <v/>
      </c>
      <c r="E8058" s="531"/>
      <c r="F8058" s="531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2" t="str">
        <f t="shared" si="409"/>
        <v/>
      </c>
      <c r="E8059" s="531"/>
      <c r="F8059" s="531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2" t="str">
        <f t="shared" si="409"/>
        <v/>
      </c>
      <c r="E8060" s="531"/>
      <c r="F8060" s="531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2" t="str">
        <f t="shared" si="409"/>
        <v/>
      </c>
      <c r="E8061" s="531"/>
      <c r="F8061" s="531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2" t="str">
        <f t="shared" si="409"/>
        <v/>
      </c>
      <c r="E8062" s="531"/>
      <c r="F8062" s="531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2" t="str">
        <f t="shared" si="409"/>
        <v/>
      </c>
      <c r="E8063" s="531"/>
      <c r="F8063" s="531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2" t="str">
        <f t="shared" si="409"/>
        <v/>
      </c>
      <c r="E8064" s="531"/>
      <c r="F8064" s="531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2" t="str">
        <f t="shared" si="409"/>
        <v/>
      </c>
      <c r="E8065" s="531"/>
      <c r="F8065" s="531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2" t="str">
        <f t="shared" si="409"/>
        <v/>
      </c>
      <c r="E8066" s="531"/>
      <c r="F8066" s="531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2" t="str">
        <f t="shared" si="409"/>
        <v/>
      </c>
      <c r="E8067" s="531"/>
      <c r="F8067" s="531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2" t="str">
        <f t="shared" si="409"/>
        <v/>
      </c>
      <c r="E8068" s="531"/>
      <c r="F8068" s="531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2" t="str">
        <f t="shared" si="409"/>
        <v/>
      </c>
      <c r="E8069" s="531"/>
      <c r="F8069" s="531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2" t="str">
        <f t="shared" si="409"/>
        <v/>
      </c>
      <c r="E8070" s="531"/>
      <c r="F8070" s="531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2" t="str">
        <f t="shared" si="409"/>
        <v/>
      </c>
      <c r="E8071" s="531"/>
      <c r="F8071" s="531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2" t="str">
        <f t="shared" si="409"/>
        <v/>
      </c>
      <c r="E8072" s="531"/>
      <c r="F8072" s="531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2" t="str">
        <f t="shared" ref="D8073:D8136" si="412">IF(A8073&lt;&gt;"",PROPER(TEXT(A8073,"Mmmm")),"")</f>
        <v/>
      </c>
      <c r="E8073" s="531"/>
      <c r="F8073" s="531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2" t="str">
        <f t="shared" si="412"/>
        <v/>
      </c>
      <c r="E8074" s="531"/>
      <c r="F8074" s="531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2" t="str">
        <f t="shared" si="412"/>
        <v/>
      </c>
      <c r="E8075" s="531"/>
      <c r="F8075" s="531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2" t="str">
        <f t="shared" si="412"/>
        <v/>
      </c>
      <c r="E8076" s="531"/>
      <c r="F8076" s="531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2" t="str">
        <f t="shared" si="412"/>
        <v/>
      </c>
      <c r="E8077" s="531"/>
      <c r="F8077" s="531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2" t="str">
        <f t="shared" si="412"/>
        <v/>
      </c>
      <c r="E8078" s="531"/>
      <c r="F8078" s="531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2" t="str">
        <f t="shared" si="412"/>
        <v/>
      </c>
      <c r="E8079" s="531"/>
      <c r="F8079" s="531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2" t="str">
        <f t="shared" si="412"/>
        <v/>
      </c>
      <c r="E8080" s="531"/>
      <c r="F8080" s="531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2" t="str">
        <f t="shared" si="412"/>
        <v/>
      </c>
      <c r="E8081" s="531"/>
      <c r="F8081" s="531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2" t="str">
        <f t="shared" si="412"/>
        <v/>
      </c>
      <c r="E8082" s="531"/>
      <c r="F8082" s="531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2" t="str">
        <f t="shared" si="412"/>
        <v/>
      </c>
      <c r="E8083" s="531"/>
      <c r="F8083" s="531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2" t="str">
        <f t="shared" si="412"/>
        <v/>
      </c>
      <c r="E8084" s="531"/>
      <c r="F8084" s="531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2" t="str">
        <f t="shared" si="412"/>
        <v/>
      </c>
      <c r="E8085" s="531"/>
      <c r="F8085" s="531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2" t="str">
        <f t="shared" si="412"/>
        <v/>
      </c>
      <c r="E8086" s="531"/>
      <c r="F8086" s="531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2" t="str">
        <f t="shared" si="412"/>
        <v/>
      </c>
      <c r="E8087" s="531"/>
      <c r="F8087" s="531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2" t="str">
        <f t="shared" si="412"/>
        <v/>
      </c>
      <c r="E8088" s="531"/>
      <c r="F8088" s="531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2" t="str">
        <f t="shared" si="412"/>
        <v/>
      </c>
      <c r="E8089" s="531"/>
      <c r="F8089" s="531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2" t="str">
        <f t="shared" si="412"/>
        <v/>
      </c>
      <c r="E8090" s="531"/>
      <c r="F8090" s="531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2" t="str">
        <f t="shared" si="412"/>
        <v/>
      </c>
      <c r="E8091" s="531"/>
      <c r="F8091" s="531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2" t="str">
        <f t="shared" si="412"/>
        <v/>
      </c>
      <c r="E8092" s="531"/>
      <c r="F8092" s="531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2" t="str">
        <f t="shared" si="412"/>
        <v/>
      </c>
      <c r="E8093" s="531"/>
      <c r="F8093" s="531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2" t="str">
        <f t="shared" si="412"/>
        <v/>
      </c>
      <c r="E8094" s="531"/>
      <c r="F8094" s="531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2" t="str">
        <f t="shared" si="412"/>
        <v/>
      </c>
      <c r="E8095" s="531"/>
      <c r="F8095" s="531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2" t="str">
        <f t="shared" si="412"/>
        <v/>
      </c>
      <c r="E8096" s="531"/>
      <c r="F8096" s="531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2" t="str">
        <f t="shared" si="412"/>
        <v/>
      </c>
      <c r="E8097" s="531"/>
      <c r="F8097" s="531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2" t="str">
        <f t="shared" si="412"/>
        <v/>
      </c>
      <c r="E8098" s="531"/>
      <c r="F8098" s="531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2" t="str">
        <f t="shared" si="412"/>
        <v/>
      </c>
      <c r="E8099" s="531"/>
      <c r="F8099" s="531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2" t="str">
        <f t="shared" si="412"/>
        <v/>
      </c>
      <c r="E8100" s="531"/>
      <c r="F8100" s="531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2" t="str">
        <f t="shared" si="412"/>
        <v/>
      </c>
      <c r="E8101" s="531"/>
      <c r="F8101" s="531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2" t="str">
        <f t="shared" si="412"/>
        <v/>
      </c>
      <c r="E8102" s="531"/>
      <c r="F8102" s="531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2" t="str">
        <f t="shared" si="412"/>
        <v/>
      </c>
      <c r="E8103" s="531"/>
      <c r="F8103" s="531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2" t="str">
        <f t="shared" si="412"/>
        <v/>
      </c>
      <c r="E8104" s="531"/>
      <c r="F8104" s="531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2" t="str">
        <f t="shared" si="412"/>
        <v/>
      </c>
      <c r="E8105" s="531"/>
      <c r="F8105" s="531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2" t="str">
        <f t="shared" si="412"/>
        <v/>
      </c>
      <c r="E8106" s="531"/>
      <c r="F8106" s="531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2" t="str">
        <f t="shared" si="412"/>
        <v/>
      </c>
      <c r="E8107" s="531"/>
      <c r="F8107" s="531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2" t="str">
        <f t="shared" si="412"/>
        <v/>
      </c>
      <c r="E8108" s="531"/>
      <c r="F8108" s="531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2" t="str">
        <f t="shared" si="412"/>
        <v/>
      </c>
      <c r="E8109" s="531"/>
      <c r="F8109" s="531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2" t="str">
        <f t="shared" si="412"/>
        <v/>
      </c>
      <c r="E8110" s="531"/>
      <c r="F8110" s="531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2" t="str">
        <f t="shared" si="412"/>
        <v/>
      </c>
      <c r="E8111" s="531"/>
      <c r="F8111" s="531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2" t="str">
        <f t="shared" si="412"/>
        <v/>
      </c>
      <c r="E8112" s="531"/>
      <c r="F8112" s="531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2" t="str">
        <f t="shared" si="412"/>
        <v/>
      </c>
      <c r="E8113" s="531"/>
      <c r="F8113" s="531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2" t="str">
        <f t="shared" si="412"/>
        <v/>
      </c>
      <c r="E8114" s="531"/>
      <c r="F8114" s="531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2" t="str">
        <f t="shared" si="412"/>
        <v/>
      </c>
      <c r="E8115" s="531"/>
      <c r="F8115" s="531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2" t="str">
        <f t="shared" si="412"/>
        <v/>
      </c>
      <c r="E8116" s="531"/>
      <c r="F8116" s="531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2" t="str">
        <f t="shared" si="412"/>
        <v/>
      </c>
      <c r="E8117" s="531"/>
      <c r="F8117" s="531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2" t="str">
        <f t="shared" si="412"/>
        <v/>
      </c>
      <c r="E8118" s="531"/>
      <c r="F8118" s="531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2" t="str">
        <f t="shared" si="412"/>
        <v/>
      </c>
      <c r="E8119" s="531"/>
      <c r="F8119" s="531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2" t="str">
        <f t="shared" si="412"/>
        <v/>
      </c>
      <c r="E8120" s="531"/>
      <c r="F8120" s="531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2" t="str">
        <f t="shared" si="412"/>
        <v/>
      </c>
      <c r="E8121" s="531"/>
      <c r="F8121" s="531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2" t="str">
        <f t="shared" si="412"/>
        <v/>
      </c>
      <c r="E8122" s="531"/>
      <c r="F8122" s="531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2" t="str">
        <f t="shared" si="412"/>
        <v/>
      </c>
      <c r="E8123" s="531"/>
      <c r="F8123" s="531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2" t="str">
        <f t="shared" si="412"/>
        <v/>
      </c>
      <c r="E8124" s="531"/>
      <c r="F8124" s="531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2" t="str">
        <f t="shared" si="412"/>
        <v/>
      </c>
      <c r="E8125" s="531"/>
      <c r="F8125" s="531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2" t="str">
        <f t="shared" si="412"/>
        <v/>
      </c>
      <c r="E8126" s="531"/>
      <c r="F8126" s="531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2" t="str">
        <f t="shared" si="412"/>
        <v/>
      </c>
      <c r="E8127" s="531"/>
      <c r="F8127" s="531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2" t="str">
        <f t="shared" si="412"/>
        <v/>
      </c>
      <c r="E8128" s="531"/>
      <c r="F8128" s="531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2" t="str">
        <f t="shared" si="412"/>
        <v/>
      </c>
      <c r="E8129" s="531"/>
      <c r="F8129" s="531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2" t="str">
        <f t="shared" si="412"/>
        <v/>
      </c>
      <c r="E8130" s="531"/>
      <c r="F8130" s="531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2" t="str">
        <f t="shared" si="412"/>
        <v/>
      </c>
      <c r="E8131" s="531"/>
      <c r="F8131" s="531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2" t="str">
        <f t="shared" si="412"/>
        <v/>
      </c>
      <c r="E8132" s="531"/>
      <c r="F8132" s="531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2" t="str">
        <f t="shared" si="412"/>
        <v/>
      </c>
      <c r="E8133" s="531"/>
      <c r="F8133" s="531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2" t="str">
        <f t="shared" si="412"/>
        <v/>
      </c>
      <c r="E8134" s="531"/>
      <c r="F8134" s="531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2" t="str">
        <f t="shared" si="412"/>
        <v/>
      </c>
      <c r="E8135" s="531"/>
      <c r="F8135" s="531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2" t="str">
        <f t="shared" si="412"/>
        <v/>
      </c>
      <c r="E8136" s="531"/>
      <c r="F8136" s="531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2" t="str">
        <f t="shared" ref="D8137:D8200" si="415">IF(A8137&lt;&gt;"",PROPER(TEXT(A8137,"Mmmm")),"")</f>
        <v/>
      </c>
      <c r="E8137" s="531"/>
      <c r="F8137" s="531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2" t="str">
        <f t="shared" si="415"/>
        <v/>
      </c>
      <c r="E8138" s="531"/>
      <c r="F8138" s="531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2" t="str">
        <f t="shared" si="415"/>
        <v/>
      </c>
      <c r="E8139" s="531"/>
      <c r="F8139" s="531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2" t="str">
        <f t="shared" si="415"/>
        <v/>
      </c>
      <c r="E8140" s="531"/>
      <c r="F8140" s="531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2" t="str">
        <f t="shared" si="415"/>
        <v/>
      </c>
      <c r="E8141" s="531"/>
      <c r="F8141" s="531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2" t="str">
        <f t="shared" si="415"/>
        <v/>
      </c>
      <c r="E8142" s="531"/>
      <c r="F8142" s="531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2" t="str">
        <f t="shared" si="415"/>
        <v/>
      </c>
      <c r="E8143" s="531"/>
      <c r="F8143" s="531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2" t="str">
        <f t="shared" si="415"/>
        <v/>
      </c>
      <c r="E8144" s="531"/>
      <c r="F8144" s="531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2" t="str">
        <f t="shared" si="415"/>
        <v/>
      </c>
      <c r="E8145" s="531"/>
      <c r="F8145" s="531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2" t="str">
        <f t="shared" si="415"/>
        <v/>
      </c>
      <c r="E8146" s="531"/>
      <c r="F8146" s="531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2" t="str">
        <f t="shared" si="415"/>
        <v/>
      </c>
      <c r="E8147" s="531"/>
      <c r="F8147" s="531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2" t="str">
        <f t="shared" si="415"/>
        <v/>
      </c>
      <c r="E8148" s="531"/>
      <c r="F8148" s="531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2" t="str">
        <f t="shared" si="415"/>
        <v/>
      </c>
      <c r="E8149" s="531"/>
      <c r="F8149" s="531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2" t="str">
        <f t="shared" si="415"/>
        <v/>
      </c>
      <c r="E8150" s="531"/>
      <c r="F8150" s="531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2" t="str">
        <f t="shared" si="415"/>
        <v/>
      </c>
      <c r="E8151" s="531"/>
      <c r="F8151" s="531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2" t="str">
        <f t="shared" si="415"/>
        <v/>
      </c>
      <c r="E8152" s="531"/>
      <c r="F8152" s="531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2" t="str">
        <f t="shared" si="415"/>
        <v/>
      </c>
      <c r="E8153" s="531"/>
      <c r="F8153" s="531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2" t="str">
        <f t="shared" si="415"/>
        <v/>
      </c>
      <c r="E8154" s="531"/>
      <c r="F8154" s="531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2" t="str">
        <f t="shared" si="415"/>
        <v/>
      </c>
      <c r="E8155" s="531"/>
      <c r="F8155" s="531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2" t="str">
        <f t="shared" si="415"/>
        <v/>
      </c>
      <c r="E8156" s="531"/>
      <c r="F8156" s="531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2" t="str">
        <f t="shared" si="415"/>
        <v/>
      </c>
      <c r="E8157" s="531"/>
      <c r="F8157" s="531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2" t="str">
        <f t="shared" si="415"/>
        <v/>
      </c>
      <c r="E8158" s="531"/>
      <c r="F8158" s="531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2" t="str">
        <f t="shared" si="415"/>
        <v/>
      </c>
      <c r="E8159" s="531"/>
      <c r="F8159" s="531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2" t="str">
        <f t="shared" si="415"/>
        <v/>
      </c>
      <c r="E8160" s="531"/>
      <c r="F8160" s="531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2" t="str">
        <f t="shared" si="415"/>
        <v/>
      </c>
      <c r="E8161" s="531"/>
      <c r="F8161" s="531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2" t="str">
        <f t="shared" si="415"/>
        <v/>
      </c>
      <c r="E8162" s="531"/>
      <c r="F8162" s="531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2" t="str">
        <f t="shared" si="415"/>
        <v/>
      </c>
      <c r="E8163" s="531"/>
      <c r="F8163" s="531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2" t="str">
        <f t="shared" si="415"/>
        <v/>
      </c>
      <c r="E8164" s="531"/>
      <c r="F8164" s="531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2" t="str">
        <f t="shared" si="415"/>
        <v/>
      </c>
      <c r="E8165" s="531"/>
      <c r="F8165" s="531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2" t="str">
        <f t="shared" si="415"/>
        <v/>
      </c>
      <c r="E8166" s="531"/>
      <c r="F8166" s="531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2" t="str">
        <f t="shared" si="415"/>
        <v/>
      </c>
      <c r="E8167" s="531"/>
      <c r="F8167" s="531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2" t="str">
        <f t="shared" si="415"/>
        <v/>
      </c>
      <c r="E8168" s="531"/>
      <c r="F8168" s="531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2" t="str">
        <f t="shared" si="415"/>
        <v/>
      </c>
      <c r="E8169" s="531"/>
      <c r="F8169" s="531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2" t="str">
        <f t="shared" si="415"/>
        <v/>
      </c>
      <c r="E8170" s="531"/>
      <c r="F8170" s="531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2" t="str">
        <f t="shared" si="415"/>
        <v/>
      </c>
      <c r="E8171" s="531"/>
      <c r="F8171" s="531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2" t="str">
        <f t="shared" si="415"/>
        <v/>
      </c>
      <c r="E8172" s="531"/>
      <c r="F8172" s="531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2" t="str">
        <f t="shared" si="415"/>
        <v/>
      </c>
      <c r="E8173" s="531"/>
      <c r="F8173" s="531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2" t="str">
        <f t="shared" si="415"/>
        <v/>
      </c>
      <c r="E8174" s="531"/>
      <c r="F8174" s="531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2" t="str">
        <f t="shared" si="415"/>
        <v/>
      </c>
      <c r="E8175" s="531"/>
      <c r="F8175" s="531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2" t="str">
        <f t="shared" si="415"/>
        <v/>
      </c>
      <c r="E8176" s="531"/>
      <c r="F8176" s="531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2" t="str">
        <f t="shared" si="415"/>
        <v/>
      </c>
      <c r="E8177" s="531"/>
      <c r="F8177" s="531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2" t="str">
        <f t="shared" si="415"/>
        <v/>
      </c>
      <c r="E8178" s="531"/>
      <c r="F8178" s="531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2" t="str">
        <f t="shared" si="415"/>
        <v/>
      </c>
      <c r="E8179" s="531"/>
      <c r="F8179" s="531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2" t="str">
        <f t="shared" si="415"/>
        <v/>
      </c>
      <c r="E8180" s="531"/>
      <c r="F8180" s="531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2" t="str">
        <f t="shared" si="415"/>
        <v/>
      </c>
      <c r="E8181" s="531"/>
      <c r="F8181" s="531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2" t="str">
        <f t="shared" si="415"/>
        <v/>
      </c>
      <c r="E8182" s="531"/>
      <c r="F8182" s="531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2" t="str">
        <f t="shared" si="415"/>
        <v/>
      </c>
      <c r="E8183" s="531"/>
      <c r="F8183" s="531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2" t="str">
        <f t="shared" si="415"/>
        <v/>
      </c>
      <c r="E8184" s="531"/>
      <c r="F8184" s="531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2" t="str">
        <f t="shared" si="415"/>
        <v/>
      </c>
      <c r="E8185" s="531"/>
      <c r="F8185" s="531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2" t="str">
        <f t="shared" si="415"/>
        <v/>
      </c>
      <c r="E8186" s="531"/>
      <c r="F8186" s="531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2" t="str">
        <f t="shared" si="415"/>
        <v/>
      </c>
      <c r="E8187" s="531"/>
      <c r="F8187" s="531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2" t="str">
        <f t="shared" si="415"/>
        <v/>
      </c>
      <c r="E8188" s="531"/>
      <c r="F8188" s="531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2" t="str">
        <f t="shared" si="415"/>
        <v/>
      </c>
      <c r="E8189" s="531"/>
      <c r="F8189" s="531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2" t="str">
        <f t="shared" si="415"/>
        <v/>
      </c>
      <c r="E8190" s="531"/>
      <c r="F8190" s="531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2" t="str">
        <f t="shared" si="415"/>
        <v/>
      </c>
      <c r="E8191" s="531"/>
      <c r="F8191" s="531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2" t="str">
        <f t="shared" si="415"/>
        <v/>
      </c>
      <c r="E8192" s="531"/>
      <c r="F8192" s="531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2" t="str">
        <f t="shared" si="415"/>
        <v/>
      </c>
      <c r="E8193" s="531"/>
      <c r="F8193" s="531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2" t="str">
        <f t="shared" si="415"/>
        <v/>
      </c>
      <c r="E8194" s="531"/>
      <c r="F8194" s="531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2" t="str">
        <f t="shared" si="415"/>
        <v/>
      </c>
      <c r="E8195" s="531"/>
      <c r="F8195" s="531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2" t="str">
        <f t="shared" si="415"/>
        <v/>
      </c>
      <c r="E8196" s="531"/>
      <c r="F8196" s="531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2" t="str">
        <f t="shared" si="415"/>
        <v/>
      </c>
      <c r="E8197" s="531"/>
      <c r="F8197" s="531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2" t="str">
        <f t="shared" si="415"/>
        <v/>
      </c>
      <c r="E8198" s="531"/>
      <c r="F8198" s="531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2" t="str">
        <f t="shared" si="415"/>
        <v/>
      </c>
      <c r="E8199" s="531"/>
      <c r="F8199" s="531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2" t="str">
        <f t="shared" si="415"/>
        <v/>
      </c>
      <c r="E8200" s="531"/>
      <c r="F8200" s="531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2" t="str">
        <f t="shared" ref="D8201:D8264" si="418">IF(A8201&lt;&gt;"",PROPER(TEXT(A8201,"Mmmm")),"")</f>
        <v/>
      </c>
      <c r="E8201" s="531"/>
      <c r="F8201" s="531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2" t="str">
        <f t="shared" si="418"/>
        <v/>
      </c>
      <c r="E8202" s="531"/>
      <c r="F8202" s="531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2" t="str">
        <f t="shared" si="418"/>
        <v/>
      </c>
      <c r="E8203" s="531"/>
      <c r="F8203" s="531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2" t="str">
        <f t="shared" si="418"/>
        <v/>
      </c>
      <c r="E8204" s="531"/>
      <c r="F8204" s="531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2" t="str">
        <f t="shared" si="418"/>
        <v/>
      </c>
      <c r="E8205" s="531"/>
      <c r="F8205" s="531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2" t="str">
        <f t="shared" si="418"/>
        <v/>
      </c>
      <c r="E8206" s="531"/>
      <c r="F8206" s="531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2" t="str">
        <f t="shared" si="418"/>
        <v/>
      </c>
      <c r="E8207" s="531"/>
      <c r="F8207" s="531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2" t="str">
        <f t="shared" si="418"/>
        <v/>
      </c>
      <c r="E8208" s="531"/>
      <c r="F8208" s="531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2" t="str">
        <f t="shared" si="418"/>
        <v/>
      </c>
      <c r="E8209" s="531"/>
      <c r="F8209" s="531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2" t="str">
        <f t="shared" si="418"/>
        <v/>
      </c>
      <c r="E8210" s="531"/>
      <c r="F8210" s="531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2" t="str">
        <f t="shared" si="418"/>
        <v/>
      </c>
      <c r="E8211" s="531"/>
      <c r="F8211" s="531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2" t="str">
        <f t="shared" si="418"/>
        <v/>
      </c>
      <c r="E8212" s="531"/>
      <c r="F8212" s="531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2" t="str">
        <f t="shared" si="418"/>
        <v/>
      </c>
      <c r="E8213" s="531"/>
      <c r="F8213" s="531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2" t="str">
        <f t="shared" si="418"/>
        <v/>
      </c>
      <c r="E8214" s="531"/>
      <c r="F8214" s="531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2" t="str">
        <f t="shared" si="418"/>
        <v/>
      </c>
      <c r="E8215" s="531"/>
      <c r="F8215" s="531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2" t="str">
        <f t="shared" si="418"/>
        <v/>
      </c>
      <c r="E8216" s="531"/>
      <c r="F8216" s="531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2" t="str">
        <f t="shared" si="418"/>
        <v/>
      </c>
      <c r="E8217" s="531"/>
      <c r="F8217" s="531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2" t="str">
        <f t="shared" si="418"/>
        <v/>
      </c>
      <c r="E8218" s="531"/>
      <c r="F8218" s="531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2" t="str">
        <f t="shared" si="418"/>
        <v/>
      </c>
      <c r="E8219" s="531"/>
      <c r="F8219" s="531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2" t="str">
        <f t="shared" si="418"/>
        <v/>
      </c>
      <c r="E8220" s="531"/>
      <c r="F8220" s="531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2" t="str">
        <f t="shared" si="418"/>
        <v/>
      </c>
      <c r="E8221" s="531"/>
      <c r="F8221" s="531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2" t="str">
        <f t="shared" si="418"/>
        <v/>
      </c>
      <c r="E8222" s="531"/>
      <c r="F8222" s="531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2" t="str">
        <f t="shared" si="418"/>
        <v/>
      </c>
      <c r="E8223" s="531"/>
      <c r="F8223" s="531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2" t="str">
        <f t="shared" si="418"/>
        <v/>
      </c>
      <c r="E8224" s="531"/>
      <c r="F8224" s="531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2" t="str">
        <f t="shared" si="418"/>
        <v/>
      </c>
      <c r="E8225" s="531"/>
      <c r="F8225" s="531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2" t="str">
        <f t="shared" si="418"/>
        <v/>
      </c>
      <c r="E8226" s="531"/>
      <c r="F8226" s="531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2" t="str">
        <f t="shared" si="418"/>
        <v/>
      </c>
      <c r="E8227" s="531"/>
      <c r="F8227" s="531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2" t="str">
        <f t="shared" si="418"/>
        <v/>
      </c>
      <c r="E8228" s="531"/>
      <c r="F8228" s="531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2" t="str">
        <f t="shared" si="418"/>
        <v/>
      </c>
      <c r="E8229" s="531"/>
      <c r="F8229" s="531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2" t="str">
        <f t="shared" si="418"/>
        <v/>
      </c>
      <c r="E8230" s="531"/>
      <c r="F8230" s="531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2" t="str">
        <f t="shared" si="418"/>
        <v/>
      </c>
      <c r="E8231" s="531"/>
      <c r="F8231" s="531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2" t="str">
        <f t="shared" si="418"/>
        <v/>
      </c>
      <c r="E8232" s="531"/>
      <c r="F8232" s="531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2" t="str">
        <f t="shared" si="418"/>
        <v/>
      </c>
      <c r="E8233" s="531"/>
      <c r="F8233" s="531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2" t="str">
        <f t="shared" si="418"/>
        <v/>
      </c>
      <c r="E8234" s="531"/>
      <c r="F8234" s="531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2" t="str">
        <f t="shared" si="418"/>
        <v/>
      </c>
      <c r="E8235" s="531"/>
      <c r="F8235" s="531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2" t="str">
        <f t="shared" si="418"/>
        <v/>
      </c>
      <c r="E8236" s="531"/>
      <c r="F8236" s="531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2" t="str">
        <f t="shared" si="418"/>
        <v/>
      </c>
      <c r="E8237" s="531"/>
      <c r="F8237" s="531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2" t="str">
        <f t="shared" si="418"/>
        <v/>
      </c>
      <c r="E8238" s="531"/>
      <c r="F8238" s="531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2" t="str">
        <f t="shared" si="418"/>
        <v/>
      </c>
      <c r="E8239" s="531"/>
      <c r="F8239" s="531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2" t="str">
        <f t="shared" si="418"/>
        <v/>
      </c>
      <c r="E8240" s="531"/>
      <c r="F8240" s="531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2" t="str">
        <f t="shared" si="418"/>
        <v/>
      </c>
      <c r="E8241" s="531"/>
      <c r="F8241" s="531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2" t="str">
        <f t="shared" si="418"/>
        <v/>
      </c>
      <c r="E8242" s="531"/>
      <c r="F8242" s="531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2" t="str">
        <f t="shared" si="418"/>
        <v/>
      </c>
      <c r="E8243" s="531"/>
      <c r="F8243" s="531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2" t="str">
        <f t="shared" si="418"/>
        <v/>
      </c>
      <c r="E8244" s="531"/>
      <c r="F8244" s="531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2" t="str">
        <f t="shared" si="418"/>
        <v/>
      </c>
      <c r="E8245" s="531"/>
      <c r="F8245" s="531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2" t="str">
        <f t="shared" si="418"/>
        <v/>
      </c>
      <c r="E8246" s="531"/>
      <c r="F8246" s="531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2" t="str">
        <f t="shared" si="418"/>
        <v/>
      </c>
      <c r="E8247" s="531"/>
      <c r="F8247" s="531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2" t="str">
        <f t="shared" si="418"/>
        <v/>
      </c>
      <c r="E8248" s="531"/>
      <c r="F8248" s="531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2" t="str">
        <f t="shared" si="418"/>
        <v/>
      </c>
      <c r="E8249" s="531"/>
      <c r="F8249" s="531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2" t="str">
        <f t="shared" si="418"/>
        <v/>
      </c>
      <c r="E8250" s="531"/>
      <c r="F8250" s="531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2" t="str">
        <f t="shared" si="418"/>
        <v/>
      </c>
      <c r="E8251" s="531"/>
      <c r="F8251" s="531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2" t="str">
        <f t="shared" si="418"/>
        <v/>
      </c>
      <c r="E8252" s="531"/>
      <c r="F8252" s="531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2" t="str">
        <f t="shared" si="418"/>
        <v/>
      </c>
      <c r="E8253" s="531"/>
      <c r="F8253" s="531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2" t="str">
        <f t="shared" si="418"/>
        <v/>
      </c>
      <c r="E8254" s="531"/>
      <c r="F8254" s="531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2" t="str">
        <f t="shared" si="418"/>
        <v/>
      </c>
      <c r="E8255" s="531"/>
      <c r="F8255" s="531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2" t="str">
        <f t="shared" si="418"/>
        <v/>
      </c>
      <c r="E8256" s="531"/>
      <c r="F8256" s="531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2" t="str">
        <f t="shared" si="418"/>
        <v/>
      </c>
      <c r="E8257" s="531"/>
      <c r="F8257" s="531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2" t="str">
        <f t="shared" si="418"/>
        <v/>
      </c>
      <c r="E8258" s="531"/>
      <c r="F8258" s="531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2" t="str">
        <f t="shared" si="418"/>
        <v/>
      </c>
      <c r="E8259" s="531"/>
      <c r="F8259" s="531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2" t="str">
        <f t="shared" si="418"/>
        <v/>
      </c>
      <c r="E8260" s="531"/>
      <c r="F8260" s="531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2" t="str">
        <f t="shared" si="418"/>
        <v/>
      </c>
      <c r="E8261" s="531"/>
      <c r="F8261" s="531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2" t="str">
        <f t="shared" si="418"/>
        <v/>
      </c>
      <c r="E8262" s="531"/>
      <c r="F8262" s="531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2" t="str">
        <f t="shared" si="418"/>
        <v/>
      </c>
      <c r="E8263" s="531"/>
      <c r="F8263" s="531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2" t="str">
        <f t="shared" si="418"/>
        <v/>
      </c>
      <c r="E8264" s="531"/>
      <c r="F8264" s="531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2" t="str">
        <f t="shared" ref="D8265:D8328" si="421">IF(A8265&lt;&gt;"",PROPER(TEXT(A8265,"Mmmm")),"")</f>
        <v/>
      </c>
      <c r="E8265" s="531"/>
      <c r="F8265" s="531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2" t="str">
        <f t="shared" si="421"/>
        <v/>
      </c>
      <c r="E8266" s="531"/>
      <c r="F8266" s="531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2" t="str">
        <f t="shared" si="421"/>
        <v/>
      </c>
      <c r="E8267" s="531"/>
      <c r="F8267" s="531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2" t="str">
        <f t="shared" si="421"/>
        <v/>
      </c>
      <c r="E8268" s="531"/>
      <c r="F8268" s="531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2" t="str">
        <f t="shared" si="421"/>
        <v/>
      </c>
      <c r="E8269" s="531"/>
      <c r="F8269" s="531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2" t="str">
        <f t="shared" si="421"/>
        <v/>
      </c>
      <c r="E8270" s="531"/>
      <c r="F8270" s="531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2" t="str">
        <f t="shared" si="421"/>
        <v/>
      </c>
      <c r="E8271" s="531"/>
      <c r="F8271" s="531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2" t="str">
        <f t="shared" si="421"/>
        <v/>
      </c>
      <c r="E8272" s="531"/>
      <c r="F8272" s="531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2" t="str">
        <f t="shared" si="421"/>
        <v/>
      </c>
      <c r="E8273" s="531"/>
      <c r="F8273" s="531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2" t="str">
        <f t="shared" si="421"/>
        <v/>
      </c>
      <c r="E8274" s="531"/>
      <c r="F8274" s="531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2" t="str">
        <f t="shared" si="421"/>
        <v/>
      </c>
      <c r="E8275" s="531"/>
      <c r="F8275" s="531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2" t="str">
        <f t="shared" si="421"/>
        <v/>
      </c>
      <c r="E8276" s="531"/>
      <c r="F8276" s="531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2" t="str">
        <f t="shared" si="421"/>
        <v/>
      </c>
      <c r="E8277" s="531"/>
      <c r="F8277" s="531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2" t="str">
        <f t="shared" si="421"/>
        <v/>
      </c>
      <c r="E8278" s="531"/>
      <c r="F8278" s="531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2" t="str">
        <f t="shared" si="421"/>
        <v/>
      </c>
      <c r="E8279" s="531"/>
      <c r="F8279" s="531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2" t="str">
        <f t="shared" si="421"/>
        <v/>
      </c>
      <c r="E8280" s="531"/>
      <c r="F8280" s="531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2" t="str">
        <f t="shared" si="421"/>
        <v/>
      </c>
      <c r="E8281" s="531"/>
      <c r="F8281" s="531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2" t="str">
        <f t="shared" si="421"/>
        <v/>
      </c>
      <c r="E8282" s="531"/>
      <c r="F8282" s="531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2" t="str">
        <f t="shared" si="421"/>
        <v/>
      </c>
      <c r="E8283" s="531"/>
      <c r="F8283" s="531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2" t="str">
        <f t="shared" si="421"/>
        <v/>
      </c>
      <c r="E8284" s="531"/>
      <c r="F8284" s="531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2" t="str">
        <f t="shared" si="421"/>
        <v/>
      </c>
      <c r="E8285" s="531"/>
      <c r="F8285" s="531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2" t="str">
        <f t="shared" si="421"/>
        <v/>
      </c>
      <c r="E8286" s="531"/>
      <c r="F8286" s="531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2" t="str">
        <f t="shared" si="421"/>
        <v/>
      </c>
      <c r="E8287" s="531"/>
      <c r="F8287" s="531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2" t="str">
        <f t="shared" si="421"/>
        <v/>
      </c>
      <c r="E8288" s="531"/>
      <c r="F8288" s="531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2" t="str">
        <f t="shared" si="421"/>
        <v/>
      </c>
      <c r="E8289" s="531"/>
      <c r="F8289" s="531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2" t="str">
        <f t="shared" si="421"/>
        <v/>
      </c>
      <c r="E8290" s="531"/>
      <c r="F8290" s="531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2" t="str">
        <f t="shared" si="421"/>
        <v/>
      </c>
      <c r="E8291" s="531"/>
      <c r="F8291" s="531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2" t="str">
        <f t="shared" si="421"/>
        <v/>
      </c>
      <c r="E8292" s="531"/>
      <c r="F8292" s="531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2" t="str">
        <f t="shared" si="421"/>
        <v/>
      </c>
      <c r="E8293" s="531"/>
      <c r="F8293" s="531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2" t="str">
        <f t="shared" si="421"/>
        <v/>
      </c>
      <c r="E8294" s="531"/>
      <c r="F8294" s="531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2" t="str">
        <f t="shared" si="421"/>
        <v/>
      </c>
      <c r="E8295" s="531"/>
      <c r="F8295" s="531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2" t="str">
        <f t="shared" si="421"/>
        <v/>
      </c>
      <c r="E8296" s="531"/>
      <c r="F8296" s="531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2" t="str">
        <f t="shared" si="421"/>
        <v/>
      </c>
      <c r="E8297" s="531"/>
      <c r="F8297" s="531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2" t="str">
        <f t="shared" si="421"/>
        <v/>
      </c>
      <c r="E8298" s="531"/>
      <c r="F8298" s="531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2" t="str">
        <f t="shared" si="421"/>
        <v/>
      </c>
      <c r="E8299" s="531"/>
      <c r="F8299" s="531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2" t="str">
        <f t="shared" si="421"/>
        <v/>
      </c>
      <c r="E8300" s="531"/>
      <c r="F8300" s="531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2" t="str">
        <f t="shared" si="421"/>
        <v/>
      </c>
      <c r="E8301" s="531"/>
      <c r="F8301" s="531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2" t="str">
        <f t="shared" si="421"/>
        <v/>
      </c>
      <c r="E8302" s="531"/>
      <c r="F8302" s="531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2" t="str">
        <f t="shared" si="421"/>
        <v/>
      </c>
      <c r="E8303" s="531"/>
      <c r="F8303" s="531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2" t="str">
        <f t="shared" si="421"/>
        <v/>
      </c>
      <c r="E8304" s="531"/>
      <c r="F8304" s="531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2" t="str">
        <f t="shared" si="421"/>
        <v/>
      </c>
      <c r="E8305" s="531"/>
      <c r="F8305" s="531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2" t="str">
        <f t="shared" si="421"/>
        <v/>
      </c>
      <c r="E8306" s="531"/>
      <c r="F8306" s="531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2" t="str">
        <f t="shared" si="421"/>
        <v/>
      </c>
      <c r="E8307" s="531"/>
      <c r="F8307" s="531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2" t="str">
        <f t="shared" si="421"/>
        <v/>
      </c>
      <c r="E8308" s="531"/>
      <c r="F8308" s="531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2" t="str">
        <f t="shared" si="421"/>
        <v/>
      </c>
      <c r="E8309" s="531"/>
      <c r="F8309" s="531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2" t="str">
        <f t="shared" si="421"/>
        <v/>
      </c>
      <c r="E8310" s="531"/>
      <c r="F8310" s="531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2" t="str">
        <f t="shared" si="421"/>
        <v/>
      </c>
      <c r="E8311" s="531"/>
      <c r="F8311" s="531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2" t="str">
        <f t="shared" si="421"/>
        <v/>
      </c>
      <c r="E8312" s="531"/>
      <c r="F8312" s="531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2" t="str">
        <f t="shared" si="421"/>
        <v/>
      </c>
      <c r="E8313" s="531"/>
      <c r="F8313" s="531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2" t="str">
        <f t="shared" si="421"/>
        <v/>
      </c>
      <c r="E8314" s="531"/>
      <c r="F8314" s="531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2" t="str">
        <f t="shared" si="421"/>
        <v/>
      </c>
      <c r="E8315" s="531"/>
      <c r="F8315" s="531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2" t="str">
        <f t="shared" si="421"/>
        <v/>
      </c>
      <c r="E8316" s="531"/>
      <c r="F8316" s="531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2" t="str">
        <f t="shared" si="421"/>
        <v/>
      </c>
      <c r="E8317" s="531"/>
      <c r="F8317" s="531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2" t="str">
        <f t="shared" si="421"/>
        <v/>
      </c>
      <c r="E8318" s="531"/>
      <c r="F8318" s="531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2" t="str">
        <f t="shared" si="421"/>
        <v/>
      </c>
      <c r="E8319" s="531"/>
      <c r="F8319" s="531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2" t="str">
        <f t="shared" si="421"/>
        <v/>
      </c>
      <c r="E8320" s="531"/>
      <c r="F8320" s="531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2" t="str">
        <f t="shared" si="421"/>
        <v/>
      </c>
      <c r="E8321" s="531"/>
      <c r="F8321" s="531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2" t="str">
        <f t="shared" si="421"/>
        <v/>
      </c>
      <c r="E8322" s="531"/>
      <c r="F8322" s="531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2" t="str">
        <f t="shared" si="421"/>
        <v/>
      </c>
      <c r="E8323" s="531"/>
      <c r="F8323" s="531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2" t="str">
        <f t="shared" si="421"/>
        <v/>
      </c>
      <c r="E8324" s="531"/>
      <c r="F8324" s="531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2" t="str">
        <f t="shared" si="421"/>
        <v/>
      </c>
      <c r="E8325" s="531"/>
      <c r="F8325" s="531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2" t="str">
        <f t="shared" si="421"/>
        <v/>
      </c>
      <c r="E8326" s="531"/>
      <c r="F8326" s="531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2" t="str">
        <f t="shared" si="421"/>
        <v/>
      </c>
      <c r="E8327" s="531"/>
      <c r="F8327" s="531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2" t="str">
        <f t="shared" si="421"/>
        <v/>
      </c>
      <c r="E8328" s="531"/>
      <c r="F8328" s="531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2" t="str">
        <f t="shared" ref="D8329:D8392" si="424">IF(A8329&lt;&gt;"",PROPER(TEXT(A8329,"Mmmm")),"")</f>
        <v/>
      </c>
      <c r="E8329" s="531"/>
      <c r="F8329" s="531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2" t="str">
        <f t="shared" si="424"/>
        <v/>
      </c>
      <c r="E8330" s="531"/>
      <c r="F8330" s="531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2" t="str">
        <f t="shared" si="424"/>
        <v/>
      </c>
      <c r="E8331" s="531"/>
      <c r="F8331" s="531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2" t="str">
        <f t="shared" si="424"/>
        <v/>
      </c>
      <c r="E8332" s="531"/>
      <c r="F8332" s="531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2" t="str">
        <f t="shared" si="424"/>
        <v/>
      </c>
      <c r="E8333" s="531"/>
      <c r="F8333" s="531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2" t="str">
        <f t="shared" si="424"/>
        <v/>
      </c>
      <c r="E8334" s="531"/>
      <c r="F8334" s="531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2" t="str">
        <f t="shared" si="424"/>
        <v/>
      </c>
      <c r="E8335" s="531"/>
      <c r="F8335" s="531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2" t="str">
        <f t="shared" si="424"/>
        <v/>
      </c>
      <c r="E8336" s="531"/>
      <c r="F8336" s="531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2" t="str">
        <f t="shared" si="424"/>
        <v/>
      </c>
      <c r="E8337" s="531"/>
      <c r="F8337" s="531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2" t="str">
        <f t="shared" si="424"/>
        <v/>
      </c>
      <c r="E8338" s="531"/>
      <c r="F8338" s="531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2" t="str">
        <f t="shared" si="424"/>
        <v/>
      </c>
      <c r="E8339" s="531"/>
      <c r="F8339" s="531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2" t="str">
        <f t="shared" si="424"/>
        <v/>
      </c>
      <c r="E8340" s="531"/>
      <c r="F8340" s="531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2" t="str">
        <f t="shared" si="424"/>
        <v/>
      </c>
      <c r="E8341" s="531"/>
      <c r="F8341" s="531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2" t="str">
        <f t="shared" si="424"/>
        <v/>
      </c>
      <c r="E8342" s="531"/>
      <c r="F8342" s="531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2" t="str">
        <f t="shared" si="424"/>
        <v/>
      </c>
      <c r="E8343" s="531"/>
      <c r="F8343" s="531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2" t="str">
        <f t="shared" si="424"/>
        <v/>
      </c>
      <c r="E8344" s="531"/>
      <c r="F8344" s="531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2" t="str">
        <f t="shared" si="424"/>
        <v/>
      </c>
      <c r="E8345" s="531"/>
      <c r="F8345" s="531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2" t="str">
        <f t="shared" si="424"/>
        <v/>
      </c>
      <c r="E8346" s="531"/>
      <c r="F8346" s="531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2" t="str">
        <f t="shared" si="424"/>
        <v/>
      </c>
      <c r="E8347" s="531"/>
      <c r="F8347" s="531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2" t="str">
        <f t="shared" si="424"/>
        <v/>
      </c>
      <c r="E8348" s="531"/>
      <c r="F8348" s="531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2" t="str">
        <f t="shared" si="424"/>
        <v/>
      </c>
      <c r="E8349" s="531"/>
      <c r="F8349" s="531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2" t="str">
        <f t="shared" si="424"/>
        <v/>
      </c>
      <c r="E8350" s="531"/>
      <c r="F8350" s="531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2" t="str">
        <f t="shared" si="424"/>
        <v/>
      </c>
      <c r="E8351" s="531"/>
      <c r="F8351" s="531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2" t="str">
        <f t="shared" si="424"/>
        <v/>
      </c>
      <c r="E8352" s="531"/>
      <c r="F8352" s="531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2" t="str">
        <f t="shared" si="424"/>
        <v/>
      </c>
      <c r="E8353" s="531"/>
      <c r="F8353" s="531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2" t="str">
        <f t="shared" si="424"/>
        <v/>
      </c>
      <c r="E8354" s="531"/>
      <c r="F8354" s="531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2" t="str">
        <f t="shared" si="424"/>
        <v/>
      </c>
      <c r="E8355" s="531"/>
      <c r="F8355" s="531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2" t="str">
        <f t="shared" si="424"/>
        <v/>
      </c>
      <c r="E8356" s="531"/>
      <c r="F8356" s="531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2" t="str">
        <f t="shared" si="424"/>
        <v/>
      </c>
      <c r="E8357" s="531"/>
      <c r="F8357" s="531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2" t="str">
        <f t="shared" si="424"/>
        <v/>
      </c>
      <c r="E8358" s="531"/>
      <c r="F8358" s="531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2" t="str">
        <f t="shared" si="424"/>
        <v/>
      </c>
      <c r="E8359" s="531"/>
      <c r="F8359" s="531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2" t="str">
        <f t="shared" si="424"/>
        <v/>
      </c>
      <c r="E8360" s="531"/>
      <c r="F8360" s="531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2" t="str">
        <f t="shared" si="424"/>
        <v/>
      </c>
      <c r="E8361" s="531"/>
      <c r="F8361" s="531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2" t="str">
        <f t="shared" si="424"/>
        <v/>
      </c>
      <c r="E8362" s="531"/>
      <c r="F8362" s="531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2" t="str">
        <f t="shared" si="424"/>
        <v/>
      </c>
      <c r="E8363" s="531"/>
      <c r="F8363" s="531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2" t="str">
        <f t="shared" si="424"/>
        <v/>
      </c>
      <c r="E8364" s="531"/>
      <c r="F8364" s="531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2" t="str">
        <f t="shared" si="424"/>
        <v/>
      </c>
      <c r="E8365" s="531"/>
      <c r="F8365" s="531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2" t="str">
        <f t="shared" si="424"/>
        <v/>
      </c>
      <c r="E8366" s="531"/>
      <c r="F8366" s="531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2" t="str">
        <f t="shared" si="424"/>
        <v/>
      </c>
      <c r="E8367" s="531"/>
      <c r="F8367" s="531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2" t="str">
        <f t="shared" si="424"/>
        <v/>
      </c>
      <c r="E8368" s="531"/>
      <c r="F8368" s="531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2" t="str">
        <f t="shared" si="424"/>
        <v/>
      </c>
      <c r="E8369" s="531"/>
      <c r="F8369" s="531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2" t="str">
        <f t="shared" si="424"/>
        <v/>
      </c>
      <c r="E8370" s="531"/>
      <c r="F8370" s="531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2" t="str">
        <f t="shared" si="424"/>
        <v/>
      </c>
      <c r="E8371" s="531"/>
      <c r="F8371" s="531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2" t="str">
        <f t="shared" si="424"/>
        <v/>
      </c>
      <c r="E8372" s="531"/>
      <c r="F8372" s="531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2" t="str">
        <f t="shared" si="424"/>
        <v/>
      </c>
      <c r="E8373" s="531"/>
      <c r="F8373" s="531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2" t="str">
        <f t="shared" si="424"/>
        <v/>
      </c>
      <c r="E8374" s="531"/>
      <c r="F8374" s="531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2" t="str">
        <f t="shared" si="424"/>
        <v/>
      </c>
      <c r="E8375" s="531"/>
      <c r="F8375" s="531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2" t="str">
        <f t="shared" si="424"/>
        <v/>
      </c>
      <c r="E8376" s="531"/>
      <c r="F8376" s="531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2" t="str">
        <f t="shared" si="424"/>
        <v/>
      </c>
      <c r="E8377" s="531"/>
      <c r="F8377" s="531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2" t="str">
        <f t="shared" si="424"/>
        <v/>
      </c>
      <c r="E8378" s="531"/>
      <c r="F8378" s="531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2" t="str">
        <f t="shared" si="424"/>
        <v/>
      </c>
      <c r="E8379" s="531"/>
      <c r="F8379" s="531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2" t="str">
        <f t="shared" si="424"/>
        <v/>
      </c>
      <c r="E8380" s="531"/>
      <c r="F8380" s="531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2" t="str">
        <f t="shared" si="424"/>
        <v/>
      </c>
      <c r="E8381" s="531"/>
      <c r="F8381" s="531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2" t="str">
        <f t="shared" si="424"/>
        <v/>
      </c>
      <c r="E8382" s="531"/>
      <c r="F8382" s="531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2" t="str">
        <f t="shared" si="424"/>
        <v/>
      </c>
      <c r="E8383" s="531"/>
      <c r="F8383" s="531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2" t="str">
        <f t="shared" si="424"/>
        <v/>
      </c>
      <c r="E8384" s="531"/>
      <c r="F8384" s="531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2" t="str">
        <f t="shared" si="424"/>
        <v/>
      </c>
      <c r="E8385" s="531"/>
      <c r="F8385" s="531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2" t="str">
        <f t="shared" si="424"/>
        <v/>
      </c>
      <c r="E8386" s="531"/>
      <c r="F8386" s="531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2" t="str">
        <f t="shared" si="424"/>
        <v/>
      </c>
      <c r="E8387" s="531"/>
      <c r="F8387" s="531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2" t="str">
        <f t="shared" si="424"/>
        <v/>
      </c>
      <c r="E8388" s="531"/>
      <c r="F8388" s="531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2" t="str">
        <f t="shared" si="424"/>
        <v/>
      </c>
      <c r="E8389" s="531"/>
      <c r="F8389" s="531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2" t="str">
        <f t="shared" si="424"/>
        <v/>
      </c>
      <c r="E8390" s="531"/>
      <c r="F8390" s="531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2" t="str">
        <f t="shared" si="424"/>
        <v/>
      </c>
      <c r="E8391" s="531"/>
      <c r="F8391" s="531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2" t="str">
        <f t="shared" si="424"/>
        <v/>
      </c>
      <c r="E8392" s="531"/>
      <c r="F8392" s="531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2" t="str">
        <f t="shared" ref="D8393:D8456" si="427">IF(A8393&lt;&gt;"",PROPER(TEXT(A8393,"Mmmm")),"")</f>
        <v/>
      </c>
      <c r="E8393" s="531"/>
      <c r="F8393" s="531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2" t="str">
        <f t="shared" si="427"/>
        <v/>
      </c>
      <c r="E8394" s="531"/>
      <c r="F8394" s="531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2" t="str">
        <f t="shared" si="427"/>
        <v/>
      </c>
      <c r="E8395" s="531"/>
      <c r="F8395" s="531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2" t="str">
        <f t="shared" si="427"/>
        <v/>
      </c>
      <c r="E8396" s="531"/>
      <c r="F8396" s="531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2" t="str">
        <f t="shared" si="427"/>
        <v/>
      </c>
      <c r="E8397" s="531"/>
      <c r="F8397" s="531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2" t="str">
        <f t="shared" si="427"/>
        <v/>
      </c>
      <c r="E8398" s="531"/>
      <c r="F8398" s="531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2" t="str">
        <f t="shared" si="427"/>
        <v/>
      </c>
      <c r="E8399" s="531"/>
      <c r="F8399" s="531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2" t="str">
        <f t="shared" si="427"/>
        <v/>
      </c>
      <c r="E8400" s="531"/>
      <c r="F8400" s="531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2" t="str">
        <f t="shared" si="427"/>
        <v/>
      </c>
      <c r="E8401" s="531"/>
      <c r="F8401" s="531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2" t="str">
        <f t="shared" si="427"/>
        <v/>
      </c>
      <c r="E8402" s="531"/>
      <c r="F8402" s="531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2" t="str">
        <f t="shared" si="427"/>
        <v/>
      </c>
      <c r="E8403" s="531"/>
      <c r="F8403" s="531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2" t="str">
        <f t="shared" si="427"/>
        <v/>
      </c>
      <c r="E8404" s="531"/>
      <c r="F8404" s="531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2" t="str">
        <f t="shared" si="427"/>
        <v/>
      </c>
      <c r="E8405" s="531"/>
      <c r="F8405" s="531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2" t="str">
        <f t="shared" si="427"/>
        <v/>
      </c>
      <c r="E8406" s="531"/>
      <c r="F8406" s="531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2" t="str">
        <f t="shared" si="427"/>
        <v/>
      </c>
      <c r="E8407" s="531"/>
      <c r="F8407" s="531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2" t="str">
        <f t="shared" si="427"/>
        <v/>
      </c>
      <c r="E8408" s="531"/>
      <c r="F8408" s="531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2" t="str">
        <f t="shared" si="427"/>
        <v/>
      </c>
      <c r="E8409" s="531"/>
      <c r="F8409" s="531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2" t="str">
        <f t="shared" si="427"/>
        <v/>
      </c>
      <c r="E8410" s="531"/>
      <c r="F8410" s="531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2" t="str">
        <f t="shared" si="427"/>
        <v/>
      </c>
      <c r="E8411" s="531"/>
      <c r="F8411" s="531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2" t="str">
        <f t="shared" si="427"/>
        <v/>
      </c>
      <c r="E8412" s="531"/>
      <c r="F8412" s="531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2" t="str">
        <f t="shared" si="427"/>
        <v/>
      </c>
      <c r="E8413" s="531"/>
      <c r="F8413" s="531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2" t="str">
        <f t="shared" si="427"/>
        <v/>
      </c>
      <c r="E8414" s="531"/>
      <c r="F8414" s="531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2" t="str">
        <f t="shared" si="427"/>
        <v/>
      </c>
      <c r="E8415" s="531"/>
      <c r="F8415" s="531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2" t="str">
        <f t="shared" si="427"/>
        <v/>
      </c>
      <c r="E8416" s="531"/>
      <c r="F8416" s="531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2" t="str">
        <f t="shared" si="427"/>
        <v/>
      </c>
      <c r="E8417" s="531"/>
      <c r="F8417" s="531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2" t="str">
        <f t="shared" si="427"/>
        <v/>
      </c>
      <c r="E8418" s="531"/>
      <c r="F8418" s="531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2" t="str">
        <f t="shared" si="427"/>
        <v/>
      </c>
      <c r="E8419" s="531"/>
      <c r="F8419" s="531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2" t="str">
        <f t="shared" si="427"/>
        <v/>
      </c>
      <c r="E8420" s="531"/>
      <c r="F8420" s="531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2" t="str">
        <f t="shared" si="427"/>
        <v/>
      </c>
      <c r="E8421" s="531"/>
      <c r="F8421" s="531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2" t="str">
        <f t="shared" si="427"/>
        <v/>
      </c>
      <c r="E8422" s="531"/>
      <c r="F8422" s="531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2" t="str">
        <f t="shared" si="427"/>
        <v/>
      </c>
      <c r="E8423" s="531"/>
      <c r="F8423" s="531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2" t="str">
        <f t="shared" si="427"/>
        <v/>
      </c>
      <c r="E8424" s="531"/>
      <c r="F8424" s="531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2" t="str">
        <f t="shared" si="427"/>
        <v/>
      </c>
      <c r="E8425" s="531"/>
      <c r="F8425" s="531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2" t="str">
        <f t="shared" si="427"/>
        <v/>
      </c>
      <c r="E8426" s="531"/>
      <c r="F8426" s="531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2" t="str">
        <f t="shared" si="427"/>
        <v/>
      </c>
      <c r="E8427" s="531"/>
      <c r="F8427" s="531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2" t="str">
        <f t="shared" si="427"/>
        <v/>
      </c>
      <c r="E8428" s="531"/>
      <c r="F8428" s="531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2" t="str">
        <f t="shared" si="427"/>
        <v/>
      </c>
      <c r="E8429" s="531"/>
      <c r="F8429" s="531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2" t="str">
        <f t="shared" si="427"/>
        <v/>
      </c>
      <c r="E8430" s="531"/>
      <c r="F8430" s="531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2" t="str">
        <f t="shared" si="427"/>
        <v/>
      </c>
      <c r="E8431" s="531"/>
      <c r="F8431" s="531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2" t="str">
        <f t="shared" si="427"/>
        <v/>
      </c>
      <c r="E8432" s="531"/>
      <c r="F8432" s="531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2" t="str">
        <f t="shared" si="427"/>
        <v/>
      </c>
      <c r="E8433" s="531"/>
      <c r="F8433" s="531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2" t="str">
        <f t="shared" si="427"/>
        <v/>
      </c>
      <c r="E8434" s="531"/>
      <c r="F8434" s="531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2" t="str">
        <f t="shared" si="427"/>
        <v/>
      </c>
      <c r="E8435" s="531"/>
      <c r="F8435" s="531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2" t="str">
        <f t="shared" si="427"/>
        <v/>
      </c>
      <c r="E8436" s="531"/>
      <c r="F8436" s="531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2" t="str">
        <f t="shared" si="427"/>
        <v/>
      </c>
      <c r="E8437" s="531"/>
      <c r="F8437" s="531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2" t="str">
        <f t="shared" si="427"/>
        <v/>
      </c>
      <c r="E8438" s="531"/>
      <c r="F8438" s="531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2" t="str">
        <f t="shared" si="427"/>
        <v/>
      </c>
      <c r="E8439" s="531"/>
      <c r="F8439" s="531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2" t="str">
        <f t="shared" si="427"/>
        <v/>
      </c>
      <c r="E8440" s="531"/>
      <c r="F8440" s="531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2" t="str">
        <f t="shared" si="427"/>
        <v/>
      </c>
      <c r="E8441" s="531"/>
      <c r="F8441" s="531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2" t="str">
        <f t="shared" si="427"/>
        <v/>
      </c>
      <c r="E8442" s="531"/>
      <c r="F8442" s="531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2" t="str">
        <f t="shared" si="427"/>
        <v/>
      </c>
      <c r="E8443" s="531"/>
      <c r="F8443" s="531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2" t="str">
        <f t="shared" si="427"/>
        <v/>
      </c>
      <c r="E8444" s="531"/>
      <c r="F8444" s="531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2" t="str">
        <f t="shared" si="427"/>
        <v/>
      </c>
      <c r="E8445" s="531"/>
      <c r="F8445" s="531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2" t="str">
        <f t="shared" si="427"/>
        <v/>
      </c>
      <c r="E8446" s="531"/>
      <c r="F8446" s="531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2" t="str">
        <f t="shared" si="427"/>
        <v/>
      </c>
      <c r="E8447" s="531"/>
      <c r="F8447" s="531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2" t="str">
        <f t="shared" si="427"/>
        <v/>
      </c>
      <c r="E8448" s="531"/>
      <c r="F8448" s="531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2" t="str">
        <f t="shared" si="427"/>
        <v/>
      </c>
      <c r="E8449" s="531"/>
      <c r="F8449" s="531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2" t="str">
        <f t="shared" si="427"/>
        <v/>
      </c>
      <c r="E8450" s="531"/>
      <c r="F8450" s="531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2" t="str">
        <f t="shared" si="427"/>
        <v/>
      </c>
      <c r="E8451" s="531"/>
      <c r="F8451" s="531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2" t="str">
        <f t="shared" si="427"/>
        <v/>
      </c>
      <c r="E8452" s="531"/>
      <c r="F8452" s="531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2" t="str">
        <f t="shared" si="427"/>
        <v/>
      </c>
      <c r="E8453" s="531"/>
      <c r="F8453" s="531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2" t="str">
        <f t="shared" si="427"/>
        <v/>
      </c>
      <c r="E8454" s="531"/>
      <c r="F8454" s="531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2" t="str">
        <f t="shared" si="427"/>
        <v/>
      </c>
      <c r="E8455" s="531"/>
      <c r="F8455" s="531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2" t="str">
        <f t="shared" si="427"/>
        <v/>
      </c>
      <c r="E8456" s="531"/>
      <c r="F8456" s="531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2" t="str">
        <f t="shared" ref="D8457:D8520" si="430">IF(A8457&lt;&gt;"",PROPER(TEXT(A8457,"Mmmm")),"")</f>
        <v/>
      </c>
      <c r="E8457" s="531"/>
      <c r="F8457" s="531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2" t="str">
        <f t="shared" si="430"/>
        <v/>
      </c>
      <c r="E8458" s="531"/>
      <c r="F8458" s="531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2" t="str">
        <f t="shared" si="430"/>
        <v/>
      </c>
      <c r="E8459" s="531"/>
      <c r="F8459" s="531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2" t="str">
        <f t="shared" si="430"/>
        <v/>
      </c>
      <c r="E8460" s="531"/>
      <c r="F8460" s="531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2" t="str">
        <f t="shared" si="430"/>
        <v/>
      </c>
      <c r="E8461" s="531"/>
      <c r="F8461" s="531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2" t="str">
        <f t="shared" si="430"/>
        <v/>
      </c>
      <c r="E8462" s="531"/>
      <c r="F8462" s="531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2" t="str">
        <f t="shared" si="430"/>
        <v/>
      </c>
      <c r="E8463" s="531"/>
      <c r="F8463" s="531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2" t="str">
        <f t="shared" si="430"/>
        <v/>
      </c>
      <c r="E8464" s="531"/>
      <c r="F8464" s="531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2" t="str">
        <f t="shared" si="430"/>
        <v/>
      </c>
      <c r="E8465" s="531"/>
      <c r="F8465" s="531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2" t="str">
        <f t="shared" si="430"/>
        <v/>
      </c>
      <c r="E8466" s="531"/>
      <c r="F8466" s="531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2" t="str">
        <f t="shared" si="430"/>
        <v/>
      </c>
      <c r="E8467" s="531"/>
      <c r="F8467" s="531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2" t="str">
        <f t="shared" si="430"/>
        <v/>
      </c>
      <c r="E8468" s="531"/>
      <c r="F8468" s="531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2" t="str">
        <f t="shared" si="430"/>
        <v/>
      </c>
      <c r="E8469" s="531"/>
      <c r="F8469" s="531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2" t="str">
        <f t="shared" si="430"/>
        <v/>
      </c>
      <c r="E8470" s="531"/>
      <c r="F8470" s="531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2" t="str">
        <f t="shared" si="430"/>
        <v/>
      </c>
      <c r="E8471" s="531"/>
      <c r="F8471" s="531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2" t="str">
        <f t="shared" si="430"/>
        <v/>
      </c>
      <c r="E8472" s="531"/>
      <c r="F8472" s="531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2" t="str">
        <f t="shared" si="430"/>
        <v/>
      </c>
      <c r="E8473" s="531"/>
      <c r="F8473" s="531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2" t="str">
        <f t="shared" si="430"/>
        <v/>
      </c>
      <c r="E8474" s="531"/>
      <c r="F8474" s="531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2" t="str">
        <f t="shared" si="430"/>
        <v/>
      </c>
      <c r="E8475" s="531"/>
      <c r="F8475" s="531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2" t="str">
        <f t="shared" si="430"/>
        <v/>
      </c>
      <c r="E8476" s="531"/>
      <c r="F8476" s="531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2" t="str">
        <f t="shared" si="430"/>
        <v/>
      </c>
      <c r="E8477" s="531"/>
      <c r="F8477" s="531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2" t="str">
        <f t="shared" si="430"/>
        <v/>
      </c>
      <c r="E8478" s="531"/>
      <c r="F8478" s="531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2" t="str">
        <f t="shared" si="430"/>
        <v/>
      </c>
      <c r="E8479" s="531"/>
      <c r="F8479" s="531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2" t="str">
        <f t="shared" si="430"/>
        <v/>
      </c>
      <c r="E8480" s="531"/>
      <c r="F8480" s="531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2" t="str">
        <f t="shared" si="430"/>
        <v/>
      </c>
      <c r="E8481" s="531"/>
      <c r="F8481" s="531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2" t="str">
        <f t="shared" si="430"/>
        <v/>
      </c>
      <c r="E8482" s="531"/>
      <c r="F8482" s="531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2" t="str">
        <f t="shared" si="430"/>
        <v/>
      </c>
      <c r="E8483" s="531"/>
      <c r="F8483" s="531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2" t="str">
        <f t="shared" si="430"/>
        <v/>
      </c>
      <c r="E8484" s="531"/>
      <c r="F8484" s="531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2" t="str">
        <f t="shared" si="430"/>
        <v/>
      </c>
      <c r="E8485" s="531"/>
      <c r="F8485" s="531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2" t="str">
        <f t="shared" si="430"/>
        <v/>
      </c>
      <c r="E8486" s="531"/>
      <c r="F8486" s="531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2" t="str">
        <f t="shared" si="430"/>
        <v/>
      </c>
      <c r="E8487" s="531"/>
      <c r="F8487" s="531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2" t="str">
        <f t="shared" si="430"/>
        <v/>
      </c>
      <c r="E8488" s="531"/>
      <c r="F8488" s="531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2" t="str">
        <f t="shared" si="430"/>
        <v/>
      </c>
      <c r="E8489" s="531"/>
      <c r="F8489" s="531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2" t="str">
        <f t="shared" si="430"/>
        <v/>
      </c>
      <c r="E8490" s="531"/>
      <c r="F8490" s="531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2" t="str">
        <f t="shared" si="430"/>
        <v/>
      </c>
      <c r="E8491" s="531"/>
      <c r="F8491" s="531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2" t="str">
        <f t="shared" si="430"/>
        <v/>
      </c>
      <c r="E8492" s="531"/>
      <c r="F8492" s="531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2" t="str">
        <f t="shared" si="430"/>
        <v/>
      </c>
      <c r="E8493" s="531"/>
      <c r="F8493" s="531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2" t="str">
        <f t="shared" si="430"/>
        <v/>
      </c>
      <c r="E8494" s="531"/>
      <c r="F8494" s="531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2" t="str">
        <f t="shared" si="430"/>
        <v/>
      </c>
      <c r="E8495" s="531"/>
      <c r="F8495" s="531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2" t="str">
        <f t="shared" si="430"/>
        <v/>
      </c>
      <c r="E8496" s="531"/>
      <c r="F8496" s="531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2" t="str">
        <f t="shared" si="430"/>
        <v/>
      </c>
      <c r="E8497" s="531"/>
      <c r="F8497" s="531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2" t="str">
        <f t="shared" si="430"/>
        <v/>
      </c>
      <c r="E8498" s="531"/>
      <c r="F8498" s="531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2" t="str">
        <f t="shared" si="430"/>
        <v/>
      </c>
      <c r="E8499" s="531"/>
      <c r="F8499" s="531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2" t="str">
        <f t="shared" si="430"/>
        <v/>
      </c>
      <c r="E8500" s="531"/>
      <c r="F8500" s="531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2" t="str">
        <f t="shared" si="430"/>
        <v/>
      </c>
      <c r="E8501" s="531"/>
      <c r="F8501" s="531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2" t="str">
        <f t="shared" si="430"/>
        <v/>
      </c>
      <c r="E8502" s="531"/>
      <c r="F8502" s="531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2" t="str">
        <f t="shared" si="430"/>
        <v/>
      </c>
      <c r="E8503" s="531"/>
      <c r="F8503" s="531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2" t="str">
        <f t="shared" si="430"/>
        <v/>
      </c>
      <c r="E8504" s="531"/>
      <c r="F8504" s="531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2" t="str">
        <f t="shared" si="430"/>
        <v/>
      </c>
      <c r="E8505" s="531"/>
      <c r="F8505" s="531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2" t="str">
        <f t="shared" si="430"/>
        <v/>
      </c>
      <c r="E8506" s="531"/>
      <c r="F8506" s="531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2" t="str">
        <f t="shared" si="430"/>
        <v/>
      </c>
      <c r="E8507" s="531"/>
      <c r="F8507" s="531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2" t="str">
        <f t="shared" si="430"/>
        <v/>
      </c>
      <c r="E8508" s="531"/>
      <c r="F8508" s="531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2" t="str">
        <f t="shared" si="430"/>
        <v/>
      </c>
      <c r="E8509" s="531"/>
      <c r="F8509" s="531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2" t="str">
        <f t="shared" si="430"/>
        <v/>
      </c>
      <c r="E8510" s="531"/>
      <c r="F8510" s="531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2" t="str">
        <f t="shared" si="430"/>
        <v/>
      </c>
      <c r="E8511" s="531"/>
      <c r="F8511" s="531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2" t="str">
        <f t="shared" si="430"/>
        <v/>
      </c>
      <c r="E8512" s="531"/>
      <c r="F8512" s="531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2" t="str">
        <f t="shared" si="430"/>
        <v/>
      </c>
      <c r="E8513" s="531"/>
      <c r="F8513" s="531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2" t="str">
        <f t="shared" si="430"/>
        <v/>
      </c>
      <c r="E8514" s="531"/>
      <c r="F8514" s="531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2" t="str">
        <f t="shared" si="430"/>
        <v/>
      </c>
      <c r="E8515" s="531"/>
      <c r="F8515" s="531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2" t="str">
        <f t="shared" si="430"/>
        <v/>
      </c>
      <c r="E8516" s="531"/>
      <c r="F8516" s="531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2" t="str">
        <f t="shared" si="430"/>
        <v/>
      </c>
      <c r="E8517" s="531"/>
      <c r="F8517" s="531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2" t="str">
        <f t="shared" si="430"/>
        <v/>
      </c>
      <c r="E8518" s="531"/>
      <c r="F8518" s="531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2" t="str">
        <f t="shared" si="430"/>
        <v/>
      </c>
      <c r="E8519" s="531"/>
      <c r="F8519" s="531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2" t="str">
        <f t="shared" si="430"/>
        <v/>
      </c>
      <c r="E8520" s="531"/>
      <c r="F8520" s="531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2" t="str">
        <f t="shared" ref="D8521:D8584" si="433">IF(A8521&lt;&gt;"",PROPER(TEXT(A8521,"Mmmm")),"")</f>
        <v/>
      </c>
      <c r="E8521" s="531"/>
      <c r="F8521" s="531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2" t="str">
        <f t="shared" si="433"/>
        <v/>
      </c>
      <c r="E8522" s="531"/>
      <c r="F8522" s="531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2" t="str">
        <f t="shared" si="433"/>
        <v/>
      </c>
      <c r="E8523" s="531"/>
      <c r="F8523" s="531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2" t="str">
        <f t="shared" si="433"/>
        <v/>
      </c>
      <c r="E8524" s="531"/>
      <c r="F8524" s="531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2" t="str">
        <f t="shared" si="433"/>
        <v/>
      </c>
      <c r="E8525" s="531"/>
      <c r="F8525" s="531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2" t="str">
        <f t="shared" si="433"/>
        <v/>
      </c>
      <c r="E8526" s="531"/>
      <c r="F8526" s="531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2" t="str">
        <f t="shared" si="433"/>
        <v/>
      </c>
      <c r="E8527" s="531"/>
      <c r="F8527" s="531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2" t="str">
        <f t="shared" si="433"/>
        <v/>
      </c>
      <c r="E8528" s="531"/>
      <c r="F8528" s="531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2" t="str">
        <f t="shared" si="433"/>
        <v/>
      </c>
      <c r="E8529" s="531"/>
      <c r="F8529" s="531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2" t="str">
        <f t="shared" si="433"/>
        <v/>
      </c>
      <c r="E8530" s="531"/>
      <c r="F8530" s="531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2" t="str">
        <f t="shared" si="433"/>
        <v/>
      </c>
      <c r="E8531" s="531"/>
      <c r="F8531" s="531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2" t="str">
        <f t="shared" si="433"/>
        <v/>
      </c>
      <c r="E8532" s="531"/>
      <c r="F8532" s="531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2" t="str">
        <f t="shared" si="433"/>
        <v/>
      </c>
      <c r="E8533" s="531"/>
      <c r="F8533" s="531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2" t="str">
        <f t="shared" si="433"/>
        <v/>
      </c>
      <c r="E8534" s="531"/>
      <c r="F8534" s="531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2" t="str">
        <f t="shared" si="433"/>
        <v/>
      </c>
      <c r="E8535" s="531"/>
      <c r="F8535" s="531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2" t="str">
        <f t="shared" si="433"/>
        <v/>
      </c>
      <c r="E8536" s="531"/>
      <c r="F8536" s="531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2" t="str">
        <f t="shared" si="433"/>
        <v/>
      </c>
      <c r="E8537" s="531"/>
      <c r="F8537" s="531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2" t="str">
        <f t="shared" si="433"/>
        <v/>
      </c>
      <c r="E8538" s="531"/>
      <c r="F8538" s="531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2" t="str">
        <f t="shared" si="433"/>
        <v/>
      </c>
      <c r="E8539" s="531"/>
      <c r="F8539" s="531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2" t="str">
        <f t="shared" si="433"/>
        <v/>
      </c>
      <c r="E8540" s="531"/>
      <c r="F8540" s="531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2" t="str">
        <f t="shared" si="433"/>
        <v/>
      </c>
      <c r="E8541" s="531"/>
      <c r="F8541" s="531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2" t="str">
        <f t="shared" si="433"/>
        <v/>
      </c>
      <c r="E8542" s="531"/>
      <c r="F8542" s="531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2" t="str">
        <f t="shared" si="433"/>
        <v/>
      </c>
      <c r="E8543" s="531"/>
      <c r="F8543" s="531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2" t="str">
        <f t="shared" si="433"/>
        <v/>
      </c>
      <c r="E8544" s="531"/>
      <c r="F8544" s="531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2" t="str">
        <f t="shared" si="433"/>
        <v/>
      </c>
      <c r="E8545" s="531"/>
      <c r="F8545" s="531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2" t="str">
        <f t="shared" si="433"/>
        <v/>
      </c>
      <c r="E8546" s="531"/>
      <c r="F8546" s="531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2" t="str">
        <f t="shared" si="433"/>
        <v/>
      </c>
      <c r="E8547" s="531"/>
      <c r="F8547" s="531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2" t="str">
        <f t="shared" si="433"/>
        <v/>
      </c>
      <c r="E8548" s="531"/>
      <c r="F8548" s="531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2" t="str">
        <f t="shared" si="433"/>
        <v/>
      </c>
      <c r="E8549" s="531"/>
      <c r="F8549" s="531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2" t="str">
        <f t="shared" si="433"/>
        <v/>
      </c>
      <c r="E8550" s="531"/>
      <c r="F8550" s="531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2" t="str">
        <f t="shared" si="433"/>
        <v/>
      </c>
      <c r="E8551" s="531"/>
      <c r="F8551" s="531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2" t="str">
        <f t="shared" si="433"/>
        <v/>
      </c>
      <c r="E8552" s="531"/>
      <c r="F8552" s="531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2" t="str">
        <f t="shared" si="433"/>
        <v/>
      </c>
      <c r="E8553" s="531"/>
      <c r="F8553" s="531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2" t="str">
        <f t="shared" si="433"/>
        <v/>
      </c>
      <c r="E8554" s="531"/>
      <c r="F8554" s="531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2" t="str">
        <f t="shared" si="433"/>
        <v/>
      </c>
      <c r="E8555" s="531"/>
      <c r="F8555" s="531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2" t="str">
        <f t="shared" si="433"/>
        <v/>
      </c>
      <c r="E8556" s="531"/>
      <c r="F8556" s="531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2" t="str">
        <f t="shared" si="433"/>
        <v/>
      </c>
      <c r="E8557" s="531"/>
      <c r="F8557" s="531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2" t="str">
        <f t="shared" si="433"/>
        <v/>
      </c>
      <c r="E8558" s="531"/>
      <c r="F8558" s="531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2" t="str">
        <f t="shared" si="433"/>
        <v/>
      </c>
      <c r="E8559" s="531"/>
      <c r="F8559" s="531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2" t="str">
        <f t="shared" si="433"/>
        <v/>
      </c>
      <c r="E8560" s="531"/>
      <c r="F8560" s="531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2" t="str">
        <f t="shared" si="433"/>
        <v/>
      </c>
      <c r="E8561" s="531"/>
      <c r="F8561" s="531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2" t="str">
        <f t="shared" si="433"/>
        <v/>
      </c>
      <c r="E8562" s="531"/>
      <c r="F8562" s="531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2" t="str">
        <f t="shared" si="433"/>
        <v/>
      </c>
      <c r="E8563" s="531"/>
      <c r="F8563" s="531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2" t="str">
        <f t="shared" si="433"/>
        <v/>
      </c>
      <c r="E8564" s="531"/>
      <c r="F8564" s="531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2" t="str">
        <f t="shared" si="433"/>
        <v/>
      </c>
      <c r="E8565" s="531"/>
      <c r="F8565" s="531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2" t="str">
        <f t="shared" si="433"/>
        <v/>
      </c>
      <c r="E8566" s="531"/>
      <c r="F8566" s="531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2" t="str">
        <f t="shared" si="433"/>
        <v/>
      </c>
      <c r="E8567" s="531"/>
      <c r="F8567" s="531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2" t="str">
        <f t="shared" si="433"/>
        <v/>
      </c>
      <c r="E8568" s="531"/>
      <c r="F8568" s="531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2" t="str">
        <f t="shared" si="433"/>
        <v/>
      </c>
      <c r="E8569" s="531"/>
      <c r="F8569" s="531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2" t="str">
        <f t="shared" si="433"/>
        <v/>
      </c>
      <c r="E8570" s="531"/>
      <c r="F8570" s="531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2" t="str">
        <f t="shared" si="433"/>
        <v/>
      </c>
      <c r="E8571" s="531"/>
      <c r="F8571" s="531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2" t="str">
        <f t="shared" si="433"/>
        <v/>
      </c>
      <c r="E8572" s="531"/>
      <c r="F8572" s="531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2" t="str">
        <f t="shared" si="433"/>
        <v/>
      </c>
      <c r="E8573" s="531"/>
      <c r="F8573" s="531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2" t="str">
        <f t="shared" si="433"/>
        <v/>
      </c>
      <c r="E8574" s="531"/>
      <c r="F8574" s="531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2" t="str">
        <f t="shared" si="433"/>
        <v/>
      </c>
      <c r="E8575" s="531"/>
      <c r="F8575" s="531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2" t="str">
        <f t="shared" si="433"/>
        <v/>
      </c>
      <c r="E8576" s="531"/>
      <c r="F8576" s="531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2" t="str">
        <f t="shared" si="433"/>
        <v/>
      </c>
      <c r="E8577" s="531"/>
      <c r="F8577" s="531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2" t="str">
        <f t="shared" si="433"/>
        <v/>
      </c>
      <c r="E8578" s="531"/>
      <c r="F8578" s="531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2" t="str">
        <f t="shared" si="433"/>
        <v/>
      </c>
      <c r="E8579" s="531"/>
      <c r="F8579" s="531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2" t="str">
        <f t="shared" si="433"/>
        <v/>
      </c>
      <c r="E8580" s="531"/>
      <c r="F8580" s="531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2" t="str">
        <f t="shared" si="433"/>
        <v/>
      </c>
      <c r="E8581" s="531"/>
      <c r="F8581" s="531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2" t="str">
        <f t="shared" si="433"/>
        <v/>
      </c>
      <c r="E8582" s="531"/>
      <c r="F8582" s="531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2" t="str">
        <f t="shared" si="433"/>
        <v/>
      </c>
      <c r="E8583" s="531"/>
      <c r="F8583" s="531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2" t="str">
        <f t="shared" si="433"/>
        <v/>
      </c>
      <c r="E8584" s="531"/>
      <c r="F8584" s="531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2" t="str">
        <f t="shared" ref="D8585:D8648" si="436">IF(A8585&lt;&gt;"",PROPER(TEXT(A8585,"Mmmm")),"")</f>
        <v/>
      </c>
      <c r="E8585" s="531"/>
      <c r="F8585" s="531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2" t="str">
        <f t="shared" si="436"/>
        <v/>
      </c>
      <c r="E8586" s="531"/>
      <c r="F8586" s="531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2" t="str">
        <f t="shared" si="436"/>
        <v/>
      </c>
      <c r="E8587" s="531"/>
      <c r="F8587" s="531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2" t="str">
        <f t="shared" si="436"/>
        <v/>
      </c>
      <c r="E8588" s="531"/>
      <c r="F8588" s="531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2" t="str">
        <f t="shared" si="436"/>
        <v/>
      </c>
      <c r="E8589" s="531"/>
      <c r="F8589" s="531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2" t="str">
        <f t="shared" si="436"/>
        <v/>
      </c>
      <c r="E8590" s="531"/>
      <c r="F8590" s="531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2" t="str">
        <f t="shared" si="436"/>
        <v/>
      </c>
      <c r="E8591" s="531"/>
      <c r="F8591" s="531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2" t="str">
        <f t="shared" si="436"/>
        <v/>
      </c>
      <c r="E8592" s="531"/>
      <c r="F8592" s="531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2" t="str">
        <f t="shared" si="436"/>
        <v/>
      </c>
      <c r="E8593" s="531"/>
      <c r="F8593" s="531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2" t="str">
        <f t="shared" si="436"/>
        <v/>
      </c>
      <c r="E8594" s="531"/>
      <c r="F8594" s="531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2" t="str">
        <f t="shared" si="436"/>
        <v/>
      </c>
      <c r="E8595" s="531"/>
      <c r="F8595" s="531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2" t="str">
        <f t="shared" si="436"/>
        <v/>
      </c>
      <c r="E8596" s="531"/>
      <c r="F8596" s="531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2" t="str">
        <f t="shared" si="436"/>
        <v/>
      </c>
      <c r="E8597" s="531"/>
      <c r="F8597" s="531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2" t="str">
        <f t="shared" si="436"/>
        <v/>
      </c>
      <c r="E8598" s="531"/>
      <c r="F8598" s="531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2" t="str">
        <f t="shared" si="436"/>
        <v/>
      </c>
      <c r="E8599" s="531"/>
      <c r="F8599" s="531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2" t="str">
        <f t="shared" si="436"/>
        <v/>
      </c>
      <c r="E8600" s="531"/>
      <c r="F8600" s="531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2" t="str">
        <f t="shared" si="436"/>
        <v/>
      </c>
      <c r="E8601" s="531"/>
      <c r="F8601" s="531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2" t="str">
        <f t="shared" si="436"/>
        <v/>
      </c>
      <c r="E8602" s="531"/>
      <c r="F8602" s="531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2" t="str">
        <f t="shared" si="436"/>
        <v/>
      </c>
      <c r="E8603" s="531"/>
      <c r="F8603" s="531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2" t="str">
        <f t="shared" si="436"/>
        <v/>
      </c>
      <c r="E8604" s="531"/>
      <c r="F8604" s="531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2" t="str">
        <f t="shared" si="436"/>
        <v/>
      </c>
      <c r="E8605" s="531"/>
      <c r="F8605" s="531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2" t="str">
        <f t="shared" si="436"/>
        <v/>
      </c>
      <c r="E8606" s="531"/>
      <c r="F8606" s="531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2" t="str">
        <f t="shared" si="436"/>
        <v/>
      </c>
      <c r="E8607" s="531"/>
      <c r="F8607" s="531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2" t="str">
        <f t="shared" si="436"/>
        <v/>
      </c>
      <c r="E8608" s="531"/>
      <c r="F8608" s="531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2" t="str">
        <f t="shared" si="436"/>
        <v/>
      </c>
      <c r="E8609" s="531"/>
      <c r="F8609" s="531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2" t="str">
        <f t="shared" si="436"/>
        <v/>
      </c>
      <c r="E8610" s="531"/>
      <c r="F8610" s="531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2" t="str">
        <f t="shared" si="436"/>
        <v/>
      </c>
      <c r="E8611" s="531"/>
      <c r="F8611" s="531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2" t="str">
        <f t="shared" si="436"/>
        <v/>
      </c>
      <c r="E8612" s="531"/>
      <c r="F8612" s="531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2" t="str">
        <f t="shared" si="436"/>
        <v/>
      </c>
      <c r="E8613" s="531"/>
      <c r="F8613" s="531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2" t="str">
        <f t="shared" si="436"/>
        <v/>
      </c>
      <c r="E8614" s="531"/>
      <c r="F8614" s="531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2" t="str">
        <f t="shared" si="436"/>
        <v/>
      </c>
      <c r="E8615" s="531"/>
      <c r="F8615" s="531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2" t="str">
        <f t="shared" si="436"/>
        <v/>
      </c>
      <c r="E8616" s="531"/>
      <c r="F8616" s="531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2" t="str">
        <f t="shared" si="436"/>
        <v/>
      </c>
      <c r="E8617" s="531"/>
      <c r="F8617" s="531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2" t="str">
        <f t="shared" si="436"/>
        <v/>
      </c>
      <c r="E8618" s="531"/>
      <c r="F8618" s="531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2" t="str">
        <f t="shared" si="436"/>
        <v/>
      </c>
      <c r="E8619" s="531"/>
      <c r="F8619" s="531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2" t="str">
        <f t="shared" si="436"/>
        <v/>
      </c>
      <c r="E8620" s="531"/>
      <c r="F8620" s="531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2" t="str">
        <f t="shared" si="436"/>
        <v/>
      </c>
      <c r="E8621" s="531"/>
      <c r="F8621" s="531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2" t="str">
        <f t="shared" si="436"/>
        <v/>
      </c>
      <c r="E8622" s="531"/>
      <c r="F8622" s="531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2" t="str">
        <f t="shared" si="436"/>
        <v/>
      </c>
      <c r="E8623" s="531"/>
      <c r="F8623" s="531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2" t="str">
        <f t="shared" si="436"/>
        <v/>
      </c>
      <c r="E8624" s="531"/>
      <c r="F8624" s="531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2" t="str">
        <f t="shared" si="436"/>
        <v/>
      </c>
      <c r="E8625" s="531"/>
      <c r="F8625" s="531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2" t="str">
        <f t="shared" si="436"/>
        <v/>
      </c>
      <c r="E8626" s="531"/>
      <c r="F8626" s="531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2" t="str">
        <f t="shared" si="436"/>
        <v/>
      </c>
      <c r="E8627" s="531"/>
      <c r="F8627" s="531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2" t="str">
        <f t="shared" si="436"/>
        <v/>
      </c>
      <c r="E8628" s="531"/>
      <c r="F8628" s="531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2" t="str">
        <f t="shared" si="436"/>
        <v/>
      </c>
      <c r="E8629" s="531"/>
      <c r="F8629" s="531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2" t="str">
        <f t="shared" si="436"/>
        <v/>
      </c>
      <c r="E8630" s="531"/>
      <c r="F8630" s="531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2" t="str">
        <f t="shared" si="436"/>
        <v/>
      </c>
      <c r="E8631" s="531"/>
      <c r="F8631" s="531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2" t="str">
        <f t="shared" si="436"/>
        <v/>
      </c>
      <c r="E8632" s="531"/>
      <c r="F8632" s="531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2" t="str">
        <f t="shared" si="436"/>
        <v/>
      </c>
      <c r="E8633" s="531"/>
      <c r="F8633" s="531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2" t="str">
        <f t="shared" si="436"/>
        <v/>
      </c>
      <c r="E8634" s="531"/>
      <c r="F8634" s="531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2" t="str">
        <f t="shared" si="436"/>
        <v/>
      </c>
      <c r="E8635" s="531"/>
      <c r="F8635" s="531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2" t="str">
        <f t="shared" si="436"/>
        <v/>
      </c>
      <c r="E8636" s="531"/>
      <c r="F8636" s="531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2" t="str">
        <f t="shared" si="436"/>
        <v/>
      </c>
      <c r="E8637" s="531"/>
      <c r="F8637" s="531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2" t="str">
        <f t="shared" si="436"/>
        <v/>
      </c>
      <c r="E8638" s="531"/>
      <c r="F8638" s="531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2" t="str">
        <f t="shared" si="436"/>
        <v/>
      </c>
      <c r="E8639" s="531"/>
      <c r="F8639" s="531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2" t="str">
        <f t="shared" si="436"/>
        <v/>
      </c>
      <c r="E8640" s="531"/>
      <c r="F8640" s="531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2" t="str">
        <f t="shared" si="436"/>
        <v/>
      </c>
      <c r="E8641" s="531"/>
      <c r="F8641" s="531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2" t="str">
        <f t="shared" si="436"/>
        <v/>
      </c>
      <c r="E8642" s="531"/>
      <c r="F8642" s="531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2" t="str">
        <f t="shared" si="436"/>
        <v/>
      </c>
      <c r="E8643" s="531"/>
      <c r="F8643" s="531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2" t="str">
        <f t="shared" si="436"/>
        <v/>
      </c>
      <c r="E8644" s="531"/>
      <c r="F8644" s="531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2" t="str">
        <f t="shared" si="436"/>
        <v/>
      </c>
      <c r="E8645" s="531"/>
      <c r="F8645" s="531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2" t="str">
        <f t="shared" si="436"/>
        <v/>
      </c>
      <c r="E8646" s="531"/>
      <c r="F8646" s="531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2" t="str">
        <f t="shared" si="436"/>
        <v/>
      </c>
      <c r="E8647" s="531"/>
      <c r="F8647" s="531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2" t="str">
        <f t="shared" si="436"/>
        <v/>
      </c>
      <c r="E8648" s="531"/>
      <c r="F8648" s="531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2" t="str">
        <f t="shared" ref="D8649:D8712" si="439">IF(A8649&lt;&gt;"",PROPER(TEXT(A8649,"Mmmm")),"")</f>
        <v/>
      </c>
      <c r="E8649" s="531"/>
      <c r="F8649" s="531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2" t="str">
        <f t="shared" si="439"/>
        <v/>
      </c>
      <c r="E8650" s="531"/>
      <c r="F8650" s="531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2" t="str">
        <f t="shared" si="439"/>
        <v/>
      </c>
      <c r="E8651" s="531"/>
      <c r="F8651" s="531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2" t="str">
        <f t="shared" si="439"/>
        <v/>
      </c>
      <c r="E8652" s="531"/>
      <c r="F8652" s="531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2" t="str">
        <f t="shared" si="439"/>
        <v/>
      </c>
      <c r="E8653" s="531"/>
      <c r="F8653" s="531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2" t="str">
        <f t="shared" si="439"/>
        <v/>
      </c>
      <c r="E8654" s="531"/>
      <c r="F8654" s="531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2" t="str">
        <f t="shared" si="439"/>
        <v/>
      </c>
      <c r="E8655" s="531"/>
      <c r="F8655" s="531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2" t="str">
        <f t="shared" si="439"/>
        <v/>
      </c>
      <c r="E8656" s="531"/>
      <c r="F8656" s="531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2" t="str">
        <f t="shared" si="439"/>
        <v/>
      </c>
      <c r="E8657" s="531"/>
      <c r="F8657" s="531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2" t="str">
        <f t="shared" si="439"/>
        <v/>
      </c>
      <c r="E8658" s="531"/>
      <c r="F8658" s="531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2" t="str">
        <f t="shared" si="439"/>
        <v/>
      </c>
      <c r="E8659" s="531"/>
      <c r="F8659" s="531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2" t="str">
        <f t="shared" si="439"/>
        <v/>
      </c>
      <c r="E8660" s="531"/>
      <c r="F8660" s="531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2" t="str">
        <f t="shared" si="439"/>
        <v/>
      </c>
      <c r="E8661" s="531"/>
      <c r="F8661" s="531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2" t="str">
        <f t="shared" si="439"/>
        <v/>
      </c>
      <c r="E8662" s="531"/>
      <c r="F8662" s="531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2" t="str">
        <f t="shared" si="439"/>
        <v/>
      </c>
      <c r="E8663" s="531"/>
      <c r="F8663" s="531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2" t="str">
        <f t="shared" si="439"/>
        <v/>
      </c>
      <c r="E8664" s="531"/>
      <c r="F8664" s="531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2" t="str">
        <f t="shared" si="439"/>
        <v/>
      </c>
      <c r="E8665" s="531"/>
      <c r="F8665" s="531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2" t="str">
        <f t="shared" si="439"/>
        <v/>
      </c>
      <c r="E8666" s="531"/>
      <c r="F8666" s="531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2" t="str">
        <f t="shared" si="439"/>
        <v/>
      </c>
      <c r="E8667" s="531"/>
      <c r="F8667" s="531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2" t="str">
        <f t="shared" si="439"/>
        <v/>
      </c>
      <c r="E8668" s="531"/>
      <c r="F8668" s="531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2" t="str">
        <f t="shared" si="439"/>
        <v/>
      </c>
      <c r="E8669" s="531"/>
      <c r="F8669" s="531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2" t="str">
        <f t="shared" si="439"/>
        <v/>
      </c>
      <c r="E8670" s="531"/>
      <c r="F8670" s="531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2" t="str">
        <f t="shared" si="439"/>
        <v/>
      </c>
      <c r="E8671" s="531"/>
      <c r="F8671" s="531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2" t="str">
        <f t="shared" si="439"/>
        <v/>
      </c>
      <c r="E8672" s="531"/>
      <c r="F8672" s="531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2" t="str">
        <f t="shared" si="439"/>
        <v/>
      </c>
      <c r="E8673" s="531"/>
      <c r="F8673" s="531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2" t="str">
        <f t="shared" si="439"/>
        <v/>
      </c>
      <c r="E8674" s="531"/>
      <c r="F8674" s="531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2" t="str">
        <f t="shared" si="439"/>
        <v/>
      </c>
      <c r="E8675" s="531"/>
      <c r="F8675" s="531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2" t="str">
        <f t="shared" si="439"/>
        <v/>
      </c>
      <c r="E8676" s="531"/>
      <c r="F8676" s="531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2" t="str">
        <f t="shared" si="439"/>
        <v/>
      </c>
      <c r="E8677" s="531"/>
      <c r="F8677" s="531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2" t="str">
        <f t="shared" si="439"/>
        <v/>
      </c>
      <c r="E8678" s="531"/>
      <c r="F8678" s="531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2" t="str">
        <f t="shared" si="439"/>
        <v/>
      </c>
      <c r="E8679" s="531"/>
      <c r="F8679" s="531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2" t="str">
        <f t="shared" si="439"/>
        <v/>
      </c>
      <c r="E8680" s="531"/>
      <c r="F8680" s="531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2" t="str">
        <f t="shared" si="439"/>
        <v/>
      </c>
      <c r="E8681" s="531"/>
      <c r="F8681" s="531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2" t="str">
        <f t="shared" si="439"/>
        <v/>
      </c>
      <c r="E8682" s="531"/>
      <c r="F8682" s="531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2" t="str">
        <f t="shared" si="439"/>
        <v/>
      </c>
      <c r="E8683" s="531"/>
      <c r="F8683" s="531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2" t="str">
        <f t="shared" si="439"/>
        <v/>
      </c>
      <c r="E8684" s="531"/>
      <c r="F8684" s="531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2" t="str">
        <f t="shared" si="439"/>
        <v/>
      </c>
      <c r="E8685" s="531"/>
      <c r="F8685" s="531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2" t="str">
        <f t="shared" si="439"/>
        <v/>
      </c>
      <c r="E8686" s="531"/>
      <c r="F8686" s="531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2" t="str">
        <f t="shared" si="439"/>
        <v/>
      </c>
      <c r="E8687" s="531"/>
      <c r="F8687" s="531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2" t="str">
        <f t="shared" si="439"/>
        <v/>
      </c>
      <c r="E8688" s="531"/>
      <c r="F8688" s="531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2" t="str">
        <f t="shared" si="439"/>
        <v/>
      </c>
      <c r="E8689" s="531"/>
      <c r="F8689" s="531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2" t="str">
        <f t="shared" si="439"/>
        <v/>
      </c>
      <c r="E8690" s="531"/>
      <c r="F8690" s="531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2" t="str">
        <f t="shared" si="439"/>
        <v/>
      </c>
      <c r="E8691" s="531"/>
      <c r="F8691" s="531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2" t="str">
        <f t="shared" si="439"/>
        <v/>
      </c>
      <c r="E8692" s="531"/>
      <c r="F8692" s="531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2" t="str">
        <f t="shared" si="439"/>
        <v/>
      </c>
      <c r="E8693" s="531"/>
      <c r="F8693" s="531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2" t="str">
        <f t="shared" si="439"/>
        <v/>
      </c>
      <c r="E8694" s="531"/>
      <c r="F8694" s="531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2" t="str">
        <f t="shared" si="439"/>
        <v/>
      </c>
      <c r="E8695" s="531"/>
      <c r="F8695" s="531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2" t="str">
        <f t="shared" si="439"/>
        <v/>
      </c>
      <c r="E8696" s="531"/>
      <c r="F8696" s="531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2" t="str">
        <f t="shared" si="439"/>
        <v/>
      </c>
      <c r="E8697" s="531"/>
      <c r="F8697" s="531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2" t="str">
        <f t="shared" si="439"/>
        <v/>
      </c>
      <c r="E8698" s="531"/>
      <c r="F8698" s="531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2" t="str">
        <f t="shared" si="439"/>
        <v/>
      </c>
      <c r="E8699" s="531"/>
      <c r="F8699" s="531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2" t="str">
        <f t="shared" si="439"/>
        <v/>
      </c>
      <c r="E8700" s="531"/>
      <c r="F8700" s="531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2" t="str">
        <f t="shared" si="439"/>
        <v/>
      </c>
      <c r="E8701" s="531"/>
      <c r="F8701" s="531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2" t="str">
        <f t="shared" si="439"/>
        <v/>
      </c>
      <c r="E8702" s="531"/>
      <c r="F8702" s="531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2" t="str">
        <f t="shared" si="439"/>
        <v/>
      </c>
      <c r="E8703" s="531"/>
      <c r="F8703" s="531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2" t="str">
        <f t="shared" si="439"/>
        <v/>
      </c>
      <c r="E8704" s="531"/>
      <c r="F8704" s="531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2" t="str">
        <f t="shared" si="439"/>
        <v/>
      </c>
      <c r="E8705" s="531"/>
      <c r="F8705" s="531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2" t="str">
        <f t="shared" si="439"/>
        <v/>
      </c>
      <c r="E8706" s="531"/>
      <c r="F8706" s="531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2" t="str">
        <f t="shared" si="439"/>
        <v/>
      </c>
      <c r="E8707" s="531"/>
      <c r="F8707" s="531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2" t="str">
        <f t="shared" si="439"/>
        <v/>
      </c>
      <c r="E8708" s="531"/>
      <c r="F8708" s="531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2" t="str">
        <f t="shared" si="439"/>
        <v/>
      </c>
      <c r="E8709" s="531"/>
      <c r="F8709" s="531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2" t="str">
        <f t="shared" si="439"/>
        <v/>
      </c>
      <c r="E8710" s="531"/>
      <c r="F8710" s="531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2" t="str">
        <f t="shared" si="439"/>
        <v/>
      </c>
      <c r="E8711" s="531"/>
      <c r="F8711" s="531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2" t="str">
        <f t="shared" si="439"/>
        <v/>
      </c>
      <c r="E8712" s="531"/>
      <c r="F8712" s="531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2" t="str">
        <f t="shared" ref="D8713:D8776" si="442">IF(A8713&lt;&gt;"",PROPER(TEXT(A8713,"Mmmm")),"")</f>
        <v/>
      </c>
      <c r="E8713" s="531"/>
      <c r="F8713" s="531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2" t="str">
        <f t="shared" si="442"/>
        <v/>
      </c>
      <c r="E8714" s="531"/>
      <c r="F8714" s="531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2" t="str">
        <f t="shared" si="442"/>
        <v/>
      </c>
      <c r="E8715" s="531"/>
      <c r="F8715" s="531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2" t="str">
        <f t="shared" si="442"/>
        <v/>
      </c>
      <c r="E8716" s="531"/>
      <c r="F8716" s="531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2" t="str">
        <f t="shared" si="442"/>
        <v/>
      </c>
      <c r="E8717" s="531"/>
      <c r="F8717" s="531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2" t="str">
        <f t="shared" si="442"/>
        <v/>
      </c>
      <c r="E8718" s="531"/>
      <c r="F8718" s="531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2" t="str">
        <f t="shared" si="442"/>
        <v/>
      </c>
      <c r="E8719" s="531"/>
      <c r="F8719" s="531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2" t="str">
        <f t="shared" si="442"/>
        <v/>
      </c>
      <c r="E8720" s="531"/>
      <c r="F8720" s="531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2" t="str">
        <f t="shared" si="442"/>
        <v/>
      </c>
      <c r="E8721" s="531"/>
      <c r="F8721" s="531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2" t="str">
        <f t="shared" si="442"/>
        <v/>
      </c>
      <c r="E8722" s="531"/>
      <c r="F8722" s="531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2" t="str">
        <f t="shared" si="442"/>
        <v/>
      </c>
      <c r="E8723" s="531"/>
      <c r="F8723" s="531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2" t="str">
        <f t="shared" si="442"/>
        <v/>
      </c>
      <c r="E8724" s="531"/>
      <c r="F8724" s="531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2" t="str">
        <f t="shared" si="442"/>
        <v/>
      </c>
      <c r="E8725" s="531"/>
      <c r="F8725" s="531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2" t="str">
        <f t="shared" si="442"/>
        <v/>
      </c>
      <c r="E8726" s="531"/>
      <c r="F8726" s="531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2" t="str">
        <f t="shared" si="442"/>
        <v/>
      </c>
      <c r="E8727" s="531"/>
      <c r="F8727" s="531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2" t="str">
        <f t="shared" si="442"/>
        <v/>
      </c>
      <c r="E8728" s="531"/>
      <c r="F8728" s="531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2" t="str">
        <f t="shared" si="442"/>
        <v/>
      </c>
      <c r="E8729" s="531"/>
      <c r="F8729" s="531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2" t="str">
        <f t="shared" si="442"/>
        <v/>
      </c>
      <c r="E8730" s="531"/>
      <c r="F8730" s="531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2" t="str">
        <f t="shared" si="442"/>
        <v/>
      </c>
      <c r="E8731" s="531"/>
      <c r="F8731" s="531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2" t="str">
        <f t="shared" si="442"/>
        <v/>
      </c>
      <c r="E8732" s="531"/>
      <c r="F8732" s="531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2" t="str">
        <f t="shared" si="442"/>
        <v/>
      </c>
      <c r="E8733" s="531"/>
      <c r="F8733" s="531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2" t="str">
        <f t="shared" si="442"/>
        <v/>
      </c>
      <c r="E8734" s="531"/>
      <c r="F8734" s="531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2" t="str">
        <f t="shared" si="442"/>
        <v/>
      </c>
      <c r="E8735" s="531"/>
      <c r="F8735" s="531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2" t="str">
        <f t="shared" si="442"/>
        <v/>
      </c>
      <c r="E8736" s="531"/>
      <c r="F8736" s="531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2" t="str">
        <f t="shared" si="442"/>
        <v/>
      </c>
      <c r="E8737" s="531"/>
      <c r="F8737" s="531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2" t="str">
        <f t="shared" si="442"/>
        <v/>
      </c>
      <c r="E8738" s="531"/>
      <c r="F8738" s="531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2" t="str">
        <f t="shared" si="442"/>
        <v/>
      </c>
      <c r="E8739" s="531"/>
      <c r="F8739" s="531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2" t="str">
        <f t="shared" si="442"/>
        <v/>
      </c>
      <c r="E8740" s="531"/>
      <c r="F8740" s="531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2" t="str">
        <f t="shared" si="442"/>
        <v/>
      </c>
      <c r="E8741" s="531"/>
      <c r="F8741" s="531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2" t="str">
        <f t="shared" si="442"/>
        <v/>
      </c>
      <c r="E8742" s="531"/>
      <c r="F8742" s="531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2" t="str">
        <f t="shared" si="442"/>
        <v/>
      </c>
      <c r="E8743" s="531"/>
      <c r="F8743" s="531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2" t="str">
        <f t="shared" si="442"/>
        <v/>
      </c>
      <c r="E8744" s="531"/>
      <c r="F8744" s="531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2" t="str">
        <f t="shared" si="442"/>
        <v/>
      </c>
      <c r="E8745" s="531"/>
      <c r="F8745" s="531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2" t="str">
        <f t="shared" si="442"/>
        <v/>
      </c>
      <c r="E8746" s="531"/>
      <c r="F8746" s="531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2" t="str">
        <f t="shared" si="442"/>
        <v/>
      </c>
      <c r="E8747" s="531"/>
      <c r="F8747" s="531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2" t="str">
        <f t="shared" si="442"/>
        <v/>
      </c>
      <c r="E8748" s="531"/>
      <c r="F8748" s="531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2" t="str">
        <f t="shared" si="442"/>
        <v/>
      </c>
      <c r="E8749" s="531"/>
      <c r="F8749" s="531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2" t="str">
        <f t="shared" si="442"/>
        <v/>
      </c>
      <c r="E8750" s="531"/>
      <c r="F8750" s="531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2" t="str">
        <f t="shared" si="442"/>
        <v/>
      </c>
      <c r="E8751" s="531"/>
      <c r="F8751" s="531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2" t="str">
        <f t="shared" si="442"/>
        <v/>
      </c>
      <c r="E8752" s="531"/>
      <c r="F8752" s="531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2" t="str">
        <f t="shared" si="442"/>
        <v/>
      </c>
      <c r="E8753" s="531"/>
      <c r="F8753" s="531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2" t="str">
        <f t="shared" si="442"/>
        <v/>
      </c>
      <c r="E8754" s="531"/>
      <c r="F8754" s="531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2" t="str">
        <f t="shared" si="442"/>
        <v/>
      </c>
      <c r="E8755" s="531"/>
      <c r="F8755" s="531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2" t="str">
        <f t="shared" si="442"/>
        <v/>
      </c>
      <c r="E8756" s="531"/>
      <c r="F8756" s="531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2" t="str">
        <f t="shared" si="442"/>
        <v/>
      </c>
      <c r="E8757" s="531"/>
      <c r="F8757" s="531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2" t="str">
        <f t="shared" si="442"/>
        <v/>
      </c>
      <c r="E8758" s="531"/>
      <c r="F8758" s="531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2" t="str">
        <f t="shared" si="442"/>
        <v/>
      </c>
      <c r="E8759" s="531"/>
      <c r="F8759" s="531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2" t="str">
        <f t="shared" si="442"/>
        <v/>
      </c>
      <c r="E8760" s="531"/>
      <c r="F8760" s="531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2" t="str">
        <f t="shared" si="442"/>
        <v/>
      </c>
      <c r="E8761" s="531"/>
      <c r="F8761" s="531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2" t="str">
        <f t="shared" si="442"/>
        <v/>
      </c>
      <c r="E8762" s="531"/>
      <c r="F8762" s="531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2" t="str">
        <f t="shared" si="442"/>
        <v/>
      </c>
      <c r="E8763" s="531"/>
      <c r="F8763" s="531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2" t="str">
        <f t="shared" si="442"/>
        <v/>
      </c>
      <c r="E8764" s="531"/>
      <c r="F8764" s="531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2" t="str">
        <f t="shared" si="442"/>
        <v/>
      </c>
      <c r="E8765" s="531"/>
      <c r="F8765" s="531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2" t="str">
        <f t="shared" si="442"/>
        <v/>
      </c>
      <c r="E8766" s="531"/>
      <c r="F8766" s="531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2" t="str">
        <f t="shared" si="442"/>
        <v/>
      </c>
      <c r="E8767" s="531"/>
      <c r="F8767" s="531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2" t="str">
        <f t="shared" si="442"/>
        <v/>
      </c>
      <c r="E8768" s="531"/>
      <c r="F8768" s="531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2" t="str">
        <f t="shared" si="442"/>
        <v/>
      </c>
      <c r="E8769" s="531"/>
      <c r="F8769" s="531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2" t="str">
        <f t="shared" si="442"/>
        <v/>
      </c>
      <c r="E8770" s="531"/>
      <c r="F8770" s="531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2" t="str">
        <f t="shared" si="442"/>
        <v/>
      </c>
      <c r="E8771" s="531"/>
      <c r="F8771" s="531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2" t="str">
        <f t="shared" si="442"/>
        <v/>
      </c>
      <c r="E8772" s="531"/>
      <c r="F8772" s="531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2" t="str">
        <f t="shared" si="442"/>
        <v/>
      </c>
      <c r="E8773" s="531"/>
      <c r="F8773" s="531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2" t="str">
        <f t="shared" si="442"/>
        <v/>
      </c>
      <c r="E8774" s="531"/>
      <c r="F8774" s="531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2" t="str">
        <f t="shared" si="442"/>
        <v/>
      </c>
      <c r="E8775" s="531"/>
      <c r="F8775" s="531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2" t="str">
        <f t="shared" si="442"/>
        <v/>
      </c>
      <c r="E8776" s="531"/>
      <c r="F8776" s="531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2" t="str">
        <f t="shared" ref="D8777:D8840" si="445">IF(A8777&lt;&gt;"",PROPER(TEXT(A8777,"Mmmm")),"")</f>
        <v/>
      </c>
      <c r="E8777" s="531"/>
      <c r="F8777" s="531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2" t="str">
        <f t="shared" si="445"/>
        <v/>
      </c>
      <c r="E8778" s="531"/>
      <c r="F8778" s="531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2" t="str">
        <f t="shared" si="445"/>
        <v/>
      </c>
      <c r="E8779" s="531"/>
      <c r="F8779" s="531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2" t="str">
        <f t="shared" si="445"/>
        <v/>
      </c>
      <c r="E8780" s="531"/>
      <c r="F8780" s="531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2" t="str">
        <f t="shared" si="445"/>
        <v/>
      </c>
      <c r="E8781" s="531"/>
      <c r="F8781" s="531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2" t="str">
        <f t="shared" si="445"/>
        <v/>
      </c>
      <c r="E8782" s="531"/>
      <c r="F8782" s="531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2" t="str">
        <f t="shared" si="445"/>
        <v/>
      </c>
      <c r="E8783" s="531"/>
      <c r="F8783" s="531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2" t="str">
        <f t="shared" si="445"/>
        <v/>
      </c>
      <c r="E8784" s="531"/>
      <c r="F8784" s="531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2" t="str">
        <f t="shared" si="445"/>
        <v/>
      </c>
      <c r="E8785" s="531"/>
      <c r="F8785" s="531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2" t="str">
        <f t="shared" si="445"/>
        <v/>
      </c>
      <c r="E8786" s="531"/>
      <c r="F8786" s="531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2" t="str">
        <f t="shared" si="445"/>
        <v/>
      </c>
      <c r="E8787" s="531"/>
      <c r="F8787" s="531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2" t="str">
        <f t="shared" si="445"/>
        <v/>
      </c>
      <c r="E8788" s="531"/>
      <c r="F8788" s="531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2" t="str">
        <f t="shared" si="445"/>
        <v/>
      </c>
      <c r="E8789" s="531"/>
      <c r="F8789" s="531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2" t="str">
        <f t="shared" si="445"/>
        <v/>
      </c>
      <c r="E8790" s="531"/>
      <c r="F8790" s="531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2" t="str">
        <f t="shared" si="445"/>
        <v/>
      </c>
      <c r="E8791" s="531"/>
      <c r="F8791" s="531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2" t="str">
        <f t="shared" si="445"/>
        <v/>
      </c>
      <c r="E8792" s="531"/>
      <c r="F8792" s="531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2" t="str">
        <f t="shared" si="445"/>
        <v/>
      </c>
      <c r="E8793" s="531"/>
      <c r="F8793" s="531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2" t="str">
        <f t="shared" si="445"/>
        <v/>
      </c>
      <c r="E8794" s="531"/>
      <c r="F8794" s="531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2" t="str">
        <f t="shared" si="445"/>
        <v/>
      </c>
      <c r="E8795" s="531"/>
      <c r="F8795" s="531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2" t="str">
        <f t="shared" si="445"/>
        <v/>
      </c>
      <c r="E8796" s="531"/>
      <c r="F8796" s="531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2" t="str">
        <f t="shared" si="445"/>
        <v/>
      </c>
      <c r="E8797" s="531"/>
      <c r="F8797" s="531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2" t="str">
        <f t="shared" si="445"/>
        <v/>
      </c>
      <c r="E8798" s="531"/>
      <c r="F8798" s="531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2" t="str">
        <f t="shared" si="445"/>
        <v/>
      </c>
      <c r="E8799" s="531"/>
      <c r="F8799" s="531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2" t="str">
        <f t="shared" si="445"/>
        <v/>
      </c>
      <c r="E8800" s="531"/>
      <c r="F8800" s="531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2" t="str">
        <f t="shared" si="445"/>
        <v/>
      </c>
      <c r="E8801" s="531"/>
      <c r="F8801" s="531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2" t="str">
        <f t="shared" si="445"/>
        <v/>
      </c>
      <c r="E8802" s="531"/>
      <c r="F8802" s="531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2" t="str">
        <f t="shared" si="445"/>
        <v/>
      </c>
      <c r="E8803" s="531"/>
      <c r="F8803" s="531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2" t="str">
        <f t="shared" si="445"/>
        <v/>
      </c>
      <c r="E8804" s="531"/>
      <c r="F8804" s="531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2" t="str">
        <f t="shared" si="445"/>
        <v/>
      </c>
      <c r="E8805" s="531"/>
      <c r="F8805" s="531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2" t="str">
        <f t="shared" si="445"/>
        <v/>
      </c>
      <c r="E8806" s="531"/>
      <c r="F8806" s="531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2" t="str">
        <f t="shared" si="445"/>
        <v/>
      </c>
      <c r="E8807" s="531"/>
      <c r="F8807" s="531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2" t="str">
        <f t="shared" si="445"/>
        <v/>
      </c>
      <c r="E8808" s="531"/>
      <c r="F8808" s="531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2" t="str">
        <f t="shared" si="445"/>
        <v/>
      </c>
      <c r="E8809" s="531"/>
      <c r="F8809" s="531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2" t="str">
        <f t="shared" si="445"/>
        <v/>
      </c>
      <c r="E8810" s="531"/>
      <c r="F8810" s="531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2" t="str">
        <f t="shared" si="445"/>
        <v/>
      </c>
      <c r="E8811" s="531"/>
      <c r="F8811" s="531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2" t="str">
        <f t="shared" si="445"/>
        <v/>
      </c>
      <c r="E8812" s="531"/>
      <c r="F8812" s="531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2" t="str">
        <f t="shared" si="445"/>
        <v/>
      </c>
      <c r="E8813" s="531"/>
      <c r="F8813" s="531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2" t="str">
        <f t="shared" si="445"/>
        <v/>
      </c>
      <c r="E8814" s="531"/>
      <c r="F8814" s="531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2" t="str">
        <f t="shared" si="445"/>
        <v/>
      </c>
      <c r="E8815" s="531"/>
      <c r="F8815" s="531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2" t="str">
        <f t="shared" si="445"/>
        <v/>
      </c>
      <c r="E8816" s="531"/>
      <c r="F8816" s="531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2" t="str">
        <f t="shared" si="445"/>
        <v/>
      </c>
      <c r="E8817" s="531"/>
      <c r="F8817" s="531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2" t="str">
        <f t="shared" si="445"/>
        <v/>
      </c>
      <c r="E8818" s="531"/>
      <c r="F8818" s="531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2" t="str">
        <f t="shared" si="445"/>
        <v/>
      </c>
      <c r="E8819" s="531"/>
      <c r="F8819" s="531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2" t="str">
        <f t="shared" si="445"/>
        <v/>
      </c>
      <c r="E8820" s="531"/>
      <c r="F8820" s="531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2" t="str">
        <f t="shared" si="445"/>
        <v/>
      </c>
      <c r="E8821" s="531"/>
      <c r="F8821" s="531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2" t="str">
        <f t="shared" si="445"/>
        <v/>
      </c>
      <c r="E8822" s="531"/>
      <c r="F8822" s="531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2" t="str">
        <f t="shared" si="445"/>
        <v/>
      </c>
      <c r="E8823" s="531"/>
      <c r="F8823" s="531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2" t="str">
        <f t="shared" si="445"/>
        <v/>
      </c>
      <c r="E8824" s="531"/>
      <c r="F8824" s="531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2" t="str">
        <f t="shared" si="445"/>
        <v/>
      </c>
      <c r="E8825" s="531"/>
      <c r="F8825" s="531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2" t="str">
        <f t="shared" si="445"/>
        <v/>
      </c>
      <c r="E8826" s="531"/>
      <c r="F8826" s="531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2" t="str">
        <f t="shared" si="445"/>
        <v/>
      </c>
      <c r="E8827" s="531"/>
      <c r="F8827" s="531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2" t="str">
        <f t="shared" si="445"/>
        <v/>
      </c>
      <c r="E8828" s="531"/>
      <c r="F8828" s="531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2" t="str">
        <f t="shared" si="445"/>
        <v/>
      </c>
      <c r="E8829" s="531"/>
      <c r="F8829" s="531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2" t="str">
        <f t="shared" si="445"/>
        <v/>
      </c>
      <c r="E8830" s="531"/>
      <c r="F8830" s="531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2" t="str">
        <f t="shared" si="445"/>
        <v/>
      </c>
      <c r="E8831" s="531"/>
      <c r="F8831" s="531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2" t="str">
        <f t="shared" si="445"/>
        <v/>
      </c>
      <c r="E8832" s="531"/>
      <c r="F8832" s="531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2" t="str">
        <f t="shared" si="445"/>
        <v/>
      </c>
      <c r="E8833" s="531"/>
      <c r="F8833" s="531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2" t="str">
        <f t="shared" si="445"/>
        <v/>
      </c>
      <c r="E8834" s="531"/>
      <c r="F8834" s="531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2" t="str">
        <f t="shared" si="445"/>
        <v/>
      </c>
      <c r="E8835" s="531"/>
      <c r="F8835" s="531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2" t="str">
        <f t="shared" si="445"/>
        <v/>
      </c>
      <c r="E8836" s="531"/>
      <c r="F8836" s="531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2" t="str">
        <f t="shared" si="445"/>
        <v/>
      </c>
      <c r="E8837" s="531"/>
      <c r="F8837" s="531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2" t="str">
        <f t="shared" si="445"/>
        <v/>
      </c>
      <c r="E8838" s="531"/>
      <c r="F8838" s="531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2" t="str">
        <f t="shared" si="445"/>
        <v/>
      </c>
      <c r="E8839" s="531"/>
      <c r="F8839" s="531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2" t="str">
        <f t="shared" si="445"/>
        <v/>
      </c>
      <c r="E8840" s="531"/>
      <c r="F8840" s="531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2" t="str">
        <f t="shared" ref="D8841:D8904" si="448">IF(A8841&lt;&gt;"",PROPER(TEXT(A8841,"Mmmm")),"")</f>
        <v/>
      </c>
      <c r="E8841" s="531"/>
      <c r="F8841" s="531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2" t="str">
        <f t="shared" si="448"/>
        <v/>
      </c>
      <c r="E8842" s="531"/>
      <c r="F8842" s="531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2" t="str">
        <f t="shared" si="448"/>
        <v/>
      </c>
      <c r="E8843" s="531"/>
      <c r="F8843" s="531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2" t="str">
        <f t="shared" si="448"/>
        <v/>
      </c>
      <c r="E8844" s="531"/>
      <c r="F8844" s="531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2" t="str">
        <f t="shared" si="448"/>
        <v/>
      </c>
      <c r="E8845" s="531"/>
      <c r="F8845" s="531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2" t="str">
        <f t="shared" si="448"/>
        <v/>
      </c>
      <c r="E8846" s="531"/>
      <c r="F8846" s="531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2" t="str">
        <f t="shared" si="448"/>
        <v/>
      </c>
      <c r="E8847" s="531"/>
      <c r="F8847" s="531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2" t="str">
        <f t="shared" si="448"/>
        <v/>
      </c>
      <c r="E8848" s="531"/>
      <c r="F8848" s="531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2" t="str">
        <f t="shared" si="448"/>
        <v/>
      </c>
      <c r="E8849" s="531"/>
      <c r="F8849" s="531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2" t="str">
        <f t="shared" si="448"/>
        <v/>
      </c>
      <c r="E8850" s="531"/>
      <c r="F8850" s="531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2" t="str">
        <f t="shared" si="448"/>
        <v/>
      </c>
      <c r="E8851" s="531"/>
      <c r="F8851" s="531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2" t="str">
        <f t="shared" si="448"/>
        <v/>
      </c>
      <c r="E8852" s="531"/>
      <c r="F8852" s="531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2" t="str">
        <f t="shared" si="448"/>
        <v/>
      </c>
      <c r="E8853" s="531"/>
      <c r="F8853" s="531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2" t="str">
        <f t="shared" si="448"/>
        <v/>
      </c>
      <c r="E8854" s="531"/>
      <c r="F8854" s="531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2" t="str">
        <f t="shared" si="448"/>
        <v/>
      </c>
      <c r="E8855" s="531"/>
      <c r="F8855" s="531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2" t="str">
        <f t="shared" si="448"/>
        <v/>
      </c>
      <c r="E8856" s="531"/>
      <c r="F8856" s="531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2" t="str">
        <f t="shared" si="448"/>
        <v/>
      </c>
      <c r="E8857" s="531"/>
      <c r="F8857" s="531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2" t="str">
        <f t="shared" si="448"/>
        <v/>
      </c>
      <c r="E8858" s="531"/>
      <c r="F8858" s="531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2" t="str">
        <f t="shared" si="448"/>
        <v/>
      </c>
      <c r="E8859" s="531"/>
      <c r="F8859" s="531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2" t="str">
        <f t="shared" si="448"/>
        <v/>
      </c>
      <c r="E8860" s="531"/>
      <c r="F8860" s="531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2" t="str">
        <f t="shared" si="448"/>
        <v/>
      </c>
      <c r="E8861" s="531"/>
      <c r="F8861" s="531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2" t="str">
        <f t="shared" si="448"/>
        <v/>
      </c>
      <c r="E8862" s="531"/>
      <c r="F8862" s="531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2" t="str">
        <f t="shared" si="448"/>
        <v/>
      </c>
      <c r="E8863" s="531"/>
      <c r="F8863" s="531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2" t="str">
        <f t="shared" si="448"/>
        <v/>
      </c>
      <c r="E8864" s="531"/>
      <c r="F8864" s="531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2" t="str">
        <f t="shared" si="448"/>
        <v/>
      </c>
      <c r="E8865" s="531"/>
      <c r="F8865" s="531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2" t="str">
        <f t="shared" si="448"/>
        <v/>
      </c>
      <c r="E8866" s="531"/>
      <c r="F8866" s="531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2" t="str">
        <f t="shared" si="448"/>
        <v/>
      </c>
      <c r="E8867" s="531"/>
      <c r="F8867" s="531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2" t="str">
        <f t="shared" si="448"/>
        <v/>
      </c>
      <c r="E8868" s="531"/>
      <c r="F8868" s="531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2" t="str">
        <f t="shared" si="448"/>
        <v/>
      </c>
      <c r="E8869" s="531"/>
      <c r="F8869" s="531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2" t="str">
        <f t="shared" si="448"/>
        <v/>
      </c>
      <c r="E8870" s="531"/>
      <c r="F8870" s="531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2" t="str">
        <f t="shared" si="448"/>
        <v/>
      </c>
      <c r="E8871" s="531"/>
      <c r="F8871" s="531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2" t="str">
        <f t="shared" si="448"/>
        <v/>
      </c>
      <c r="E8872" s="531"/>
      <c r="F8872" s="531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2" t="str">
        <f t="shared" si="448"/>
        <v/>
      </c>
      <c r="E8873" s="531"/>
      <c r="F8873" s="531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2" t="str">
        <f t="shared" si="448"/>
        <v/>
      </c>
      <c r="E8874" s="531"/>
      <c r="F8874" s="531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2" t="str">
        <f t="shared" si="448"/>
        <v/>
      </c>
      <c r="E8875" s="531"/>
      <c r="F8875" s="531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2" t="str">
        <f t="shared" si="448"/>
        <v/>
      </c>
      <c r="E8876" s="531"/>
      <c r="F8876" s="531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2" t="str">
        <f t="shared" si="448"/>
        <v/>
      </c>
      <c r="E8877" s="531"/>
      <c r="F8877" s="531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2" t="str">
        <f t="shared" si="448"/>
        <v/>
      </c>
      <c r="E8878" s="531"/>
      <c r="F8878" s="531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2" t="str">
        <f t="shared" si="448"/>
        <v/>
      </c>
      <c r="E8879" s="531"/>
      <c r="F8879" s="531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2" t="str">
        <f t="shared" si="448"/>
        <v/>
      </c>
      <c r="E8880" s="531"/>
      <c r="F8880" s="531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2" t="str">
        <f t="shared" si="448"/>
        <v/>
      </c>
      <c r="E8881" s="531"/>
      <c r="F8881" s="531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2" t="str">
        <f t="shared" si="448"/>
        <v/>
      </c>
      <c r="E8882" s="531"/>
      <c r="F8882" s="531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2" t="str">
        <f t="shared" si="448"/>
        <v/>
      </c>
      <c r="E8883" s="531"/>
      <c r="F8883" s="531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2" t="str">
        <f t="shared" si="448"/>
        <v/>
      </c>
      <c r="E8884" s="531"/>
      <c r="F8884" s="531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2" t="str">
        <f t="shared" si="448"/>
        <v/>
      </c>
      <c r="E8885" s="531"/>
      <c r="F8885" s="531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2" t="str">
        <f t="shared" si="448"/>
        <v/>
      </c>
      <c r="E8886" s="531"/>
      <c r="F8886" s="531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2" t="str">
        <f t="shared" si="448"/>
        <v/>
      </c>
      <c r="E8887" s="531"/>
      <c r="F8887" s="531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2" t="str">
        <f t="shared" si="448"/>
        <v/>
      </c>
      <c r="E8888" s="531"/>
      <c r="F8888" s="531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2" t="str">
        <f t="shared" si="448"/>
        <v/>
      </c>
      <c r="E8889" s="531"/>
      <c r="F8889" s="531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2" t="str">
        <f t="shared" si="448"/>
        <v/>
      </c>
      <c r="E8890" s="531"/>
      <c r="F8890" s="531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2" t="str">
        <f t="shared" si="448"/>
        <v/>
      </c>
      <c r="E8891" s="531"/>
      <c r="F8891" s="531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2" t="str">
        <f t="shared" si="448"/>
        <v/>
      </c>
      <c r="E8892" s="531"/>
      <c r="F8892" s="531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2" t="str">
        <f t="shared" si="448"/>
        <v/>
      </c>
      <c r="E8893" s="531"/>
      <c r="F8893" s="531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2" t="str">
        <f t="shared" si="448"/>
        <v/>
      </c>
      <c r="E8894" s="531"/>
      <c r="F8894" s="531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2" t="str">
        <f t="shared" si="448"/>
        <v/>
      </c>
      <c r="E8895" s="531"/>
      <c r="F8895" s="531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2" t="str">
        <f t="shared" si="448"/>
        <v/>
      </c>
      <c r="E8896" s="531"/>
      <c r="F8896" s="531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2" t="str">
        <f t="shared" si="448"/>
        <v/>
      </c>
      <c r="E8897" s="531"/>
      <c r="F8897" s="531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2" t="str">
        <f t="shared" si="448"/>
        <v/>
      </c>
      <c r="E8898" s="531"/>
      <c r="F8898" s="531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2" t="str">
        <f t="shared" si="448"/>
        <v/>
      </c>
      <c r="E8899" s="531"/>
      <c r="F8899" s="531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2" t="str">
        <f t="shared" si="448"/>
        <v/>
      </c>
      <c r="E8900" s="531"/>
      <c r="F8900" s="531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2" t="str">
        <f t="shared" si="448"/>
        <v/>
      </c>
      <c r="E8901" s="531"/>
      <c r="F8901" s="531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2" t="str">
        <f t="shared" si="448"/>
        <v/>
      </c>
      <c r="E8902" s="531"/>
      <c r="F8902" s="531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2" t="str">
        <f t="shared" si="448"/>
        <v/>
      </c>
      <c r="E8903" s="531"/>
      <c r="F8903" s="531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2" t="str">
        <f t="shared" si="448"/>
        <v/>
      </c>
      <c r="E8904" s="531"/>
      <c r="F8904" s="531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2" t="str">
        <f t="shared" ref="D8905:D8968" si="451">IF(A8905&lt;&gt;"",PROPER(TEXT(A8905,"Mmmm")),"")</f>
        <v/>
      </c>
      <c r="E8905" s="531"/>
      <c r="F8905" s="531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2" t="str">
        <f t="shared" si="451"/>
        <v/>
      </c>
      <c r="E8906" s="531"/>
      <c r="F8906" s="531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2" t="str">
        <f t="shared" si="451"/>
        <v/>
      </c>
      <c r="E8907" s="531"/>
      <c r="F8907" s="531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2" t="str">
        <f t="shared" si="451"/>
        <v/>
      </c>
      <c r="E8908" s="531"/>
      <c r="F8908" s="531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2" t="str">
        <f t="shared" si="451"/>
        <v/>
      </c>
      <c r="E8909" s="531"/>
      <c r="F8909" s="531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2" t="str">
        <f t="shared" si="451"/>
        <v/>
      </c>
      <c r="E8910" s="531"/>
      <c r="F8910" s="531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2" t="str">
        <f t="shared" si="451"/>
        <v/>
      </c>
      <c r="E8911" s="531"/>
      <c r="F8911" s="531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2" t="str">
        <f t="shared" si="451"/>
        <v/>
      </c>
      <c r="E8912" s="531"/>
      <c r="F8912" s="531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2" t="str">
        <f t="shared" si="451"/>
        <v/>
      </c>
      <c r="E8913" s="531"/>
      <c r="F8913" s="531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2" t="str">
        <f t="shared" si="451"/>
        <v/>
      </c>
      <c r="E8914" s="531"/>
      <c r="F8914" s="531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2" t="str">
        <f t="shared" si="451"/>
        <v/>
      </c>
      <c r="E8915" s="531"/>
      <c r="F8915" s="531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2" t="str">
        <f t="shared" si="451"/>
        <v/>
      </c>
      <c r="E8916" s="531"/>
      <c r="F8916" s="531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2" t="str">
        <f t="shared" si="451"/>
        <v/>
      </c>
      <c r="E8917" s="531"/>
      <c r="F8917" s="531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2" t="str">
        <f t="shared" si="451"/>
        <v/>
      </c>
      <c r="E8918" s="531"/>
      <c r="F8918" s="531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2" t="str">
        <f t="shared" si="451"/>
        <v/>
      </c>
      <c r="E8919" s="531"/>
      <c r="F8919" s="531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2" t="str">
        <f t="shared" si="451"/>
        <v/>
      </c>
      <c r="E8920" s="531"/>
      <c r="F8920" s="531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2" t="str">
        <f t="shared" si="451"/>
        <v/>
      </c>
      <c r="E8921" s="531"/>
      <c r="F8921" s="531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2" t="str">
        <f t="shared" si="451"/>
        <v/>
      </c>
      <c r="E8922" s="531"/>
      <c r="F8922" s="531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2" t="str">
        <f t="shared" si="451"/>
        <v/>
      </c>
      <c r="E8923" s="531"/>
      <c r="F8923" s="531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2" t="str">
        <f t="shared" si="451"/>
        <v/>
      </c>
      <c r="E8924" s="531"/>
      <c r="F8924" s="531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2" t="str">
        <f t="shared" si="451"/>
        <v/>
      </c>
      <c r="E8925" s="531"/>
      <c r="F8925" s="531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2" t="str">
        <f t="shared" si="451"/>
        <v/>
      </c>
      <c r="E8926" s="531"/>
      <c r="F8926" s="531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2" t="str">
        <f t="shared" si="451"/>
        <v/>
      </c>
      <c r="E8927" s="531"/>
      <c r="F8927" s="531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2" t="str">
        <f t="shared" si="451"/>
        <v/>
      </c>
      <c r="E8928" s="531"/>
      <c r="F8928" s="531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2" t="str">
        <f t="shared" si="451"/>
        <v/>
      </c>
      <c r="E8929" s="531"/>
      <c r="F8929" s="531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2" t="str">
        <f t="shared" si="451"/>
        <v/>
      </c>
      <c r="E8930" s="531"/>
      <c r="F8930" s="531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2" t="str">
        <f t="shared" si="451"/>
        <v/>
      </c>
      <c r="E8931" s="531"/>
      <c r="F8931" s="531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2" t="str">
        <f t="shared" si="451"/>
        <v/>
      </c>
      <c r="E8932" s="531"/>
      <c r="F8932" s="531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2" t="str">
        <f t="shared" si="451"/>
        <v/>
      </c>
      <c r="E8933" s="531"/>
      <c r="F8933" s="531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2" t="str">
        <f t="shared" si="451"/>
        <v/>
      </c>
      <c r="E8934" s="531"/>
      <c r="F8934" s="531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2" t="str">
        <f t="shared" si="451"/>
        <v/>
      </c>
      <c r="E8935" s="531"/>
      <c r="F8935" s="531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2" t="str">
        <f t="shared" si="451"/>
        <v/>
      </c>
      <c r="E8936" s="531"/>
      <c r="F8936" s="531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2" t="str">
        <f t="shared" si="451"/>
        <v/>
      </c>
      <c r="E8937" s="531"/>
      <c r="F8937" s="531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2" t="str">
        <f t="shared" si="451"/>
        <v/>
      </c>
      <c r="E8938" s="531"/>
      <c r="F8938" s="531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2" t="str">
        <f t="shared" si="451"/>
        <v/>
      </c>
      <c r="E8939" s="531"/>
      <c r="F8939" s="531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2" t="str">
        <f t="shared" si="451"/>
        <v/>
      </c>
      <c r="E8940" s="531"/>
      <c r="F8940" s="531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2" t="str">
        <f t="shared" si="451"/>
        <v/>
      </c>
      <c r="E8941" s="531"/>
      <c r="F8941" s="531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2" t="str">
        <f t="shared" si="451"/>
        <v/>
      </c>
      <c r="E8942" s="531"/>
      <c r="F8942" s="531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2" t="str">
        <f t="shared" si="451"/>
        <v/>
      </c>
      <c r="E8943" s="531"/>
      <c r="F8943" s="531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2" t="str">
        <f t="shared" si="451"/>
        <v/>
      </c>
      <c r="E8944" s="531"/>
      <c r="F8944" s="531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2" t="str">
        <f t="shared" si="451"/>
        <v/>
      </c>
      <c r="E8945" s="531"/>
      <c r="F8945" s="531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2" t="str">
        <f t="shared" si="451"/>
        <v/>
      </c>
      <c r="E8946" s="531"/>
      <c r="F8946" s="531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2" t="str">
        <f t="shared" si="451"/>
        <v/>
      </c>
      <c r="E8947" s="531"/>
      <c r="F8947" s="531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2" t="str">
        <f t="shared" si="451"/>
        <v/>
      </c>
      <c r="E8948" s="531"/>
      <c r="F8948" s="531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2" t="str">
        <f t="shared" si="451"/>
        <v/>
      </c>
      <c r="E8949" s="531"/>
      <c r="F8949" s="531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2" t="str">
        <f t="shared" si="451"/>
        <v/>
      </c>
      <c r="E8950" s="531"/>
      <c r="F8950" s="531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2" t="str">
        <f t="shared" si="451"/>
        <v/>
      </c>
      <c r="E8951" s="531"/>
      <c r="F8951" s="531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2" t="str">
        <f t="shared" si="451"/>
        <v/>
      </c>
      <c r="E8952" s="531"/>
      <c r="F8952" s="531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2" t="str">
        <f t="shared" si="451"/>
        <v/>
      </c>
      <c r="E8953" s="531"/>
      <c r="F8953" s="531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2" t="str">
        <f t="shared" si="451"/>
        <v/>
      </c>
      <c r="E8954" s="531"/>
      <c r="F8954" s="531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2" t="str">
        <f t="shared" si="451"/>
        <v/>
      </c>
      <c r="E8955" s="531"/>
      <c r="F8955" s="531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2" t="str">
        <f t="shared" si="451"/>
        <v/>
      </c>
      <c r="E8956" s="531"/>
      <c r="F8956" s="531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2" t="str">
        <f t="shared" si="451"/>
        <v/>
      </c>
      <c r="E8957" s="531"/>
      <c r="F8957" s="531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2" t="str">
        <f t="shared" si="451"/>
        <v/>
      </c>
      <c r="E8958" s="531"/>
      <c r="F8958" s="531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2" t="str">
        <f t="shared" si="451"/>
        <v/>
      </c>
      <c r="E8959" s="531"/>
      <c r="F8959" s="531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2" t="str">
        <f t="shared" si="451"/>
        <v/>
      </c>
      <c r="E8960" s="531"/>
      <c r="F8960" s="531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2" t="str">
        <f t="shared" si="451"/>
        <v/>
      </c>
      <c r="E8961" s="531"/>
      <c r="F8961" s="531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2" t="str">
        <f t="shared" si="451"/>
        <v/>
      </c>
      <c r="E8962" s="531"/>
      <c r="F8962" s="531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2" t="str">
        <f t="shared" si="451"/>
        <v/>
      </c>
      <c r="E8963" s="531"/>
      <c r="F8963" s="531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2" t="str">
        <f t="shared" si="451"/>
        <v/>
      </c>
      <c r="E8964" s="531"/>
      <c r="F8964" s="531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2" t="str">
        <f t="shared" si="451"/>
        <v/>
      </c>
      <c r="E8965" s="531"/>
      <c r="F8965" s="531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2" t="str">
        <f t="shared" si="451"/>
        <v/>
      </c>
      <c r="E8966" s="531"/>
      <c r="F8966" s="531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2" t="str">
        <f t="shared" si="451"/>
        <v/>
      </c>
      <c r="E8967" s="531"/>
      <c r="F8967" s="531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2" t="str">
        <f t="shared" si="451"/>
        <v/>
      </c>
      <c r="E8968" s="531"/>
      <c r="F8968" s="531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2" t="str">
        <f t="shared" ref="D8969:D9032" si="454">IF(A8969&lt;&gt;"",PROPER(TEXT(A8969,"Mmmm")),"")</f>
        <v/>
      </c>
      <c r="E8969" s="531"/>
      <c r="F8969" s="531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2" t="str">
        <f t="shared" si="454"/>
        <v/>
      </c>
      <c r="E8970" s="531"/>
      <c r="F8970" s="531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2" t="str">
        <f t="shared" si="454"/>
        <v/>
      </c>
      <c r="E8971" s="531"/>
      <c r="F8971" s="531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2" t="str">
        <f t="shared" si="454"/>
        <v/>
      </c>
      <c r="E8972" s="531"/>
      <c r="F8972" s="531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2" t="str">
        <f t="shared" si="454"/>
        <v/>
      </c>
      <c r="E8973" s="531"/>
      <c r="F8973" s="531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2" t="str">
        <f t="shared" si="454"/>
        <v/>
      </c>
      <c r="E8974" s="531"/>
      <c r="F8974" s="531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2" t="str">
        <f t="shared" si="454"/>
        <v/>
      </c>
      <c r="E8975" s="531"/>
      <c r="F8975" s="531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2" t="str">
        <f t="shared" si="454"/>
        <v/>
      </c>
      <c r="E8976" s="531"/>
      <c r="F8976" s="531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2" t="str">
        <f t="shared" si="454"/>
        <v/>
      </c>
      <c r="E8977" s="531"/>
      <c r="F8977" s="531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2" t="str">
        <f t="shared" si="454"/>
        <v/>
      </c>
      <c r="E8978" s="531"/>
      <c r="F8978" s="531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2" t="str">
        <f t="shared" si="454"/>
        <v/>
      </c>
      <c r="E8979" s="531"/>
      <c r="F8979" s="531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2" t="str">
        <f t="shared" si="454"/>
        <v/>
      </c>
      <c r="E8980" s="531"/>
      <c r="F8980" s="531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2" t="str">
        <f t="shared" si="454"/>
        <v/>
      </c>
      <c r="E8981" s="531"/>
      <c r="F8981" s="531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2" t="str">
        <f t="shared" si="454"/>
        <v/>
      </c>
      <c r="E8982" s="531"/>
      <c r="F8982" s="531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2" t="str">
        <f t="shared" si="454"/>
        <v/>
      </c>
      <c r="E8983" s="531"/>
      <c r="F8983" s="531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2" t="str">
        <f t="shared" si="454"/>
        <v/>
      </c>
      <c r="E8984" s="531"/>
      <c r="F8984" s="531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2" t="str">
        <f t="shared" si="454"/>
        <v/>
      </c>
      <c r="E8985" s="531"/>
      <c r="F8985" s="531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2" t="str">
        <f t="shared" si="454"/>
        <v/>
      </c>
      <c r="E8986" s="531"/>
      <c r="F8986" s="531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2" t="str">
        <f t="shared" si="454"/>
        <v/>
      </c>
      <c r="E8987" s="531"/>
      <c r="F8987" s="531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2" t="str">
        <f t="shared" si="454"/>
        <v/>
      </c>
      <c r="E8988" s="531"/>
      <c r="F8988" s="531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2" t="str">
        <f t="shared" si="454"/>
        <v/>
      </c>
      <c r="E8989" s="531"/>
      <c r="F8989" s="531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2" t="str">
        <f t="shared" si="454"/>
        <v/>
      </c>
      <c r="E8990" s="531"/>
      <c r="F8990" s="531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2" t="str">
        <f t="shared" si="454"/>
        <v/>
      </c>
      <c r="E8991" s="531"/>
      <c r="F8991" s="531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2" t="str">
        <f t="shared" si="454"/>
        <v/>
      </c>
      <c r="E8992" s="531"/>
      <c r="F8992" s="531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2" t="str">
        <f t="shared" si="454"/>
        <v/>
      </c>
      <c r="E8993" s="531"/>
      <c r="F8993" s="531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2" t="str">
        <f t="shared" si="454"/>
        <v/>
      </c>
      <c r="E8994" s="531"/>
      <c r="F8994" s="531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2" t="str">
        <f t="shared" si="454"/>
        <v/>
      </c>
      <c r="E8995" s="531"/>
      <c r="F8995" s="531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2" t="str">
        <f t="shared" si="454"/>
        <v/>
      </c>
      <c r="E8996" s="531"/>
      <c r="F8996" s="531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2" t="str">
        <f t="shared" si="454"/>
        <v/>
      </c>
      <c r="E8997" s="531"/>
      <c r="F8997" s="531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2" t="str">
        <f t="shared" si="454"/>
        <v/>
      </c>
      <c r="E8998" s="531"/>
      <c r="F8998" s="531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2" t="str">
        <f t="shared" si="454"/>
        <v/>
      </c>
      <c r="E8999" s="531"/>
      <c r="F8999" s="531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2" t="str">
        <f t="shared" si="454"/>
        <v/>
      </c>
      <c r="E9000" s="531"/>
      <c r="F9000" s="531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2" t="str">
        <f t="shared" si="454"/>
        <v/>
      </c>
      <c r="E9001" s="531"/>
      <c r="F9001" s="531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2" t="str">
        <f t="shared" si="454"/>
        <v/>
      </c>
      <c r="E9002" s="531"/>
      <c r="F9002" s="531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2" t="str">
        <f t="shared" si="454"/>
        <v/>
      </c>
      <c r="E9003" s="531"/>
      <c r="F9003" s="531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2" t="str">
        <f t="shared" si="454"/>
        <v/>
      </c>
      <c r="E9004" s="531"/>
      <c r="F9004" s="531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2" t="str">
        <f t="shared" si="454"/>
        <v/>
      </c>
      <c r="E9005" s="531"/>
      <c r="F9005" s="531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2" t="str">
        <f t="shared" si="454"/>
        <v/>
      </c>
      <c r="E9006" s="531"/>
      <c r="F9006" s="531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2" t="str">
        <f t="shared" si="454"/>
        <v/>
      </c>
      <c r="E9007" s="531"/>
      <c r="F9007" s="531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2" t="str">
        <f t="shared" si="454"/>
        <v/>
      </c>
      <c r="E9008" s="531"/>
      <c r="F9008" s="531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2" t="str">
        <f t="shared" si="454"/>
        <v/>
      </c>
      <c r="E9009" s="531"/>
      <c r="F9009" s="531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2" t="str">
        <f t="shared" si="454"/>
        <v/>
      </c>
      <c r="E9010" s="531"/>
      <c r="F9010" s="531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2" t="str">
        <f t="shared" si="454"/>
        <v/>
      </c>
      <c r="E9011" s="531"/>
      <c r="F9011" s="531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2" t="str">
        <f t="shared" si="454"/>
        <v/>
      </c>
      <c r="E9012" s="531"/>
      <c r="F9012" s="531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2" t="str">
        <f t="shared" si="454"/>
        <v/>
      </c>
      <c r="E9013" s="531"/>
      <c r="F9013" s="531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2" t="str">
        <f t="shared" si="454"/>
        <v/>
      </c>
      <c r="E9014" s="531"/>
      <c r="F9014" s="531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2" t="str">
        <f t="shared" si="454"/>
        <v/>
      </c>
      <c r="E9015" s="531"/>
      <c r="F9015" s="531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2" t="str">
        <f t="shared" si="454"/>
        <v/>
      </c>
      <c r="E9016" s="531"/>
      <c r="F9016" s="531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2" t="str">
        <f t="shared" si="454"/>
        <v/>
      </c>
      <c r="E9017" s="531"/>
      <c r="F9017" s="531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2" t="str">
        <f t="shared" si="454"/>
        <v/>
      </c>
      <c r="E9018" s="531"/>
      <c r="F9018" s="531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2" t="str">
        <f t="shared" si="454"/>
        <v/>
      </c>
      <c r="E9019" s="531"/>
      <c r="F9019" s="531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2" t="str">
        <f t="shared" si="454"/>
        <v/>
      </c>
      <c r="E9020" s="531"/>
      <c r="F9020" s="531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2" t="str">
        <f t="shared" si="454"/>
        <v/>
      </c>
      <c r="E9021" s="531"/>
      <c r="F9021" s="531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2" t="str">
        <f t="shared" si="454"/>
        <v/>
      </c>
      <c r="E9022" s="531"/>
      <c r="F9022" s="531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2" t="str">
        <f t="shared" si="454"/>
        <v/>
      </c>
      <c r="E9023" s="531"/>
      <c r="F9023" s="531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2" t="str">
        <f t="shared" si="454"/>
        <v/>
      </c>
      <c r="E9024" s="531"/>
      <c r="F9024" s="531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2" t="str">
        <f t="shared" si="454"/>
        <v/>
      </c>
      <c r="E9025" s="531"/>
      <c r="F9025" s="531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2" t="str">
        <f t="shared" si="454"/>
        <v/>
      </c>
      <c r="E9026" s="531"/>
      <c r="F9026" s="531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2" t="str">
        <f t="shared" si="454"/>
        <v/>
      </c>
      <c r="E9027" s="531"/>
      <c r="F9027" s="531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2" t="str">
        <f t="shared" si="454"/>
        <v/>
      </c>
      <c r="E9028" s="531"/>
      <c r="F9028" s="531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2" t="str">
        <f t="shared" si="454"/>
        <v/>
      </c>
      <c r="E9029" s="531"/>
      <c r="F9029" s="531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2" t="str">
        <f t="shared" si="454"/>
        <v/>
      </c>
      <c r="E9030" s="531"/>
      <c r="F9030" s="531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2" t="str">
        <f t="shared" si="454"/>
        <v/>
      </c>
      <c r="E9031" s="531"/>
      <c r="F9031" s="531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2" t="str">
        <f t="shared" si="454"/>
        <v/>
      </c>
      <c r="E9032" s="531"/>
      <c r="F9032" s="531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2" t="str">
        <f t="shared" ref="D9033:D9096" si="457">IF(A9033&lt;&gt;"",PROPER(TEXT(A9033,"Mmmm")),"")</f>
        <v/>
      </c>
      <c r="E9033" s="531"/>
      <c r="F9033" s="531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2" t="str">
        <f t="shared" si="457"/>
        <v/>
      </c>
      <c r="E9034" s="531"/>
      <c r="F9034" s="531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2" t="str">
        <f t="shared" si="457"/>
        <v/>
      </c>
      <c r="E9035" s="531"/>
      <c r="F9035" s="531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2" t="str">
        <f t="shared" si="457"/>
        <v/>
      </c>
      <c r="E9036" s="531"/>
      <c r="F9036" s="531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2" t="str">
        <f t="shared" si="457"/>
        <v/>
      </c>
      <c r="E9037" s="531"/>
      <c r="F9037" s="531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2" t="str">
        <f t="shared" si="457"/>
        <v/>
      </c>
      <c r="E9038" s="531"/>
      <c r="F9038" s="531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2" t="str">
        <f t="shared" si="457"/>
        <v/>
      </c>
      <c r="E9039" s="531"/>
      <c r="F9039" s="531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2" t="str">
        <f t="shared" si="457"/>
        <v/>
      </c>
      <c r="E9040" s="531"/>
      <c r="F9040" s="531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2" t="str">
        <f t="shared" si="457"/>
        <v/>
      </c>
      <c r="E9041" s="531"/>
      <c r="F9041" s="531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2" t="str">
        <f t="shared" si="457"/>
        <v/>
      </c>
      <c r="E9042" s="531"/>
      <c r="F9042" s="531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2" t="str">
        <f t="shared" si="457"/>
        <v/>
      </c>
      <c r="E9043" s="531"/>
      <c r="F9043" s="531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2" t="str">
        <f t="shared" si="457"/>
        <v/>
      </c>
      <c r="E9044" s="531"/>
      <c r="F9044" s="531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2" t="str">
        <f t="shared" si="457"/>
        <v/>
      </c>
      <c r="E9045" s="531"/>
      <c r="F9045" s="531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2" t="str">
        <f t="shared" si="457"/>
        <v/>
      </c>
      <c r="E9046" s="531"/>
      <c r="F9046" s="531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2" t="str">
        <f t="shared" si="457"/>
        <v/>
      </c>
      <c r="E9047" s="531"/>
      <c r="F9047" s="531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2" t="str">
        <f t="shared" si="457"/>
        <v/>
      </c>
      <c r="E9048" s="531"/>
      <c r="F9048" s="531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2" t="str">
        <f t="shared" si="457"/>
        <v/>
      </c>
      <c r="E9049" s="531"/>
      <c r="F9049" s="531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2" t="str">
        <f t="shared" si="457"/>
        <v/>
      </c>
      <c r="E9050" s="531"/>
      <c r="F9050" s="531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2" t="str">
        <f t="shared" si="457"/>
        <v/>
      </c>
      <c r="E9051" s="531"/>
      <c r="F9051" s="531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2" t="str">
        <f t="shared" si="457"/>
        <v/>
      </c>
      <c r="E9052" s="531"/>
      <c r="F9052" s="531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2" t="str">
        <f t="shared" si="457"/>
        <v/>
      </c>
      <c r="E9053" s="531"/>
      <c r="F9053" s="531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2" t="str">
        <f t="shared" si="457"/>
        <v/>
      </c>
      <c r="E9054" s="531"/>
      <c r="F9054" s="531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2" t="str">
        <f t="shared" si="457"/>
        <v/>
      </c>
      <c r="E9055" s="531"/>
      <c r="F9055" s="531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2" t="str">
        <f t="shared" si="457"/>
        <v/>
      </c>
      <c r="E9056" s="531"/>
      <c r="F9056" s="531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2" t="str">
        <f t="shared" si="457"/>
        <v/>
      </c>
      <c r="E9057" s="531"/>
      <c r="F9057" s="531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2" t="str">
        <f t="shared" si="457"/>
        <v/>
      </c>
      <c r="E9058" s="531"/>
      <c r="F9058" s="531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2" t="str">
        <f t="shared" si="457"/>
        <v/>
      </c>
      <c r="E9059" s="531"/>
      <c r="F9059" s="531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2" t="str">
        <f t="shared" si="457"/>
        <v/>
      </c>
      <c r="E9060" s="531"/>
      <c r="F9060" s="531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2" t="str">
        <f t="shared" si="457"/>
        <v/>
      </c>
      <c r="E9061" s="531"/>
      <c r="F9061" s="531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2" t="str">
        <f t="shared" si="457"/>
        <v/>
      </c>
      <c r="E9062" s="531"/>
      <c r="F9062" s="531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2" t="str">
        <f t="shared" si="457"/>
        <v/>
      </c>
      <c r="E9063" s="531"/>
      <c r="F9063" s="531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2" t="str">
        <f t="shared" si="457"/>
        <v/>
      </c>
      <c r="E9064" s="531"/>
      <c r="F9064" s="531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2" t="str">
        <f t="shared" si="457"/>
        <v/>
      </c>
      <c r="E9065" s="531"/>
      <c r="F9065" s="531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2" t="str">
        <f t="shared" si="457"/>
        <v/>
      </c>
      <c r="E9066" s="531"/>
      <c r="F9066" s="531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2" t="str">
        <f t="shared" si="457"/>
        <v/>
      </c>
      <c r="E9067" s="531"/>
      <c r="F9067" s="531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2" t="str">
        <f t="shared" si="457"/>
        <v/>
      </c>
      <c r="E9068" s="531"/>
      <c r="F9068" s="531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2" t="str">
        <f t="shared" si="457"/>
        <v/>
      </c>
      <c r="E9069" s="531"/>
      <c r="F9069" s="531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2" t="str">
        <f t="shared" si="457"/>
        <v/>
      </c>
      <c r="E9070" s="531"/>
      <c r="F9070" s="531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2" t="str">
        <f t="shared" si="457"/>
        <v/>
      </c>
      <c r="E9071" s="531"/>
      <c r="F9071" s="531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2" t="str">
        <f t="shared" si="457"/>
        <v/>
      </c>
      <c r="E9072" s="531"/>
      <c r="F9072" s="531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2" t="str">
        <f t="shared" si="457"/>
        <v/>
      </c>
      <c r="E9073" s="531"/>
      <c r="F9073" s="531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2" t="str">
        <f t="shared" si="457"/>
        <v/>
      </c>
      <c r="E9074" s="531"/>
      <c r="F9074" s="531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2" t="str">
        <f t="shared" si="457"/>
        <v/>
      </c>
      <c r="E9075" s="531"/>
      <c r="F9075" s="531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2" t="str">
        <f t="shared" si="457"/>
        <v/>
      </c>
      <c r="E9076" s="531"/>
      <c r="F9076" s="531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2" t="str">
        <f t="shared" si="457"/>
        <v/>
      </c>
      <c r="E9077" s="531"/>
      <c r="F9077" s="531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2" t="str">
        <f t="shared" si="457"/>
        <v/>
      </c>
      <c r="E9078" s="531"/>
      <c r="F9078" s="531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2" t="str">
        <f t="shared" si="457"/>
        <v/>
      </c>
      <c r="E9079" s="531"/>
      <c r="F9079" s="531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2" t="str">
        <f t="shared" si="457"/>
        <v/>
      </c>
      <c r="E9080" s="531"/>
      <c r="F9080" s="531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2" t="str">
        <f t="shared" si="457"/>
        <v/>
      </c>
      <c r="E9081" s="531"/>
      <c r="F9081" s="531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2" t="str">
        <f t="shared" si="457"/>
        <v/>
      </c>
      <c r="E9082" s="531"/>
      <c r="F9082" s="531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2" t="str">
        <f t="shared" si="457"/>
        <v/>
      </c>
      <c r="E9083" s="531"/>
      <c r="F9083" s="531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2" t="str">
        <f t="shared" si="457"/>
        <v/>
      </c>
      <c r="E9084" s="531"/>
      <c r="F9084" s="531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2" t="str">
        <f t="shared" si="457"/>
        <v/>
      </c>
      <c r="E9085" s="531"/>
      <c r="F9085" s="531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2" t="str">
        <f t="shared" si="457"/>
        <v/>
      </c>
      <c r="E9086" s="531"/>
      <c r="F9086" s="531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2" t="str">
        <f t="shared" si="457"/>
        <v/>
      </c>
      <c r="E9087" s="531"/>
      <c r="F9087" s="531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2" t="str">
        <f t="shared" si="457"/>
        <v/>
      </c>
      <c r="E9088" s="531"/>
      <c r="F9088" s="531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2" t="str">
        <f t="shared" si="457"/>
        <v/>
      </c>
      <c r="E9089" s="531"/>
      <c r="F9089" s="531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2" t="str">
        <f t="shared" si="457"/>
        <v/>
      </c>
      <c r="E9090" s="531"/>
      <c r="F9090" s="531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2" t="str">
        <f t="shared" si="457"/>
        <v/>
      </c>
      <c r="E9091" s="531"/>
      <c r="F9091" s="531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2" t="str">
        <f t="shared" si="457"/>
        <v/>
      </c>
      <c r="E9092" s="531"/>
      <c r="F9092" s="531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2" t="str">
        <f t="shared" si="457"/>
        <v/>
      </c>
      <c r="E9093" s="531"/>
      <c r="F9093" s="531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2" t="str">
        <f t="shared" si="457"/>
        <v/>
      </c>
      <c r="E9094" s="531"/>
      <c r="F9094" s="531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2" t="str">
        <f t="shared" si="457"/>
        <v/>
      </c>
      <c r="E9095" s="531"/>
      <c r="F9095" s="531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2" t="str">
        <f t="shared" si="457"/>
        <v/>
      </c>
      <c r="E9096" s="531"/>
      <c r="F9096" s="531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2" t="str">
        <f t="shared" ref="D9097:D9160" si="460">IF(A9097&lt;&gt;"",PROPER(TEXT(A9097,"Mmmm")),"")</f>
        <v/>
      </c>
      <c r="E9097" s="531"/>
      <c r="F9097" s="531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2" t="str">
        <f t="shared" si="460"/>
        <v/>
      </c>
      <c r="E9098" s="531"/>
      <c r="F9098" s="531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2" t="str">
        <f t="shared" si="460"/>
        <v/>
      </c>
      <c r="E9099" s="531"/>
      <c r="F9099" s="531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2" t="str">
        <f t="shared" si="460"/>
        <v/>
      </c>
      <c r="E9100" s="531"/>
      <c r="F9100" s="531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2" t="str">
        <f t="shared" si="460"/>
        <v/>
      </c>
      <c r="E9101" s="531"/>
      <c r="F9101" s="531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2" t="str">
        <f t="shared" si="460"/>
        <v/>
      </c>
      <c r="E9102" s="531"/>
      <c r="F9102" s="531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2" t="str">
        <f t="shared" si="460"/>
        <v/>
      </c>
      <c r="E9103" s="531"/>
      <c r="F9103" s="531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2" t="str">
        <f t="shared" si="460"/>
        <v/>
      </c>
      <c r="E9104" s="531"/>
      <c r="F9104" s="531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2" t="str">
        <f t="shared" si="460"/>
        <v/>
      </c>
      <c r="E9105" s="531"/>
      <c r="F9105" s="531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2" t="str">
        <f t="shared" si="460"/>
        <v/>
      </c>
      <c r="E9106" s="531"/>
      <c r="F9106" s="531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2" t="str">
        <f t="shared" si="460"/>
        <v/>
      </c>
      <c r="E9107" s="531"/>
      <c r="F9107" s="531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2" t="str">
        <f t="shared" si="460"/>
        <v/>
      </c>
      <c r="E9108" s="531"/>
      <c r="F9108" s="531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2" t="str">
        <f t="shared" si="460"/>
        <v/>
      </c>
      <c r="E9109" s="531"/>
      <c r="F9109" s="531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2" t="str">
        <f t="shared" si="460"/>
        <v/>
      </c>
      <c r="E9110" s="531"/>
      <c r="F9110" s="531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2" t="str">
        <f t="shared" si="460"/>
        <v/>
      </c>
      <c r="E9111" s="531"/>
      <c r="F9111" s="531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2" t="str">
        <f t="shared" si="460"/>
        <v/>
      </c>
      <c r="E9112" s="531"/>
      <c r="F9112" s="531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2" t="str">
        <f t="shared" si="460"/>
        <v/>
      </c>
      <c r="E9113" s="531"/>
      <c r="F9113" s="531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2" t="str">
        <f t="shared" si="460"/>
        <v/>
      </c>
      <c r="E9114" s="531"/>
      <c r="F9114" s="531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2" t="str">
        <f t="shared" si="460"/>
        <v/>
      </c>
      <c r="E9115" s="531"/>
      <c r="F9115" s="531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2" t="str">
        <f t="shared" si="460"/>
        <v/>
      </c>
      <c r="E9116" s="531"/>
      <c r="F9116" s="531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2" t="str">
        <f t="shared" si="460"/>
        <v/>
      </c>
      <c r="E9117" s="531"/>
      <c r="F9117" s="531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2" t="str">
        <f t="shared" si="460"/>
        <v/>
      </c>
      <c r="E9118" s="531"/>
      <c r="F9118" s="531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2" t="str">
        <f t="shared" si="460"/>
        <v/>
      </c>
      <c r="E9119" s="531"/>
      <c r="F9119" s="531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2" t="str">
        <f t="shared" si="460"/>
        <v/>
      </c>
      <c r="E9120" s="531"/>
      <c r="F9120" s="531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2" t="str">
        <f t="shared" si="460"/>
        <v/>
      </c>
      <c r="E9121" s="531"/>
      <c r="F9121" s="531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2" t="str">
        <f t="shared" si="460"/>
        <v/>
      </c>
      <c r="E9122" s="531"/>
      <c r="F9122" s="531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2" t="str">
        <f t="shared" si="460"/>
        <v/>
      </c>
      <c r="E9123" s="531"/>
      <c r="F9123" s="531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2" t="str">
        <f t="shared" si="460"/>
        <v/>
      </c>
      <c r="E9124" s="531"/>
      <c r="F9124" s="531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2" t="str">
        <f t="shared" si="460"/>
        <v/>
      </c>
      <c r="E9125" s="531"/>
      <c r="F9125" s="531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2" t="str">
        <f t="shared" si="460"/>
        <v/>
      </c>
      <c r="E9126" s="531"/>
      <c r="F9126" s="531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2" t="str">
        <f t="shared" si="460"/>
        <v/>
      </c>
      <c r="E9127" s="531"/>
      <c r="F9127" s="531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2" t="str">
        <f t="shared" si="460"/>
        <v/>
      </c>
      <c r="E9128" s="531"/>
      <c r="F9128" s="531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2" t="str">
        <f t="shared" si="460"/>
        <v/>
      </c>
      <c r="E9129" s="531"/>
      <c r="F9129" s="531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2" t="str">
        <f t="shared" si="460"/>
        <v/>
      </c>
      <c r="E9130" s="531"/>
      <c r="F9130" s="531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2" t="str">
        <f t="shared" si="460"/>
        <v/>
      </c>
      <c r="E9131" s="531"/>
      <c r="F9131" s="531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2" t="str">
        <f t="shared" si="460"/>
        <v/>
      </c>
      <c r="E9132" s="531"/>
      <c r="F9132" s="531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2" t="str">
        <f t="shared" si="460"/>
        <v/>
      </c>
      <c r="E9133" s="531"/>
      <c r="F9133" s="531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2" t="str">
        <f t="shared" si="460"/>
        <v/>
      </c>
      <c r="E9134" s="531"/>
      <c r="F9134" s="531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2" t="str">
        <f t="shared" si="460"/>
        <v/>
      </c>
      <c r="E9135" s="531"/>
      <c r="F9135" s="531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2" t="str">
        <f t="shared" si="460"/>
        <v/>
      </c>
      <c r="E9136" s="531"/>
      <c r="F9136" s="531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2" t="str">
        <f t="shared" si="460"/>
        <v/>
      </c>
      <c r="E9137" s="531"/>
      <c r="F9137" s="531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2" t="str">
        <f t="shared" si="460"/>
        <v/>
      </c>
      <c r="E9138" s="531"/>
      <c r="F9138" s="531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2" t="str">
        <f t="shared" si="460"/>
        <v/>
      </c>
      <c r="E9139" s="531"/>
      <c r="F9139" s="531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2" t="str">
        <f t="shared" si="460"/>
        <v/>
      </c>
      <c r="E9140" s="531"/>
      <c r="F9140" s="531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2" t="str">
        <f t="shared" si="460"/>
        <v/>
      </c>
      <c r="E9141" s="531"/>
      <c r="F9141" s="531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2" t="str">
        <f t="shared" si="460"/>
        <v/>
      </c>
      <c r="E9142" s="531"/>
      <c r="F9142" s="531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2" t="str">
        <f t="shared" si="460"/>
        <v/>
      </c>
      <c r="E9143" s="531"/>
      <c r="F9143" s="531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2" t="str">
        <f t="shared" si="460"/>
        <v/>
      </c>
      <c r="E9144" s="531"/>
      <c r="F9144" s="531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2" t="str">
        <f t="shared" si="460"/>
        <v/>
      </c>
      <c r="E9145" s="531"/>
      <c r="F9145" s="531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2" t="str">
        <f t="shared" si="460"/>
        <v/>
      </c>
      <c r="E9146" s="531"/>
      <c r="F9146" s="531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2" t="str">
        <f t="shared" si="460"/>
        <v/>
      </c>
      <c r="E9147" s="531"/>
      <c r="F9147" s="531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2" t="str">
        <f t="shared" si="460"/>
        <v/>
      </c>
      <c r="E9148" s="531"/>
      <c r="F9148" s="531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2" t="str">
        <f t="shared" si="460"/>
        <v/>
      </c>
      <c r="E9149" s="531"/>
      <c r="F9149" s="531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2" t="str">
        <f t="shared" si="460"/>
        <v/>
      </c>
      <c r="E9150" s="531"/>
      <c r="F9150" s="531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2" t="str">
        <f t="shared" si="460"/>
        <v/>
      </c>
      <c r="E9151" s="531"/>
      <c r="F9151" s="531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2" t="str">
        <f t="shared" si="460"/>
        <v/>
      </c>
      <c r="E9152" s="531"/>
      <c r="F9152" s="531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2" t="str">
        <f t="shared" si="460"/>
        <v/>
      </c>
      <c r="E9153" s="531"/>
      <c r="F9153" s="531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2" t="str">
        <f t="shared" si="460"/>
        <v/>
      </c>
      <c r="E9154" s="531"/>
      <c r="F9154" s="531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2" t="str">
        <f t="shared" si="460"/>
        <v/>
      </c>
      <c r="E9155" s="531"/>
      <c r="F9155" s="531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2" t="str">
        <f t="shared" si="460"/>
        <v/>
      </c>
      <c r="E9156" s="531"/>
      <c r="F9156" s="531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2" t="str">
        <f t="shared" si="460"/>
        <v/>
      </c>
      <c r="E9157" s="531"/>
      <c r="F9157" s="531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2" t="str">
        <f t="shared" si="460"/>
        <v/>
      </c>
      <c r="E9158" s="531"/>
      <c r="F9158" s="531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2" t="str">
        <f t="shared" si="460"/>
        <v/>
      </c>
      <c r="E9159" s="531"/>
      <c r="F9159" s="531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2" t="str">
        <f t="shared" si="460"/>
        <v/>
      </c>
      <c r="E9160" s="531"/>
      <c r="F9160" s="531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2" t="str">
        <f t="shared" ref="D9161:D9224" si="463">IF(A9161&lt;&gt;"",PROPER(TEXT(A9161,"Mmmm")),"")</f>
        <v/>
      </c>
      <c r="E9161" s="531"/>
      <c r="F9161" s="531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2" t="str">
        <f t="shared" si="463"/>
        <v/>
      </c>
      <c r="E9162" s="531"/>
      <c r="F9162" s="531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2" t="str">
        <f t="shared" si="463"/>
        <v/>
      </c>
      <c r="E9163" s="531"/>
      <c r="F9163" s="531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2" t="str">
        <f t="shared" si="463"/>
        <v/>
      </c>
      <c r="E9164" s="531"/>
      <c r="F9164" s="531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2" t="str">
        <f t="shared" si="463"/>
        <v/>
      </c>
      <c r="E9165" s="531"/>
      <c r="F9165" s="531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2" t="str">
        <f t="shared" si="463"/>
        <v/>
      </c>
      <c r="E9166" s="531"/>
      <c r="F9166" s="531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2" t="str">
        <f t="shared" si="463"/>
        <v/>
      </c>
      <c r="E9167" s="531"/>
      <c r="F9167" s="531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2" t="str">
        <f t="shared" si="463"/>
        <v/>
      </c>
      <c r="E9168" s="531"/>
      <c r="F9168" s="531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2" t="str">
        <f t="shared" si="463"/>
        <v/>
      </c>
      <c r="E9169" s="531"/>
      <c r="F9169" s="531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2" t="str">
        <f t="shared" si="463"/>
        <v/>
      </c>
      <c r="E9170" s="531"/>
      <c r="F9170" s="531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2" t="str">
        <f t="shared" si="463"/>
        <v/>
      </c>
      <c r="E9171" s="531"/>
      <c r="F9171" s="531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2" t="str">
        <f t="shared" si="463"/>
        <v/>
      </c>
      <c r="E9172" s="531"/>
      <c r="F9172" s="531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2" t="str">
        <f t="shared" si="463"/>
        <v/>
      </c>
      <c r="E9173" s="531"/>
      <c r="F9173" s="531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2" t="str">
        <f t="shared" si="463"/>
        <v/>
      </c>
      <c r="E9174" s="531"/>
      <c r="F9174" s="531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2" t="str">
        <f t="shared" si="463"/>
        <v/>
      </c>
      <c r="E9175" s="531"/>
      <c r="F9175" s="531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2" t="str">
        <f t="shared" si="463"/>
        <v/>
      </c>
      <c r="E9176" s="531"/>
      <c r="F9176" s="531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2" t="str">
        <f t="shared" si="463"/>
        <v/>
      </c>
      <c r="E9177" s="531"/>
      <c r="F9177" s="531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2" t="str">
        <f t="shared" si="463"/>
        <v/>
      </c>
      <c r="E9178" s="531"/>
      <c r="F9178" s="531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2" t="str">
        <f t="shared" si="463"/>
        <v/>
      </c>
      <c r="E9179" s="531"/>
      <c r="F9179" s="531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2" t="str">
        <f t="shared" si="463"/>
        <v/>
      </c>
      <c r="E9180" s="531"/>
      <c r="F9180" s="531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2" t="str">
        <f t="shared" si="463"/>
        <v/>
      </c>
      <c r="E9181" s="531"/>
      <c r="F9181" s="531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2" t="str">
        <f t="shared" si="463"/>
        <v/>
      </c>
      <c r="E9182" s="531"/>
      <c r="F9182" s="531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2" t="str">
        <f t="shared" si="463"/>
        <v/>
      </c>
      <c r="E9183" s="531"/>
      <c r="F9183" s="531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2" t="str">
        <f t="shared" si="463"/>
        <v/>
      </c>
      <c r="E9184" s="531"/>
      <c r="F9184" s="531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2" t="str">
        <f t="shared" si="463"/>
        <v/>
      </c>
      <c r="E9185" s="531"/>
      <c r="F9185" s="531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2" t="str">
        <f t="shared" si="463"/>
        <v/>
      </c>
      <c r="E9186" s="531"/>
      <c r="F9186" s="531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2" t="str">
        <f t="shared" si="463"/>
        <v/>
      </c>
      <c r="E9187" s="531"/>
      <c r="F9187" s="531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2" t="str">
        <f t="shared" si="463"/>
        <v/>
      </c>
      <c r="E9188" s="531"/>
      <c r="F9188" s="531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2" t="str">
        <f t="shared" si="463"/>
        <v/>
      </c>
      <c r="E9189" s="531"/>
      <c r="F9189" s="531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2" t="str">
        <f t="shared" si="463"/>
        <v/>
      </c>
      <c r="E9190" s="531"/>
      <c r="F9190" s="531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2" t="str">
        <f t="shared" si="463"/>
        <v/>
      </c>
      <c r="E9191" s="531"/>
      <c r="F9191" s="531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2" t="str">
        <f t="shared" si="463"/>
        <v/>
      </c>
      <c r="E9192" s="531"/>
      <c r="F9192" s="531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2" t="str">
        <f t="shared" si="463"/>
        <v/>
      </c>
      <c r="E9193" s="531"/>
      <c r="F9193" s="531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2" t="str">
        <f t="shared" si="463"/>
        <v/>
      </c>
      <c r="E9194" s="531"/>
      <c r="F9194" s="531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2" t="str">
        <f t="shared" si="463"/>
        <v/>
      </c>
      <c r="E9195" s="531"/>
      <c r="F9195" s="531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2" t="str">
        <f t="shared" si="463"/>
        <v/>
      </c>
      <c r="E9196" s="531"/>
      <c r="F9196" s="531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2" t="str">
        <f t="shared" si="463"/>
        <v/>
      </c>
      <c r="E9197" s="531"/>
      <c r="F9197" s="531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2" t="str">
        <f t="shared" si="463"/>
        <v/>
      </c>
      <c r="E9198" s="531"/>
      <c r="F9198" s="531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2" t="str">
        <f t="shared" si="463"/>
        <v/>
      </c>
      <c r="E9199" s="531"/>
      <c r="F9199" s="531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2" t="str">
        <f t="shared" si="463"/>
        <v/>
      </c>
      <c r="E9200" s="531"/>
      <c r="F9200" s="531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2" t="str">
        <f t="shared" si="463"/>
        <v/>
      </c>
      <c r="E9201" s="531"/>
      <c r="F9201" s="531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2" t="str">
        <f t="shared" si="463"/>
        <v/>
      </c>
      <c r="E9202" s="531"/>
      <c r="F9202" s="531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2" t="str">
        <f t="shared" si="463"/>
        <v/>
      </c>
      <c r="E9203" s="531"/>
      <c r="F9203" s="531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2" t="str">
        <f t="shared" si="463"/>
        <v/>
      </c>
      <c r="E9204" s="531"/>
      <c r="F9204" s="531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2" t="str">
        <f t="shared" si="463"/>
        <v/>
      </c>
      <c r="E9205" s="531"/>
      <c r="F9205" s="531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2" t="str">
        <f t="shared" si="463"/>
        <v/>
      </c>
      <c r="E9206" s="531"/>
      <c r="F9206" s="531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2" t="str">
        <f t="shared" si="463"/>
        <v/>
      </c>
      <c r="E9207" s="531"/>
      <c r="F9207" s="531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2" t="str">
        <f t="shared" si="463"/>
        <v/>
      </c>
      <c r="E9208" s="531"/>
      <c r="F9208" s="531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2" t="str">
        <f t="shared" si="463"/>
        <v/>
      </c>
      <c r="E9209" s="531"/>
      <c r="F9209" s="531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2" t="str">
        <f t="shared" si="463"/>
        <v/>
      </c>
      <c r="E9210" s="531"/>
      <c r="F9210" s="531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2" t="str">
        <f t="shared" si="463"/>
        <v/>
      </c>
      <c r="E9211" s="531"/>
      <c r="F9211" s="531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2" t="str">
        <f t="shared" si="463"/>
        <v/>
      </c>
      <c r="E9212" s="531"/>
      <c r="F9212" s="531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2" t="str">
        <f t="shared" si="463"/>
        <v/>
      </c>
      <c r="E9213" s="531"/>
      <c r="F9213" s="531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2" t="str">
        <f t="shared" si="463"/>
        <v/>
      </c>
      <c r="E9214" s="531"/>
      <c r="F9214" s="531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2" t="str">
        <f t="shared" si="463"/>
        <v/>
      </c>
      <c r="E9215" s="531"/>
      <c r="F9215" s="531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2" t="str">
        <f t="shared" si="463"/>
        <v/>
      </c>
      <c r="E9216" s="531"/>
      <c r="F9216" s="531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2" t="str">
        <f t="shared" si="463"/>
        <v/>
      </c>
      <c r="E9217" s="531"/>
      <c r="F9217" s="531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2" t="str">
        <f t="shared" si="463"/>
        <v/>
      </c>
      <c r="E9218" s="531"/>
      <c r="F9218" s="531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2" t="str">
        <f t="shared" si="463"/>
        <v/>
      </c>
      <c r="E9219" s="531"/>
      <c r="F9219" s="531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2" t="str">
        <f t="shared" si="463"/>
        <v/>
      </c>
      <c r="E9220" s="531"/>
      <c r="F9220" s="531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2" t="str">
        <f t="shared" si="463"/>
        <v/>
      </c>
      <c r="E9221" s="531"/>
      <c r="F9221" s="531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2" t="str">
        <f t="shared" si="463"/>
        <v/>
      </c>
      <c r="E9222" s="531"/>
      <c r="F9222" s="531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2" t="str">
        <f t="shared" si="463"/>
        <v/>
      </c>
      <c r="E9223" s="531"/>
      <c r="F9223" s="531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2" t="str">
        <f t="shared" si="463"/>
        <v/>
      </c>
      <c r="E9224" s="531"/>
      <c r="F9224" s="531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2" t="str">
        <f t="shared" ref="D9225:D9288" si="466">IF(A9225&lt;&gt;"",PROPER(TEXT(A9225,"Mmmm")),"")</f>
        <v/>
      </c>
      <c r="E9225" s="531"/>
      <c r="F9225" s="531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2" t="str">
        <f t="shared" si="466"/>
        <v/>
      </c>
      <c r="E9226" s="531"/>
      <c r="F9226" s="531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2" t="str">
        <f t="shared" si="466"/>
        <v/>
      </c>
      <c r="E9227" s="531"/>
      <c r="F9227" s="531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2" t="str">
        <f t="shared" si="466"/>
        <v/>
      </c>
      <c r="E9228" s="531"/>
      <c r="F9228" s="531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2" t="str">
        <f t="shared" si="466"/>
        <v/>
      </c>
      <c r="E9229" s="531"/>
      <c r="F9229" s="531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2" t="str">
        <f t="shared" si="466"/>
        <v/>
      </c>
      <c r="E9230" s="531"/>
      <c r="F9230" s="531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2" t="str">
        <f t="shared" si="466"/>
        <v/>
      </c>
      <c r="E9231" s="531"/>
      <c r="F9231" s="531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2" t="str">
        <f t="shared" si="466"/>
        <v/>
      </c>
      <c r="E9232" s="531"/>
      <c r="F9232" s="531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2" t="str">
        <f t="shared" si="466"/>
        <v/>
      </c>
      <c r="E9233" s="531"/>
      <c r="F9233" s="531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2" t="str">
        <f t="shared" si="466"/>
        <v/>
      </c>
      <c r="E9234" s="531"/>
      <c r="F9234" s="531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2" t="str">
        <f t="shared" si="466"/>
        <v/>
      </c>
      <c r="E9235" s="531"/>
      <c r="F9235" s="531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2" t="str">
        <f t="shared" si="466"/>
        <v/>
      </c>
      <c r="E9236" s="531"/>
      <c r="F9236" s="531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2" t="str">
        <f t="shared" si="466"/>
        <v/>
      </c>
      <c r="E9237" s="531"/>
      <c r="F9237" s="531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2" t="str">
        <f t="shared" si="466"/>
        <v/>
      </c>
      <c r="E9238" s="531"/>
      <c r="F9238" s="531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2" t="str">
        <f t="shared" si="466"/>
        <v/>
      </c>
      <c r="E9239" s="531"/>
      <c r="F9239" s="531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2" t="str">
        <f t="shared" si="466"/>
        <v/>
      </c>
      <c r="E9240" s="531"/>
      <c r="F9240" s="531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2" t="str">
        <f t="shared" si="466"/>
        <v/>
      </c>
      <c r="E9241" s="531"/>
      <c r="F9241" s="531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2" t="str">
        <f t="shared" si="466"/>
        <v/>
      </c>
      <c r="E9242" s="531"/>
      <c r="F9242" s="531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2" t="str">
        <f t="shared" si="466"/>
        <v/>
      </c>
      <c r="E9243" s="531"/>
      <c r="F9243" s="531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2" t="str">
        <f t="shared" si="466"/>
        <v/>
      </c>
      <c r="E9244" s="531"/>
      <c r="F9244" s="531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2" t="str">
        <f t="shared" si="466"/>
        <v/>
      </c>
      <c r="E9245" s="531"/>
      <c r="F9245" s="531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2" t="str">
        <f t="shared" si="466"/>
        <v/>
      </c>
      <c r="E9246" s="531"/>
      <c r="F9246" s="531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2" t="str">
        <f t="shared" si="466"/>
        <v/>
      </c>
      <c r="E9247" s="531"/>
      <c r="F9247" s="531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2" t="str">
        <f t="shared" si="466"/>
        <v/>
      </c>
      <c r="E9248" s="531"/>
      <c r="F9248" s="531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2" t="str">
        <f t="shared" si="466"/>
        <v/>
      </c>
      <c r="E9249" s="531"/>
      <c r="F9249" s="531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2" t="str">
        <f t="shared" si="466"/>
        <v/>
      </c>
      <c r="E9250" s="531"/>
      <c r="F9250" s="531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2" t="str">
        <f t="shared" si="466"/>
        <v/>
      </c>
      <c r="E9251" s="531"/>
      <c r="F9251" s="531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2" t="str">
        <f t="shared" si="466"/>
        <v/>
      </c>
      <c r="E9252" s="531"/>
      <c r="F9252" s="531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2" t="str">
        <f t="shared" si="466"/>
        <v/>
      </c>
      <c r="E9253" s="531"/>
      <c r="F9253" s="531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2" t="str">
        <f t="shared" si="466"/>
        <v/>
      </c>
      <c r="E9254" s="531"/>
      <c r="F9254" s="531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2" t="str">
        <f t="shared" si="466"/>
        <v/>
      </c>
      <c r="E9255" s="531"/>
      <c r="F9255" s="531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2" t="str">
        <f t="shared" si="466"/>
        <v/>
      </c>
      <c r="E9256" s="531"/>
      <c r="F9256" s="531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2" t="str">
        <f t="shared" si="466"/>
        <v/>
      </c>
      <c r="E9257" s="531"/>
      <c r="F9257" s="531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2" t="str">
        <f t="shared" si="466"/>
        <v/>
      </c>
      <c r="E9258" s="531"/>
      <c r="F9258" s="531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2" t="str">
        <f t="shared" si="466"/>
        <v/>
      </c>
      <c r="E9259" s="531"/>
      <c r="F9259" s="531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2" t="str">
        <f t="shared" si="466"/>
        <v/>
      </c>
      <c r="E9260" s="531"/>
      <c r="F9260" s="531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2" t="str">
        <f t="shared" si="466"/>
        <v/>
      </c>
      <c r="E9261" s="531"/>
      <c r="F9261" s="531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2" t="str">
        <f t="shared" si="466"/>
        <v/>
      </c>
      <c r="E9262" s="531"/>
      <c r="F9262" s="531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2" t="str">
        <f t="shared" si="466"/>
        <v/>
      </c>
      <c r="E9263" s="531"/>
      <c r="F9263" s="531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2" t="str">
        <f t="shared" si="466"/>
        <v/>
      </c>
      <c r="E9264" s="531"/>
      <c r="F9264" s="531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2" t="str">
        <f t="shared" si="466"/>
        <v/>
      </c>
      <c r="E9265" s="531"/>
      <c r="F9265" s="531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2" t="str">
        <f t="shared" si="466"/>
        <v/>
      </c>
      <c r="E9266" s="531"/>
      <c r="F9266" s="531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2" t="str">
        <f t="shared" si="466"/>
        <v/>
      </c>
      <c r="E9267" s="531"/>
      <c r="F9267" s="531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2" t="str">
        <f t="shared" si="466"/>
        <v/>
      </c>
      <c r="E9268" s="531"/>
      <c r="F9268" s="531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2" t="str">
        <f t="shared" si="466"/>
        <v/>
      </c>
      <c r="E9269" s="531"/>
      <c r="F9269" s="531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2" t="str">
        <f t="shared" si="466"/>
        <v/>
      </c>
      <c r="E9270" s="531"/>
      <c r="F9270" s="531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2" t="str">
        <f t="shared" si="466"/>
        <v/>
      </c>
      <c r="E9271" s="531"/>
      <c r="F9271" s="531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2" t="str">
        <f t="shared" si="466"/>
        <v/>
      </c>
      <c r="E9272" s="531"/>
      <c r="F9272" s="531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2" t="str">
        <f t="shared" si="466"/>
        <v/>
      </c>
      <c r="E9273" s="531"/>
      <c r="F9273" s="531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2" t="str">
        <f t="shared" si="466"/>
        <v/>
      </c>
      <c r="E9274" s="531"/>
      <c r="F9274" s="531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2" t="str">
        <f t="shared" si="466"/>
        <v/>
      </c>
      <c r="E9275" s="531"/>
      <c r="F9275" s="531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2" t="str">
        <f t="shared" si="466"/>
        <v/>
      </c>
      <c r="E9276" s="531"/>
      <c r="F9276" s="531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2" t="str">
        <f t="shared" si="466"/>
        <v/>
      </c>
      <c r="E9277" s="531"/>
      <c r="F9277" s="531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2" t="str">
        <f t="shared" si="466"/>
        <v/>
      </c>
      <c r="E9278" s="531"/>
      <c r="F9278" s="531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2" t="str">
        <f t="shared" si="466"/>
        <v/>
      </c>
      <c r="E9279" s="531"/>
      <c r="F9279" s="531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2" t="str">
        <f t="shared" si="466"/>
        <v/>
      </c>
      <c r="E9280" s="531"/>
      <c r="F9280" s="531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2" t="str">
        <f t="shared" si="466"/>
        <v/>
      </c>
      <c r="E9281" s="531"/>
      <c r="F9281" s="531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2" t="str">
        <f t="shared" si="466"/>
        <v/>
      </c>
      <c r="E9282" s="531"/>
      <c r="F9282" s="531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2" t="str">
        <f t="shared" si="466"/>
        <v/>
      </c>
      <c r="E9283" s="531"/>
      <c r="F9283" s="531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2" t="str">
        <f t="shared" si="466"/>
        <v/>
      </c>
      <c r="E9284" s="531"/>
      <c r="F9284" s="531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2" t="str">
        <f t="shared" si="466"/>
        <v/>
      </c>
      <c r="E9285" s="531"/>
      <c r="F9285" s="531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2" t="str">
        <f t="shared" si="466"/>
        <v/>
      </c>
      <c r="E9286" s="531"/>
      <c r="F9286" s="531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2" t="str">
        <f t="shared" si="466"/>
        <v/>
      </c>
      <c r="E9287" s="531"/>
      <c r="F9287" s="531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2" t="str">
        <f t="shared" si="466"/>
        <v/>
      </c>
      <c r="E9288" s="531"/>
      <c r="F9288" s="531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2" t="str">
        <f t="shared" ref="D9289:D9352" si="469">IF(A9289&lt;&gt;"",PROPER(TEXT(A9289,"Mmmm")),"")</f>
        <v/>
      </c>
      <c r="E9289" s="531"/>
      <c r="F9289" s="531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2" t="str">
        <f t="shared" si="469"/>
        <v/>
      </c>
      <c r="E9290" s="531"/>
      <c r="F9290" s="531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2" t="str">
        <f t="shared" si="469"/>
        <v/>
      </c>
      <c r="E9291" s="531"/>
      <c r="F9291" s="531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2" t="str">
        <f t="shared" si="469"/>
        <v/>
      </c>
      <c r="E9292" s="531"/>
      <c r="F9292" s="531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2" t="str">
        <f t="shared" si="469"/>
        <v/>
      </c>
      <c r="E9293" s="531"/>
      <c r="F9293" s="531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2" t="str">
        <f t="shared" si="469"/>
        <v/>
      </c>
      <c r="E9294" s="531"/>
      <c r="F9294" s="531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2" t="str">
        <f t="shared" si="469"/>
        <v/>
      </c>
      <c r="E9295" s="531"/>
      <c r="F9295" s="531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2" t="str">
        <f t="shared" si="469"/>
        <v/>
      </c>
      <c r="E9296" s="531"/>
      <c r="F9296" s="531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2" t="str">
        <f t="shared" si="469"/>
        <v/>
      </c>
      <c r="E9297" s="531"/>
      <c r="F9297" s="531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2" t="str">
        <f t="shared" si="469"/>
        <v/>
      </c>
      <c r="E9298" s="531"/>
      <c r="F9298" s="531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2" t="str">
        <f t="shared" si="469"/>
        <v/>
      </c>
      <c r="E9299" s="531"/>
      <c r="F9299" s="531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2" t="str">
        <f t="shared" si="469"/>
        <v/>
      </c>
      <c r="E9300" s="531"/>
      <c r="F9300" s="531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2" t="str">
        <f t="shared" si="469"/>
        <v/>
      </c>
      <c r="E9301" s="531"/>
      <c r="F9301" s="531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2" t="str">
        <f t="shared" si="469"/>
        <v/>
      </c>
      <c r="E9302" s="531"/>
      <c r="F9302" s="531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2" t="str">
        <f t="shared" si="469"/>
        <v/>
      </c>
      <c r="E9303" s="531"/>
      <c r="F9303" s="531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2" t="str">
        <f t="shared" si="469"/>
        <v/>
      </c>
      <c r="E9304" s="531"/>
      <c r="F9304" s="531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2" t="str">
        <f t="shared" si="469"/>
        <v/>
      </c>
      <c r="E9305" s="531"/>
      <c r="F9305" s="531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2" t="str">
        <f t="shared" si="469"/>
        <v/>
      </c>
      <c r="E9306" s="531"/>
      <c r="F9306" s="531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2" t="str">
        <f t="shared" si="469"/>
        <v/>
      </c>
      <c r="E9307" s="531"/>
      <c r="F9307" s="531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2" t="str">
        <f t="shared" si="469"/>
        <v/>
      </c>
      <c r="E9308" s="531"/>
      <c r="F9308" s="531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2" t="str">
        <f t="shared" si="469"/>
        <v/>
      </c>
      <c r="E9309" s="531"/>
      <c r="F9309" s="531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2" t="str">
        <f t="shared" si="469"/>
        <v/>
      </c>
      <c r="E9310" s="531"/>
      <c r="F9310" s="531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2" t="str">
        <f t="shared" si="469"/>
        <v/>
      </c>
      <c r="E9311" s="531"/>
      <c r="F9311" s="531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2" t="str">
        <f t="shared" si="469"/>
        <v/>
      </c>
      <c r="E9312" s="531"/>
      <c r="F9312" s="531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2" t="str">
        <f t="shared" si="469"/>
        <v/>
      </c>
      <c r="E9313" s="531"/>
      <c r="F9313" s="531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2" t="str">
        <f t="shared" si="469"/>
        <v/>
      </c>
      <c r="E9314" s="531"/>
      <c r="F9314" s="531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2" t="str">
        <f t="shared" si="469"/>
        <v/>
      </c>
      <c r="E9315" s="531"/>
      <c r="F9315" s="531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2" t="str">
        <f t="shared" si="469"/>
        <v/>
      </c>
      <c r="E9316" s="531"/>
      <c r="F9316" s="531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2" t="str">
        <f t="shared" si="469"/>
        <v/>
      </c>
      <c r="E9317" s="531"/>
      <c r="F9317" s="531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2" t="str">
        <f t="shared" si="469"/>
        <v/>
      </c>
      <c r="E9318" s="531"/>
      <c r="F9318" s="531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2" t="str">
        <f t="shared" si="469"/>
        <v/>
      </c>
      <c r="E9319" s="531"/>
      <c r="F9319" s="531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2" t="str">
        <f t="shared" si="469"/>
        <v/>
      </c>
      <c r="E9320" s="531"/>
      <c r="F9320" s="531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2" t="str">
        <f t="shared" si="469"/>
        <v/>
      </c>
      <c r="E9321" s="531"/>
      <c r="F9321" s="531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2" t="str">
        <f t="shared" si="469"/>
        <v/>
      </c>
      <c r="E9322" s="531"/>
      <c r="F9322" s="531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2" t="str">
        <f t="shared" si="469"/>
        <v/>
      </c>
      <c r="E9323" s="531"/>
      <c r="F9323" s="531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2" t="str">
        <f t="shared" si="469"/>
        <v/>
      </c>
      <c r="E9324" s="531"/>
      <c r="F9324" s="531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2" t="str">
        <f t="shared" si="469"/>
        <v/>
      </c>
      <c r="E9325" s="531"/>
      <c r="F9325" s="531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2" t="str">
        <f t="shared" si="469"/>
        <v/>
      </c>
      <c r="E9326" s="531"/>
      <c r="F9326" s="531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2" t="str">
        <f t="shared" si="469"/>
        <v/>
      </c>
      <c r="E9327" s="531"/>
      <c r="F9327" s="531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2" t="str">
        <f t="shared" si="469"/>
        <v/>
      </c>
      <c r="E9328" s="531"/>
      <c r="F9328" s="531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2" t="str">
        <f t="shared" si="469"/>
        <v/>
      </c>
      <c r="E9329" s="531"/>
      <c r="F9329" s="531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2" t="str">
        <f t="shared" si="469"/>
        <v/>
      </c>
      <c r="E9330" s="531"/>
      <c r="F9330" s="531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2" t="str">
        <f t="shared" si="469"/>
        <v/>
      </c>
      <c r="E9331" s="531"/>
      <c r="F9331" s="531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2" t="str">
        <f t="shared" si="469"/>
        <v/>
      </c>
      <c r="E9332" s="531"/>
      <c r="F9332" s="531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2" t="str">
        <f t="shared" si="469"/>
        <v/>
      </c>
      <c r="E9333" s="531"/>
      <c r="F9333" s="531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2" t="str">
        <f t="shared" si="469"/>
        <v/>
      </c>
      <c r="E9334" s="531"/>
      <c r="F9334" s="531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2" t="str">
        <f t="shared" si="469"/>
        <v/>
      </c>
      <c r="E9335" s="531"/>
      <c r="F9335" s="531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2" t="str">
        <f t="shared" si="469"/>
        <v/>
      </c>
      <c r="E9336" s="531"/>
      <c r="F9336" s="531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2" t="str">
        <f t="shared" si="469"/>
        <v/>
      </c>
      <c r="E9337" s="531"/>
      <c r="F9337" s="531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2" t="str">
        <f t="shared" si="469"/>
        <v/>
      </c>
      <c r="E9338" s="531"/>
      <c r="F9338" s="531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2" t="str">
        <f t="shared" si="469"/>
        <v/>
      </c>
      <c r="E9339" s="531"/>
      <c r="F9339" s="531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2" t="str">
        <f t="shared" si="469"/>
        <v/>
      </c>
      <c r="E9340" s="531"/>
      <c r="F9340" s="531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2" t="str">
        <f t="shared" si="469"/>
        <v/>
      </c>
      <c r="E9341" s="531"/>
      <c r="F9341" s="531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2" t="str">
        <f t="shared" si="469"/>
        <v/>
      </c>
      <c r="E9342" s="531"/>
      <c r="F9342" s="531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2" t="str">
        <f t="shared" si="469"/>
        <v/>
      </c>
      <c r="E9343" s="531"/>
      <c r="F9343" s="531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2" t="str">
        <f t="shared" si="469"/>
        <v/>
      </c>
      <c r="E9344" s="531"/>
      <c r="F9344" s="531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2" t="str">
        <f t="shared" si="469"/>
        <v/>
      </c>
      <c r="E9345" s="531"/>
      <c r="F9345" s="531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2" t="str">
        <f t="shared" si="469"/>
        <v/>
      </c>
      <c r="E9346" s="531"/>
      <c r="F9346" s="531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2" t="str">
        <f t="shared" si="469"/>
        <v/>
      </c>
      <c r="E9347" s="531"/>
      <c r="F9347" s="531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2" t="str">
        <f t="shared" si="469"/>
        <v/>
      </c>
      <c r="E9348" s="531"/>
      <c r="F9348" s="531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2" t="str">
        <f t="shared" si="469"/>
        <v/>
      </c>
      <c r="E9349" s="531"/>
      <c r="F9349" s="531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2" t="str">
        <f t="shared" si="469"/>
        <v/>
      </c>
      <c r="E9350" s="531"/>
      <c r="F9350" s="531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2" t="str">
        <f t="shared" si="469"/>
        <v/>
      </c>
      <c r="E9351" s="531"/>
      <c r="F9351" s="531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2" t="str">
        <f t="shared" si="469"/>
        <v/>
      </c>
      <c r="E9352" s="531"/>
      <c r="F9352" s="531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2" t="str">
        <f t="shared" ref="D9353:D9416" si="472">IF(A9353&lt;&gt;"",PROPER(TEXT(A9353,"Mmmm")),"")</f>
        <v/>
      </c>
      <c r="E9353" s="531"/>
      <c r="F9353" s="531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2" t="str">
        <f t="shared" si="472"/>
        <v/>
      </c>
      <c r="E9354" s="531"/>
      <c r="F9354" s="531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2" t="str">
        <f t="shared" si="472"/>
        <v/>
      </c>
      <c r="E9355" s="531"/>
      <c r="F9355" s="531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2" t="str">
        <f t="shared" si="472"/>
        <v/>
      </c>
      <c r="E9356" s="531"/>
      <c r="F9356" s="531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2" t="str">
        <f t="shared" si="472"/>
        <v/>
      </c>
      <c r="E9357" s="531"/>
      <c r="F9357" s="531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2" t="str">
        <f t="shared" si="472"/>
        <v/>
      </c>
      <c r="E9358" s="531"/>
      <c r="F9358" s="531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2" t="str">
        <f t="shared" si="472"/>
        <v/>
      </c>
      <c r="E9359" s="531"/>
      <c r="F9359" s="531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2" t="str">
        <f t="shared" si="472"/>
        <v/>
      </c>
      <c r="E9360" s="531"/>
      <c r="F9360" s="531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2" t="str">
        <f t="shared" si="472"/>
        <v/>
      </c>
      <c r="E9361" s="531"/>
      <c r="F9361" s="531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2" t="str">
        <f t="shared" si="472"/>
        <v/>
      </c>
      <c r="E9362" s="531"/>
      <c r="F9362" s="531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2" t="str">
        <f t="shared" si="472"/>
        <v/>
      </c>
      <c r="E9363" s="531"/>
      <c r="F9363" s="531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2" t="str">
        <f t="shared" si="472"/>
        <v/>
      </c>
      <c r="E9364" s="531"/>
      <c r="F9364" s="531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2" t="str">
        <f t="shared" si="472"/>
        <v/>
      </c>
      <c r="E9365" s="531"/>
      <c r="F9365" s="531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2" t="str">
        <f t="shared" si="472"/>
        <v/>
      </c>
      <c r="E9366" s="531"/>
      <c r="F9366" s="531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2" t="str">
        <f t="shared" si="472"/>
        <v/>
      </c>
      <c r="E9367" s="531"/>
      <c r="F9367" s="531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2" t="str">
        <f t="shared" si="472"/>
        <v/>
      </c>
      <c r="E9368" s="531"/>
      <c r="F9368" s="531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2" t="str">
        <f t="shared" si="472"/>
        <v/>
      </c>
      <c r="E9369" s="531"/>
      <c r="F9369" s="531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2" t="str">
        <f t="shared" si="472"/>
        <v/>
      </c>
      <c r="E9370" s="531"/>
      <c r="F9370" s="531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2" t="str">
        <f t="shared" si="472"/>
        <v/>
      </c>
      <c r="E9371" s="531"/>
      <c r="F9371" s="531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2" t="str">
        <f t="shared" si="472"/>
        <v/>
      </c>
      <c r="E9372" s="531"/>
      <c r="F9372" s="531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2" t="str">
        <f t="shared" si="472"/>
        <v/>
      </c>
      <c r="E9373" s="531"/>
      <c r="F9373" s="531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2" t="str">
        <f t="shared" si="472"/>
        <v/>
      </c>
      <c r="E9374" s="531"/>
      <c r="F9374" s="531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2" t="str">
        <f t="shared" si="472"/>
        <v/>
      </c>
      <c r="E9375" s="531"/>
      <c r="F9375" s="531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2" t="str">
        <f t="shared" si="472"/>
        <v/>
      </c>
      <c r="E9376" s="531"/>
      <c r="F9376" s="531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2" t="str">
        <f t="shared" si="472"/>
        <v/>
      </c>
      <c r="E9377" s="531"/>
      <c r="F9377" s="531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2" t="str">
        <f t="shared" si="472"/>
        <v/>
      </c>
      <c r="E9378" s="531"/>
      <c r="F9378" s="531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2" t="str">
        <f t="shared" si="472"/>
        <v/>
      </c>
      <c r="E9379" s="531"/>
      <c r="F9379" s="531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2" t="str">
        <f t="shared" si="472"/>
        <v/>
      </c>
      <c r="E9380" s="531"/>
      <c r="F9380" s="531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2" t="str">
        <f t="shared" si="472"/>
        <v/>
      </c>
      <c r="E9381" s="531"/>
      <c r="F9381" s="531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2" t="str">
        <f t="shared" si="472"/>
        <v/>
      </c>
      <c r="E9382" s="531"/>
      <c r="F9382" s="531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2" t="str">
        <f t="shared" si="472"/>
        <v/>
      </c>
      <c r="E9383" s="531"/>
      <c r="F9383" s="531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2" t="str">
        <f t="shared" si="472"/>
        <v/>
      </c>
      <c r="E9384" s="531"/>
      <c r="F9384" s="531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2" t="str">
        <f t="shared" si="472"/>
        <v/>
      </c>
      <c r="E9385" s="531"/>
      <c r="F9385" s="531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2" t="str">
        <f t="shared" si="472"/>
        <v/>
      </c>
      <c r="E9386" s="531"/>
      <c r="F9386" s="531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2" t="str">
        <f t="shared" si="472"/>
        <v/>
      </c>
      <c r="E9387" s="531"/>
      <c r="F9387" s="531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2" t="str">
        <f t="shared" si="472"/>
        <v/>
      </c>
      <c r="E9388" s="531"/>
      <c r="F9388" s="531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2" t="str">
        <f t="shared" si="472"/>
        <v/>
      </c>
      <c r="E9389" s="531"/>
      <c r="F9389" s="531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2" t="str">
        <f t="shared" si="472"/>
        <v/>
      </c>
      <c r="E9390" s="531"/>
      <c r="F9390" s="531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2" t="str">
        <f t="shared" si="472"/>
        <v/>
      </c>
      <c r="E9391" s="531"/>
      <c r="F9391" s="531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2" t="str">
        <f t="shared" si="472"/>
        <v/>
      </c>
      <c r="E9392" s="531"/>
      <c r="F9392" s="531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2" t="str">
        <f t="shared" si="472"/>
        <v/>
      </c>
      <c r="E9393" s="531"/>
      <c r="F9393" s="531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2" t="str">
        <f t="shared" si="472"/>
        <v/>
      </c>
      <c r="E9394" s="531"/>
      <c r="F9394" s="531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2" t="str">
        <f t="shared" si="472"/>
        <v/>
      </c>
      <c r="E9395" s="531"/>
      <c r="F9395" s="531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2" t="str">
        <f t="shared" si="472"/>
        <v/>
      </c>
      <c r="E9396" s="531"/>
      <c r="F9396" s="531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2" t="str">
        <f t="shared" si="472"/>
        <v/>
      </c>
      <c r="E9397" s="531"/>
      <c r="F9397" s="531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2" t="str">
        <f t="shared" si="472"/>
        <v/>
      </c>
      <c r="E9398" s="531"/>
      <c r="F9398" s="531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2" t="str">
        <f t="shared" si="472"/>
        <v/>
      </c>
      <c r="E9399" s="531"/>
      <c r="F9399" s="531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2" t="str">
        <f t="shared" si="472"/>
        <v/>
      </c>
      <c r="E9400" s="531"/>
      <c r="F9400" s="531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2" t="str">
        <f t="shared" si="472"/>
        <v/>
      </c>
      <c r="E9401" s="531"/>
      <c r="F9401" s="531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2" t="str">
        <f t="shared" si="472"/>
        <v/>
      </c>
      <c r="E9402" s="531"/>
      <c r="F9402" s="531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2" t="str">
        <f t="shared" si="472"/>
        <v/>
      </c>
      <c r="E9403" s="531"/>
      <c r="F9403" s="531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2" t="str">
        <f t="shared" si="472"/>
        <v/>
      </c>
      <c r="E9404" s="531"/>
      <c r="F9404" s="531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2" t="str">
        <f t="shared" si="472"/>
        <v/>
      </c>
      <c r="E9405" s="531"/>
      <c r="F9405" s="531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2" t="str">
        <f t="shared" si="472"/>
        <v/>
      </c>
      <c r="E9406" s="531"/>
      <c r="F9406" s="531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2" t="str">
        <f t="shared" si="472"/>
        <v/>
      </c>
      <c r="E9407" s="531"/>
      <c r="F9407" s="531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2" t="str">
        <f t="shared" si="472"/>
        <v/>
      </c>
      <c r="E9408" s="531"/>
      <c r="F9408" s="531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2" t="str">
        <f t="shared" si="472"/>
        <v/>
      </c>
      <c r="E9409" s="531"/>
      <c r="F9409" s="531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2" t="str">
        <f t="shared" si="472"/>
        <v/>
      </c>
      <c r="E9410" s="531"/>
      <c r="F9410" s="531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2" t="str">
        <f t="shared" si="472"/>
        <v/>
      </c>
      <c r="E9411" s="531"/>
      <c r="F9411" s="531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2" t="str">
        <f t="shared" si="472"/>
        <v/>
      </c>
      <c r="E9412" s="531"/>
      <c r="F9412" s="531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2" t="str">
        <f t="shared" si="472"/>
        <v/>
      </c>
      <c r="E9413" s="531"/>
      <c r="F9413" s="531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2" t="str">
        <f t="shared" si="472"/>
        <v/>
      </c>
      <c r="E9414" s="531"/>
      <c r="F9414" s="531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2" t="str">
        <f t="shared" si="472"/>
        <v/>
      </c>
      <c r="E9415" s="531"/>
      <c r="F9415" s="531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2" t="str">
        <f t="shared" si="472"/>
        <v/>
      </c>
      <c r="E9416" s="531"/>
      <c r="F9416" s="531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2" t="str">
        <f t="shared" ref="D9417:D9480" si="475">IF(A9417&lt;&gt;"",PROPER(TEXT(A9417,"Mmmm")),"")</f>
        <v/>
      </c>
      <c r="E9417" s="531"/>
      <c r="F9417" s="531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2" t="str">
        <f t="shared" si="475"/>
        <v/>
      </c>
      <c r="E9418" s="531"/>
      <c r="F9418" s="531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2" t="str">
        <f t="shared" si="475"/>
        <v/>
      </c>
      <c r="E9419" s="531"/>
      <c r="F9419" s="531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2" t="str">
        <f t="shared" si="475"/>
        <v/>
      </c>
      <c r="E9420" s="531"/>
      <c r="F9420" s="531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2" t="str">
        <f t="shared" si="475"/>
        <v/>
      </c>
      <c r="E9421" s="531"/>
      <c r="F9421" s="531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2" t="str">
        <f t="shared" si="475"/>
        <v/>
      </c>
      <c r="E9422" s="531"/>
      <c r="F9422" s="531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2" t="str">
        <f t="shared" si="475"/>
        <v/>
      </c>
      <c r="E9423" s="531"/>
      <c r="F9423" s="531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2" t="str">
        <f t="shared" si="475"/>
        <v/>
      </c>
      <c r="E9424" s="531"/>
      <c r="F9424" s="531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2" t="str">
        <f t="shared" si="475"/>
        <v/>
      </c>
      <c r="E9425" s="531"/>
      <c r="F9425" s="531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2" t="str">
        <f t="shared" si="475"/>
        <v/>
      </c>
      <c r="E9426" s="531"/>
      <c r="F9426" s="531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2" t="str">
        <f t="shared" si="475"/>
        <v/>
      </c>
      <c r="E9427" s="531"/>
      <c r="F9427" s="531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2" t="str">
        <f t="shared" si="475"/>
        <v/>
      </c>
      <c r="E9428" s="531"/>
      <c r="F9428" s="531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2" t="str">
        <f t="shared" si="475"/>
        <v/>
      </c>
      <c r="E9429" s="531"/>
      <c r="F9429" s="531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2" t="str">
        <f t="shared" si="475"/>
        <v/>
      </c>
      <c r="E9430" s="531"/>
      <c r="F9430" s="531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2" t="str">
        <f t="shared" si="475"/>
        <v/>
      </c>
      <c r="E9431" s="531"/>
      <c r="F9431" s="531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2" t="str">
        <f t="shared" si="475"/>
        <v/>
      </c>
      <c r="E9432" s="531"/>
      <c r="F9432" s="531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2" t="str">
        <f t="shared" si="475"/>
        <v/>
      </c>
      <c r="E9433" s="531"/>
      <c r="F9433" s="531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2" t="str">
        <f t="shared" si="475"/>
        <v/>
      </c>
      <c r="E9434" s="531"/>
      <c r="F9434" s="531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2" t="str">
        <f t="shared" si="475"/>
        <v/>
      </c>
      <c r="E9435" s="531"/>
      <c r="F9435" s="531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2" t="str">
        <f t="shared" si="475"/>
        <v/>
      </c>
      <c r="E9436" s="531"/>
      <c r="F9436" s="531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2" t="str">
        <f t="shared" si="475"/>
        <v/>
      </c>
      <c r="E9437" s="531"/>
      <c r="F9437" s="531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2" t="str">
        <f t="shared" si="475"/>
        <v/>
      </c>
      <c r="E9438" s="531"/>
      <c r="F9438" s="531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2" t="str">
        <f t="shared" si="475"/>
        <v/>
      </c>
      <c r="E9439" s="531"/>
      <c r="F9439" s="531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2" t="str">
        <f t="shared" si="475"/>
        <v/>
      </c>
      <c r="E9440" s="531"/>
      <c r="F9440" s="531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2" t="str">
        <f t="shared" si="475"/>
        <v/>
      </c>
      <c r="E9441" s="531"/>
      <c r="F9441" s="531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2" t="str">
        <f t="shared" si="475"/>
        <v/>
      </c>
      <c r="E9442" s="531"/>
      <c r="F9442" s="531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2" t="str">
        <f t="shared" si="475"/>
        <v/>
      </c>
      <c r="E9443" s="531"/>
      <c r="F9443" s="531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2" t="str">
        <f t="shared" si="475"/>
        <v/>
      </c>
      <c r="E9444" s="531"/>
      <c r="F9444" s="531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2" t="str">
        <f t="shared" si="475"/>
        <v/>
      </c>
      <c r="E9445" s="531"/>
      <c r="F9445" s="531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2" t="str">
        <f t="shared" si="475"/>
        <v/>
      </c>
      <c r="E9446" s="531"/>
      <c r="F9446" s="531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2" t="str">
        <f t="shared" si="475"/>
        <v/>
      </c>
      <c r="E9447" s="531"/>
      <c r="F9447" s="531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2" t="str">
        <f t="shared" si="475"/>
        <v/>
      </c>
      <c r="E9448" s="531"/>
      <c r="F9448" s="531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2" t="str">
        <f t="shared" si="475"/>
        <v/>
      </c>
      <c r="E9449" s="531"/>
      <c r="F9449" s="531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2" t="str">
        <f t="shared" si="475"/>
        <v/>
      </c>
      <c r="E9450" s="531"/>
      <c r="F9450" s="531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2" t="str">
        <f t="shared" si="475"/>
        <v/>
      </c>
      <c r="E9451" s="531"/>
      <c r="F9451" s="531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2" t="str">
        <f t="shared" si="475"/>
        <v/>
      </c>
      <c r="E9452" s="531"/>
      <c r="F9452" s="531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2" t="str">
        <f t="shared" si="475"/>
        <v/>
      </c>
      <c r="E9453" s="531"/>
      <c r="F9453" s="531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2" t="str">
        <f t="shared" si="475"/>
        <v/>
      </c>
      <c r="E9454" s="531"/>
      <c r="F9454" s="531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2" t="str">
        <f t="shared" si="475"/>
        <v/>
      </c>
      <c r="E9455" s="531"/>
      <c r="F9455" s="531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2" t="str">
        <f t="shared" si="475"/>
        <v/>
      </c>
      <c r="E9456" s="531"/>
      <c r="F9456" s="531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2" t="str">
        <f t="shared" si="475"/>
        <v/>
      </c>
      <c r="E9457" s="531"/>
      <c r="F9457" s="531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2" t="str">
        <f t="shared" si="475"/>
        <v/>
      </c>
      <c r="E9458" s="531"/>
      <c r="F9458" s="531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2" t="str">
        <f t="shared" si="475"/>
        <v/>
      </c>
      <c r="E9459" s="531"/>
      <c r="F9459" s="531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2" t="str">
        <f t="shared" si="475"/>
        <v/>
      </c>
      <c r="E9460" s="531"/>
      <c r="F9460" s="531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2" t="str">
        <f t="shared" si="475"/>
        <v/>
      </c>
      <c r="E9461" s="531"/>
      <c r="F9461" s="531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2" t="str">
        <f t="shared" si="475"/>
        <v/>
      </c>
      <c r="E9462" s="531"/>
      <c r="F9462" s="531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2" t="str">
        <f t="shared" si="475"/>
        <v/>
      </c>
      <c r="E9463" s="531"/>
      <c r="F9463" s="531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2" t="str">
        <f t="shared" si="475"/>
        <v/>
      </c>
      <c r="E9464" s="531"/>
      <c r="F9464" s="531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2" t="str">
        <f t="shared" si="475"/>
        <v/>
      </c>
      <c r="E9465" s="531"/>
      <c r="F9465" s="531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2" t="str">
        <f t="shared" si="475"/>
        <v/>
      </c>
      <c r="E9466" s="531"/>
      <c r="F9466" s="531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2" t="str">
        <f t="shared" si="475"/>
        <v/>
      </c>
      <c r="E9467" s="531"/>
      <c r="F9467" s="531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2" t="str">
        <f t="shared" si="475"/>
        <v/>
      </c>
      <c r="E9468" s="531"/>
      <c r="F9468" s="531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2" t="str">
        <f t="shared" si="475"/>
        <v/>
      </c>
      <c r="E9469" s="531"/>
      <c r="F9469" s="531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2" t="str">
        <f t="shared" si="475"/>
        <v/>
      </c>
      <c r="E9470" s="531"/>
      <c r="F9470" s="531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2" t="str">
        <f t="shared" si="475"/>
        <v/>
      </c>
      <c r="E9471" s="531"/>
      <c r="F9471" s="531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2" t="str">
        <f t="shared" si="475"/>
        <v/>
      </c>
      <c r="E9472" s="531"/>
      <c r="F9472" s="531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2" t="str">
        <f t="shared" si="475"/>
        <v/>
      </c>
      <c r="E9473" s="531"/>
      <c r="F9473" s="531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2" t="str">
        <f t="shared" si="475"/>
        <v/>
      </c>
      <c r="E9474" s="531"/>
      <c r="F9474" s="531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2" t="str">
        <f t="shared" si="475"/>
        <v/>
      </c>
      <c r="E9475" s="531"/>
      <c r="F9475" s="531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2" t="str">
        <f t="shared" si="475"/>
        <v/>
      </c>
      <c r="E9476" s="531"/>
      <c r="F9476" s="531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2" t="str">
        <f t="shared" si="475"/>
        <v/>
      </c>
      <c r="E9477" s="531"/>
      <c r="F9477" s="531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2" t="str">
        <f t="shared" si="475"/>
        <v/>
      </c>
      <c r="E9478" s="531"/>
      <c r="F9478" s="531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2" t="str">
        <f t="shared" si="475"/>
        <v/>
      </c>
      <c r="E9479" s="531"/>
      <c r="F9479" s="531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2" t="str">
        <f t="shared" si="475"/>
        <v/>
      </c>
      <c r="E9480" s="531"/>
      <c r="F9480" s="531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2" t="str">
        <f t="shared" ref="D9481:D9544" si="478">IF(A9481&lt;&gt;"",PROPER(TEXT(A9481,"Mmmm")),"")</f>
        <v/>
      </c>
      <c r="E9481" s="531"/>
      <c r="F9481" s="531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2" t="str">
        <f t="shared" si="478"/>
        <v/>
      </c>
      <c r="E9482" s="531"/>
      <c r="F9482" s="531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2" t="str">
        <f t="shared" si="478"/>
        <v/>
      </c>
      <c r="E9483" s="531"/>
      <c r="F9483" s="531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2" t="str">
        <f t="shared" si="478"/>
        <v/>
      </c>
      <c r="E9484" s="531"/>
      <c r="F9484" s="531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2" t="str">
        <f t="shared" si="478"/>
        <v/>
      </c>
      <c r="E9485" s="531"/>
      <c r="F9485" s="531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2" t="str">
        <f t="shared" si="478"/>
        <v/>
      </c>
      <c r="E9486" s="531"/>
      <c r="F9486" s="531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2" t="str">
        <f t="shared" si="478"/>
        <v/>
      </c>
      <c r="E9487" s="531"/>
      <c r="F9487" s="531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2" t="str">
        <f t="shared" si="478"/>
        <v/>
      </c>
      <c r="E9488" s="531"/>
      <c r="F9488" s="531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2" t="str">
        <f t="shared" si="478"/>
        <v/>
      </c>
      <c r="E9489" s="531"/>
      <c r="F9489" s="531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2" t="str">
        <f t="shared" si="478"/>
        <v/>
      </c>
      <c r="E9490" s="531"/>
      <c r="F9490" s="531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2" t="str">
        <f t="shared" si="478"/>
        <v/>
      </c>
      <c r="E9491" s="531"/>
      <c r="F9491" s="531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2" t="str">
        <f t="shared" si="478"/>
        <v/>
      </c>
      <c r="E9492" s="531"/>
      <c r="F9492" s="531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2" t="str">
        <f t="shared" si="478"/>
        <v/>
      </c>
      <c r="E9493" s="531"/>
      <c r="F9493" s="531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2" t="str">
        <f t="shared" si="478"/>
        <v/>
      </c>
      <c r="E9494" s="531"/>
      <c r="F9494" s="531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2" t="str">
        <f t="shared" si="478"/>
        <v/>
      </c>
      <c r="E9495" s="531"/>
      <c r="F9495" s="531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2" t="str">
        <f t="shared" si="478"/>
        <v/>
      </c>
      <c r="E9496" s="531"/>
      <c r="F9496" s="531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2" t="str">
        <f t="shared" si="478"/>
        <v/>
      </c>
      <c r="E9497" s="531"/>
      <c r="F9497" s="531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2" t="str">
        <f t="shared" si="478"/>
        <v/>
      </c>
      <c r="E9498" s="531"/>
      <c r="F9498" s="531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2" t="str">
        <f t="shared" si="478"/>
        <v/>
      </c>
      <c r="E9499" s="531"/>
      <c r="F9499" s="531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2" t="str">
        <f t="shared" si="478"/>
        <v/>
      </c>
      <c r="E9500" s="531"/>
      <c r="F9500" s="531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2" t="str">
        <f t="shared" si="478"/>
        <v/>
      </c>
      <c r="E9501" s="531"/>
      <c r="F9501" s="531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2" t="str">
        <f t="shared" si="478"/>
        <v/>
      </c>
      <c r="E9502" s="531"/>
      <c r="F9502" s="531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2" t="str">
        <f t="shared" si="478"/>
        <v/>
      </c>
      <c r="E9503" s="531"/>
      <c r="F9503" s="531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2" t="str">
        <f t="shared" si="478"/>
        <v/>
      </c>
      <c r="E9504" s="531"/>
      <c r="F9504" s="531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2" t="str">
        <f t="shared" si="478"/>
        <v/>
      </c>
      <c r="E9505" s="531"/>
      <c r="F9505" s="531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2" t="str">
        <f t="shared" si="478"/>
        <v/>
      </c>
      <c r="E9506" s="531"/>
      <c r="F9506" s="531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2" t="str">
        <f t="shared" si="478"/>
        <v/>
      </c>
      <c r="E9507" s="531"/>
      <c r="F9507" s="531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2" t="str">
        <f t="shared" si="478"/>
        <v/>
      </c>
      <c r="E9508" s="531"/>
      <c r="F9508" s="531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2" t="str">
        <f t="shared" si="478"/>
        <v/>
      </c>
      <c r="E9509" s="531"/>
      <c r="F9509" s="531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2" t="str">
        <f t="shared" si="478"/>
        <v/>
      </c>
      <c r="E9510" s="531"/>
      <c r="F9510" s="531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2" t="str">
        <f t="shared" si="478"/>
        <v/>
      </c>
      <c r="E9511" s="531"/>
      <c r="F9511" s="531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2" t="str">
        <f t="shared" si="478"/>
        <v/>
      </c>
      <c r="E9512" s="531"/>
      <c r="F9512" s="531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2" t="str">
        <f t="shared" si="478"/>
        <v/>
      </c>
      <c r="E9513" s="531"/>
      <c r="F9513" s="531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2" t="str">
        <f t="shared" si="478"/>
        <v/>
      </c>
      <c r="E9514" s="531"/>
      <c r="F9514" s="531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2" t="str">
        <f t="shared" si="478"/>
        <v/>
      </c>
      <c r="E9515" s="531"/>
      <c r="F9515" s="531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2" t="str">
        <f t="shared" si="478"/>
        <v/>
      </c>
      <c r="E9516" s="531"/>
      <c r="F9516" s="531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2" t="str">
        <f t="shared" si="478"/>
        <v/>
      </c>
      <c r="E9517" s="531"/>
      <c r="F9517" s="531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2" t="str">
        <f t="shared" si="478"/>
        <v/>
      </c>
      <c r="E9518" s="531"/>
      <c r="F9518" s="531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2" t="str">
        <f t="shared" si="478"/>
        <v/>
      </c>
      <c r="E9519" s="531"/>
      <c r="F9519" s="531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2" t="str">
        <f t="shared" si="478"/>
        <v/>
      </c>
      <c r="E9520" s="531"/>
      <c r="F9520" s="531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2" t="str">
        <f t="shared" si="478"/>
        <v/>
      </c>
      <c r="E9521" s="531"/>
      <c r="F9521" s="531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2" t="str">
        <f t="shared" si="478"/>
        <v/>
      </c>
      <c r="E9522" s="531"/>
      <c r="F9522" s="531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2" t="str">
        <f t="shared" si="478"/>
        <v/>
      </c>
      <c r="E9523" s="531"/>
      <c r="F9523" s="531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2" t="str">
        <f t="shared" si="478"/>
        <v/>
      </c>
      <c r="E9524" s="531"/>
      <c r="F9524" s="531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2" t="str">
        <f t="shared" si="478"/>
        <v/>
      </c>
      <c r="E9525" s="531"/>
      <c r="F9525" s="531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2" t="str">
        <f t="shared" si="478"/>
        <v/>
      </c>
      <c r="E9526" s="531"/>
      <c r="F9526" s="531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2" t="str">
        <f t="shared" si="478"/>
        <v/>
      </c>
      <c r="E9527" s="531"/>
      <c r="F9527" s="531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2" t="str">
        <f t="shared" si="478"/>
        <v/>
      </c>
      <c r="E9528" s="531"/>
      <c r="F9528" s="531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2" t="str">
        <f t="shared" si="478"/>
        <v/>
      </c>
      <c r="E9529" s="531"/>
      <c r="F9529" s="531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2" t="str">
        <f t="shared" si="478"/>
        <v/>
      </c>
      <c r="E9530" s="531"/>
      <c r="F9530" s="531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2" t="str">
        <f t="shared" si="478"/>
        <v/>
      </c>
      <c r="E9531" s="531"/>
      <c r="F9531" s="531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2" t="str">
        <f t="shared" si="478"/>
        <v/>
      </c>
      <c r="E9532" s="531"/>
      <c r="F9532" s="531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2" t="str">
        <f t="shared" si="478"/>
        <v/>
      </c>
      <c r="E9533" s="531"/>
      <c r="F9533" s="531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2" t="str">
        <f t="shared" si="478"/>
        <v/>
      </c>
      <c r="E9534" s="531"/>
      <c r="F9534" s="531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2" t="str">
        <f t="shared" si="478"/>
        <v/>
      </c>
      <c r="E9535" s="531"/>
      <c r="F9535" s="531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2" t="str">
        <f t="shared" si="478"/>
        <v/>
      </c>
      <c r="E9536" s="531"/>
      <c r="F9536" s="531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2" t="str">
        <f t="shared" si="478"/>
        <v/>
      </c>
      <c r="E9537" s="531"/>
      <c r="F9537" s="531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2" t="str">
        <f t="shared" si="478"/>
        <v/>
      </c>
      <c r="E9538" s="531"/>
      <c r="F9538" s="531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2" t="str">
        <f t="shared" si="478"/>
        <v/>
      </c>
      <c r="E9539" s="531"/>
      <c r="F9539" s="531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2" t="str">
        <f t="shared" si="478"/>
        <v/>
      </c>
      <c r="E9540" s="531"/>
      <c r="F9540" s="531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2" t="str">
        <f t="shared" si="478"/>
        <v/>
      </c>
      <c r="E9541" s="531"/>
      <c r="F9541" s="531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2" t="str">
        <f t="shared" si="478"/>
        <v/>
      </c>
      <c r="E9542" s="531"/>
      <c r="F9542" s="531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2" t="str">
        <f t="shared" si="478"/>
        <v/>
      </c>
      <c r="E9543" s="531"/>
      <c r="F9543" s="531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2" t="str">
        <f t="shared" si="478"/>
        <v/>
      </c>
      <c r="E9544" s="531"/>
      <c r="F9544" s="531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2" t="str">
        <f t="shared" ref="D9545:D9608" si="481">IF(A9545&lt;&gt;"",PROPER(TEXT(A9545,"Mmmm")),"")</f>
        <v/>
      </c>
      <c r="E9545" s="531"/>
      <c r="F9545" s="531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2" t="str">
        <f t="shared" si="481"/>
        <v/>
      </c>
      <c r="E9546" s="531"/>
      <c r="F9546" s="531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2" t="str">
        <f t="shared" si="481"/>
        <v/>
      </c>
      <c r="E9547" s="531"/>
      <c r="F9547" s="531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2" t="str">
        <f t="shared" si="481"/>
        <v/>
      </c>
      <c r="E9548" s="531"/>
      <c r="F9548" s="531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2" t="str">
        <f t="shared" si="481"/>
        <v/>
      </c>
      <c r="E9549" s="531"/>
      <c r="F9549" s="531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2" t="str">
        <f t="shared" si="481"/>
        <v/>
      </c>
      <c r="E9550" s="531"/>
      <c r="F9550" s="531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2" t="str">
        <f t="shared" si="481"/>
        <v/>
      </c>
      <c r="E9551" s="531"/>
      <c r="F9551" s="531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2" t="str">
        <f t="shared" si="481"/>
        <v/>
      </c>
      <c r="E9552" s="531"/>
      <c r="F9552" s="531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2" t="str">
        <f t="shared" si="481"/>
        <v/>
      </c>
      <c r="E9553" s="531"/>
      <c r="F9553" s="531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2" t="str">
        <f t="shared" si="481"/>
        <v/>
      </c>
      <c r="E9554" s="531"/>
      <c r="F9554" s="531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2" t="str">
        <f t="shared" si="481"/>
        <v/>
      </c>
      <c r="E9555" s="531"/>
      <c r="F9555" s="531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2" t="str">
        <f t="shared" si="481"/>
        <v/>
      </c>
      <c r="E9556" s="531"/>
      <c r="F9556" s="531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2" t="str">
        <f t="shared" si="481"/>
        <v/>
      </c>
      <c r="E9557" s="531"/>
      <c r="F9557" s="531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2" t="str">
        <f t="shared" si="481"/>
        <v/>
      </c>
      <c r="E9558" s="531"/>
      <c r="F9558" s="531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2" t="str">
        <f t="shared" si="481"/>
        <v/>
      </c>
      <c r="E9559" s="531"/>
      <c r="F9559" s="531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2" t="str">
        <f t="shared" si="481"/>
        <v/>
      </c>
      <c r="E9560" s="531"/>
      <c r="F9560" s="531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2" t="str">
        <f t="shared" si="481"/>
        <v/>
      </c>
      <c r="E9561" s="531"/>
      <c r="F9561" s="531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2" t="str">
        <f t="shared" si="481"/>
        <v/>
      </c>
      <c r="E9562" s="531"/>
      <c r="F9562" s="531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2" t="str">
        <f t="shared" si="481"/>
        <v/>
      </c>
      <c r="E9563" s="531"/>
      <c r="F9563" s="531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2" t="str">
        <f t="shared" si="481"/>
        <v/>
      </c>
      <c r="E9564" s="531"/>
      <c r="F9564" s="531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2" t="str">
        <f t="shared" si="481"/>
        <v/>
      </c>
      <c r="E9565" s="531"/>
      <c r="F9565" s="531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2" t="str">
        <f t="shared" si="481"/>
        <v/>
      </c>
      <c r="E9566" s="531"/>
      <c r="F9566" s="531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2" t="str">
        <f t="shared" si="481"/>
        <v/>
      </c>
      <c r="E9567" s="531"/>
      <c r="F9567" s="531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2" t="str">
        <f t="shared" si="481"/>
        <v/>
      </c>
      <c r="E9568" s="531"/>
      <c r="F9568" s="531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2" t="str">
        <f t="shared" si="481"/>
        <v/>
      </c>
      <c r="E9569" s="531"/>
      <c r="F9569" s="531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2" t="str">
        <f t="shared" si="481"/>
        <v/>
      </c>
      <c r="E9570" s="531"/>
      <c r="F9570" s="531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2" t="str">
        <f t="shared" si="481"/>
        <v/>
      </c>
      <c r="E9571" s="531"/>
      <c r="F9571" s="531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2" t="str">
        <f t="shared" si="481"/>
        <v/>
      </c>
      <c r="E9572" s="531"/>
      <c r="F9572" s="531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2" t="str">
        <f t="shared" si="481"/>
        <v/>
      </c>
      <c r="E9573" s="531"/>
      <c r="F9573" s="531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2" t="str">
        <f t="shared" si="481"/>
        <v/>
      </c>
      <c r="E9574" s="531"/>
      <c r="F9574" s="531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2" t="str">
        <f t="shared" si="481"/>
        <v/>
      </c>
      <c r="E9575" s="531"/>
      <c r="F9575" s="531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2" t="str">
        <f t="shared" si="481"/>
        <v/>
      </c>
      <c r="E9576" s="531"/>
      <c r="F9576" s="531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2" t="str">
        <f t="shared" si="481"/>
        <v/>
      </c>
      <c r="E9577" s="531"/>
      <c r="F9577" s="531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2" t="str">
        <f t="shared" si="481"/>
        <v/>
      </c>
      <c r="E9578" s="531"/>
      <c r="F9578" s="531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2" t="str">
        <f t="shared" si="481"/>
        <v/>
      </c>
      <c r="E9579" s="531"/>
      <c r="F9579" s="531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2" t="str">
        <f t="shared" si="481"/>
        <v/>
      </c>
      <c r="E9580" s="531"/>
      <c r="F9580" s="531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2" t="str">
        <f t="shared" si="481"/>
        <v/>
      </c>
      <c r="E9581" s="531"/>
      <c r="F9581" s="531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2" t="str">
        <f t="shared" si="481"/>
        <v/>
      </c>
      <c r="E9582" s="531"/>
      <c r="F9582" s="531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2" t="str">
        <f t="shared" si="481"/>
        <v/>
      </c>
      <c r="E9583" s="531"/>
      <c r="F9583" s="531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2" t="str">
        <f t="shared" si="481"/>
        <v/>
      </c>
      <c r="E9584" s="531"/>
      <c r="F9584" s="531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2" t="str">
        <f t="shared" si="481"/>
        <v/>
      </c>
      <c r="E9585" s="531"/>
      <c r="F9585" s="531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2" t="str">
        <f t="shared" si="481"/>
        <v/>
      </c>
      <c r="E9586" s="531"/>
      <c r="F9586" s="531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2" t="str">
        <f t="shared" si="481"/>
        <v/>
      </c>
      <c r="E9587" s="531"/>
      <c r="F9587" s="531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2" t="str">
        <f t="shared" si="481"/>
        <v/>
      </c>
      <c r="E9588" s="531"/>
      <c r="F9588" s="531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2" t="str">
        <f t="shared" si="481"/>
        <v/>
      </c>
      <c r="E9589" s="531"/>
      <c r="F9589" s="531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2" t="str">
        <f t="shared" si="481"/>
        <v/>
      </c>
      <c r="E9590" s="531"/>
      <c r="F9590" s="531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2" t="str">
        <f t="shared" si="481"/>
        <v/>
      </c>
      <c r="E9591" s="531"/>
      <c r="F9591" s="531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2" t="str">
        <f t="shared" si="481"/>
        <v/>
      </c>
      <c r="E9592" s="531"/>
      <c r="F9592" s="531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2" t="str">
        <f t="shared" si="481"/>
        <v/>
      </c>
      <c r="E9593" s="531"/>
      <c r="F9593" s="531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2" t="str">
        <f t="shared" si="481"/>
        <v/>
      </c>
      <c r="E9594" s="531"/>
      <c r="F9594" s="531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2" t="str">
        <f t="shared" si="481"/>
        <v/>
      </c>
      <c r="E9595" s="531"/>
      <c r="F9595" s="531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2" t="str">
        <f t="shared" si="481"/>
        <v/>
      </c>
      <c r="E9596" s="531"/>
      <c r="F9596" s="531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2" t="str">
        <f t="shared" si="481"/>
        <v/>
      </c>
      <c r="E9597" s="531"/>
      <c r="F9597" s="531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2" t="str">
        <f t="shared" si="481"/>
        <v/>
      </c>
      <c r="E9598" s="531"/>
      <c r="F9598" s="531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2" t="str">
        <f t="shared" si="481"/>
        <v/>
      </c>
      <c r="E9599" s="531"/>
      <c r="F9599" s="531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2" t="str">
        <f t="shared" si="481"/>
        <v/>
      </c>
      <c r="E9600" s="531"/>
      <c r="F9600" s="531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2" t="str">
        <f t="shared" si="481"/>
        <v/>
      </c>
      <c r="E9601" s="531"/>
      <c r="F9601" s="531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2" t="str">
        <f t="shared" si="481"/>
        <v/>
      </c>
      <c r="E9602" s="531"/>
      <c r="F9602" s="531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2" t="str">
        <f t="shared" si="481"/>
        <v/>
      </c>
      <c r="E9603" s="531"/>
      <c r="F9603" s="531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2" t="str">
        <f t="shared" si="481"/>
        <v/>
      </c>
      <c r="E9604" s="531"/>
      <c r="F9604" s="531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2" t="str">
        <f t="shared" si="481"/>
        <v/>
      </c>
      <c r="E9605" s="531"/>
      <c r="F9605" s="531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2" t="str">
        <f t="shared" si="481"/>
        <v/>
      </c>
      <c r="E9606" s="531"/>
      <c r="F9606" s="531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2" t="str">
        <f t="shared" si="481"/>
        <v/>
      </c>
      <c r="E9607" s="531"/>
      <c r="F9607" s="531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2" t="str">
        <f t="shared" si="481"/>
        <v/>
      </c>
      <c r="E9608" s="531"/>
      <c r="F9608" s="531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2" t="str">
        <f t="shared" ref="D9609:D9672" si="484">IF(A9609&lt;&gt;"",PROPER(TEXT(A9609,"Mmmm")),"")</f>
        <v/>
      </c>
      <c r="E9609" s="531"/>
      <c r="F9609" s="531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2" t="str">
        <f t="shared" si="484"/>
        <v/>
      </c>
      <c r="E9610" s="531"/>
      <c r="F9610" s="531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2" t="str">
        <f t="shared" si="484"/>
        <v/>
      </c>
      <c r="E9611" s="531"/>
      <c r="F9611" s="531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2" t="str">
        <f t="shared" si="484"/>
        <v/>
      </c>
      <c r="E9612" s="531"/>
      <c r="F9612" s="531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2" t="str">
        <f t="shared" si="484"/>
        <v/>
      </c>
      <c r="E9613" s="531"/>
      <c r="F9613" s="531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2" t="str">
        <f t="shared" si="484"/>
        <v/>
      </c>
      <c r="E9614" s="531"/>
      <c r="F9614" s="531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2" t="str">
        <f t="shared" si="484"/>
        <v/>
      </c>
      <c r="E9615" s="531"/>
      <c r="F9615" s="531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2" t="str">
        <f t="shared" si="484"/>
        <v/>
      </c>
      <c r="E9616" s="531"/>
      <c r="F9616" s="531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2" t="str">
        <f t="shared" si="484"/>
        <v/>
      </c>
      <c r="E9617" s="531"/>
      <c r="F9617" s="531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2" t="str">
        <f t="shared" si="484"/>
        <v/>
      </c>
      <c r="E9618" s="531"/>
      <c r="F9618" s="531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2" t="str">
        <f t="shared" si="484"/>
        <v/>
      </c>
      <c r="E9619" s="531"/>
      <c r="F9619" s="531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2" t="str">
        <f t="shared" si="484"/>
        <v/>
      </c>
      <c r="E9620" s="531"/>
      <c r="F9620" s="531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2" t="str">
        <f t="shared" si="484"/>
        <v/>
      </c>
      <c r="E9621" s="531"/>
      <c r="F9621" s="531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2" t="str">
        <f t="shared" si="484"/>
        <v/>
      </c>
      <c r="E9622" s="531"/>
      <c r="F9622" s="531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2" t="str">
        <f t="shared" si="484"/>
        <v/>
      </c>
      <c r="E9623" s="531"/>
      <c r="F9623" s="531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2" t="str">
        <f t="shared" si="484"/>
        <v/>
      </c>
      <c r="E9624" s="531"/>
      <c r="F9624" s="531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2" t="str">
        <f t="shared" si="484"/>
        <v/>
      </c>
      <c r="E9625" s="531"/>
      <c r="F9625" s="531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2" t="str">
        <f t="shared" si="484"/>
        <v/>
      </c>
      <c r="E9626" s="531"/>
      <c r="F9626" s="531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2" t="str">
        <f t="shared" si="484"/>
        <v/>
      </c>
      <c r="E9627" s="531"/>
      <c r="F9627" s="531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2" t="str">
        <f t="shared" si="484"/>
        <v/>
      </c>
      <c r="E9628" s="531"/>
      <c r="F9628" s="531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2" t="str">
        <f t="shared" si="484"/>
        <v/>
      </c>
      <c r="E9629" s="531"/>
      <c r="F9629" s="531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2" t="str">
        <f t="shared" si="484"/>
        <v/>
      </c>
      <c r="E9630" s="531"/>
      <c r="F9630" s="531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2" t="str">
        <f t="shared" si="484"/>
        <v/>
      </c>
      <c r="E9631" s="531"/>
      <c r="F9631" s="531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2" t="str">
        <f t="shared" si="484"/>
        <v/>
      </c>
      <c r="E9632" s="531"/>
      <c r="F9632" s="531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2" t="str">
        <f t="shared" si="484"/>
        <v/>
      </c>
      <c r="E9633" s="531"/>
      <c r="F9633" s="531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2" t="str">
        <f t="shared" si="484"/>
        <v/>
      </c>
      <c r="E9634" s="531"/>
      <c r="F9634" s="531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2" t="str">
        <f t="shared" si="484"/>
        <v/>
      </c>
      <c r="E9635" s="531"/>
      <c r="F9635" s="531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2" t="str">
        <f t="shared" si="484"/>
        <v/>
      </c>
      <c r="E9636" s="531"/>
      <c r="F9636" s="531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2" t="str">
        <f t="shared" si="484"/>
        <v/>
      </c>
      <c r="E9637" s="531"/>
      <c r="F9637" s="531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2" t="str">
        <f t="shared" si="484"/>
        <v/>
      </c>
      <c r="E9638" s="531"/>
      <c r="F9638" s="531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2" t="str">
        <f t="shared" si="484"/>
        <v/>
      </c>
      <c r="E9639" s="531"/>
      <c r="F9639" s="531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2" t="str">
        <f t="shared" si="484"/>
        <v/>
      </c>
      <c r="E9640" s="531"/>
      <c r="F9640" s="531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2" t="str">
        <f t="shared" si="484"/>
        <v/>
      </c>
      <c r="E9641" s="531"/>
      <c r="F9641" s="531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2" t="str">
        <f t="shared" si="484"/>
        <v/>
      </c>
      <c r="E9642" s="531"/>
      <c r="F9642" s="531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2" t="str">
        <f t="shared" si="484"/>
        <v/>
      </c>
      <c r="E9643" s="531"/>
      <c r="F9643" s="531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2" t="str">
        <f t="shared" si="484"/>
        <v/>
      </c>
      <c r="E9644" s="531"/>
      <c r="F9644" s="531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2" t="str">
        <f t="shared" si="484"/>
        <v/>
      </c>
      <c r="E9645" s="531"/>
      <c r="F9645" s="531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2" t="str">
        <f t="shared" si="484"/>
        <v/>
      </c>
      <c r="E9646" s="531"/>
      <c r="F9646" s="531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2" t="str">
        <f t="shared" si="484"/>
        <v/>
      </c>
      <c r="E9647" s="531"/>
      <c r="F9647" s="531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2" t="str">
        <f t="shared" si="484"/>
        <v/>
      </c>
      <c r="E9648" s="531"/>
      <c r="F9648" s="531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2" t="str">
        <f t="shared" si="484"/>
        <v/>
      </c>
      <c r="E9649" s="531"/>
      <c r="F9649" s="531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2" t="str">
        <f t="shared" si="484"/>
        <v/>
      </c>
      <c r="E9650" s="531"/>
      <c r="F9650" s="531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2" t="str">
        <f t="shared" si="484"/>
        <v/>
      </c>
      <c r="E9651" s="531"/>
      <c r="F9651" s="531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2" t="str">
        <f t="shared" si="484"/>
        <v/>
      </c>
      <c r="E9652" s="531"/>
      <c r="F9652" s="531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2" t="str">
        <f t="shared" si="484"/>
        <v/>
      </c>
      <c r="E9653" s="531"/>
      <c r="F9653" s="531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2" t="str">
        <f t="shared" si="484"/>
        <v/>
      </c>
      <c r="E9654" s="531"/>
      <c r="F9654" s="531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2" t="str">
        <f t="shared" si="484"/>
        <v/>
      </c>
      <c r="E9655" s="531"/>
      <c r="F9655" s="531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2" t="str">
        <f t="shared" si="484"/>
        <v/>
      </c>
      <c r="E9656" s="531"/>
      <c r="F9656" s="531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2" t="str">
        <f t="shared" si="484"/>
        <v/>
      </c>
      <c r="E9657" s="531"/>
      <c r="F9657" s="531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2" t="str">
        <f t="shared" si="484"/>
        <v/>
      </c>
      <c r="E9658" s="531"/>
      <c r="F9658" s="531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2" t="str">
        <f t="shared" si="484"/>
        <v/>
      </c>
      <c r="E9659" s="531"/>
      <c r="F9659" s="531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2" t="str">
        <f t="shared" si="484"/>
        <v/>
      </c>
      <c r="E9660" s="531"/>
      <c r="F9660" s="531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2" t="str">
        <f t="shared" si="484"/>
        <v/>
      </c>
      <c r="E9661" s="531"/>
      <c r="F9661" s="531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2" t="str">
        <f t="shared" si="484"/>
        <v/>
      </c>
      <c r="E9662" s="531"/>
      <c r="F9662" s="531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2" t="str">
        <f t="shared" si="484"/>
        <v/>
      </c>
      <c r="E9663" s="531"/>
      <c r="F9663" s="531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2" t="str">
        <f t="shared" si="484"/>
        <v/>
      </c>
      <c r="E9664" s="531"/>
      <c r="F9664" s="531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2" t="str">
        <f t="shared" si="484"/>
        <v/>
      </c>
      <c r="E9665" s="531"/>
      <c r="F9665" s="531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2" t="str">
        <f t="shared" si="484"/>
        <v/>
      </c>
      <c r="E9666" s="531"/>
      <c r="F9666" s="531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2" t="str">
        <f t="shared" si="484"/>
        <v/>
      </c>
      <c r="E9667" s="531"/>
      <c r="F9667" s="531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2" t="str">
        <f t="shared" si="484"/>
        <v/>
      </c>
      <c r="E9668" s="531"/>
      <c r="F9668" s="531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2" t="str">
        <f t="shared" si="484"/>
        <v/>
      </c>
      <c r="E9669" s="531"/>
      <c r="F9669" s="531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2" t="str">
        <f t="shared" si="484"/>
        <v/>
      </c>
      <c r="E9670" s="531"/>
      <c r="F9670" s="531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2" t="str">
        <f t="shared" si="484"/>
        <v/>
      </c>
      <c r="E9671" s="531"/>
      <c r="F9671" s="531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2" t="str">
        <f t="shared" si="484"/>
        <v/>
      </c>
      <c r="E9672" s="531"/>
      <c r="F9672" s="531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2" t="str">
        <f t="shared" ref="D9673:D9736" si="487">IF(A9673&lt;&gt;"",PROPER(TEXT(A9673,"Mmmm")),"")</f>
        <v/>
      </c>
      <c r="E9673" s="531"/>
      <c r="F9673" s="531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2" t="str">
        <f t="shared" si="487"/>
        <v/>
      </c>
      <c r="E9674" s="531"/>
      <c r="F9674" s="531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2" t="str">
        <f t="shared" si="487"/>
        <v/>
      </c>
      <c r="E9675" s="531"/>
      <c r="F9675" s="531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2" t="str">
        <f t="shared" si="487"/>
        <v/>
      </c>
      <c r="E9676" s="531"/>
      <c r="F9676" s="531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2" t="str">
        <f t="shared" si="487"/>
        <v/>
      </c>
      <c r="E9677" s="531"/>
      <c r="F9677" s="531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2" t="str">
        <f t="shared" si="487"/>
        <v/>
      </c>
      <c r="E9678" s="531"/>
      <c r="F9678" s="531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2" t="str">
        <f t="shared" si="487"/>
        <v/>
      </c>
      <c r="E9679" s="531"/>
      <c r="F9679" s="531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2" t="str">
        <f t="shared" si="487"/>
        <v/>
      </c>
      <c r="E9680" s="531"/>
      <c r="F9680" s="531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2" t="str">
        <f t="shared" si="487"/>
        <v/>
      </c>
      <c r="E9681" s="531"/>
      <c r="F9681" s="531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2" t="str">
        <f t="shared" si="487"/>
        <v/>
      </c>
      <c r="E9682" s="531"/>
      <c r="F9682" s="531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2" t="str">
        <f t="shared" si="487"/>
        <v/>
      </c>
      <c r="E9683" s="531"/>
      <c r="F9683" s="531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2" t="str">
        <f t="shared" si="487"/>
        <v/>
      </c>
      <c r="E9684" s="531"/>
      <c r="F9684" s="531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2" t="str">
        <f t="shared" si="487"/>
        <v/>
      </c>
      <c r="E9685" s="531"/>
      <c r="F9685" s="531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2" t="str">
        <f t="shared" si="487"/>
        <v/>
      </c>
      <c r="E9686" s="531"/>
      <c r="F9686" s="531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2" t="str">
        <f t="shared" si="487"/>
        <v/>
      </c>
      <c r="E9687" s="531"/>
      <c r="F9687" s="531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2" t="str">
        <f t="shared" si="487"/>
        <v/>
      </c>
      <c r="E9688" s="531"/>
      <c r="F9688" s="531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2" t="str">
        <f t="shared" si="487"/>
        <v/>
      </c>
      <c r="E9689" s="531"/>
      <c r="F9689" s="531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2" t="str">
        <f t="shared" si="487"/>
        <v/>
      </c>
      <c r="E9690" s="531"/>
      <c r="F9690" s="531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2" t="str">
        <f t="shared" si="487"/>
        <v/>
      </c>
      <c r="E9691" s="531"/>
      <c r="F9691" s="531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2" t="str">
        <f t="shared" si="487"/>
        <v/>
      </c>
      <c r="E9692" s="531"/>
      <c r="F9692" s="531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2" t="str">
        <f t="shared" si="487"/>
        <v/>
      </c>
      <c r="E9693" s="531"/>
      <c r="F9693" s="531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2" t="str">
        <f t="shared" si="487"/>
        <v/>
      </c>
      <c r="E9694" s="531"/>
      <c r="F9694" s="531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2" t="str">
        <f t="shared" si="487"/>
        <v/>
      </c>
      <c r="E9695" s="531"/>
      <c r="F9695" s="531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2" t="str">
        <f t="shared" si="487"/>
        <v/>
      </c>
      <c r="E9696" s="531"/>
      <c r="F9696" s="531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2" t="str">
        <f t="shared" si="487"/>
        <v/>
      </c>
      <c r="E9697" s="531"/>
      <c r="F9697" s="531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2" t="str">
        <f t="shared" si="487"/>
        <v/>
      </c>
      <c r="E9698" s="531"/>
      <c r="F9698" s="531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2" t="str">
        <f t="shared" si="487"/>
        <v/>
      </c>
      <c r="E9699" s="531"/>
      <c r="F9699" s="531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2" t="str">
        <f t="shared" si="487"/>
        <v/>
      </c>
      <c r="E9700" s="531"/>
      <c r="F9700" s="531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2" t="str">
        <f t="shared" si="487"/>
        <v/>
      </c>
      <c r="E9701" s="531"/>
      <c r="F9701" s="531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2" t="str">
        <f t="shared" si="487"/>
        <v/>
      </c>
      <c r="E9702" s="531"/>
      <c r="F9702" s="531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2" t="str">
        <f t="shared" si="487"/>
        <v/>
      </c>
      <c r="E9703" s="531"/>
      <c r="F9703" s="531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2" t="str">
        <f t="shared" si="487"/>
        <v/>
      </c>
      <c r="E9704" s="531"/>
      <c r="F9704" s="531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2" t="str">
        <f t="shared" si="487"/>
        <v/>
      </c>
      <c r="E9705" s="531"/>
      <c r="F9705" s="531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2" t="str">
        <f t="shared" si="487"/>
        <v/>
      </c>
      <c r="E9706" s="531"/>
      <c r="F9706" s="531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2" t="str">
        <f t="shared" si="487"/>
        <v/>
      </c>
      <c r="E9707" s="531"/>
      <c r="F9707" s="531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2" t="str">
        <f t="shared" si="487"/>
        <v/>
      </c>
      <c r="E9708" s="531"/>
      <c r="F9708" s="531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2" t="str">
        <f t="shared" si="487"/>
        <v/>
      </c>
      <c r="E9709" s="531"/>
      <c r="F9709" s="531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2" t="str">
        <f t="shared" si="487"/>
        <v/>
      </c>
      <c r="E9710" s="531"/>
      <c r="F9710" s="531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2" t="str">
        <f t="shared" si="487"/>
        <v/>
      </c>
      <c r="E9711" s="531"/>
      <c r="F9711" s="531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2" t="str">
        <f t="shared" si="487"/>
        <v/>
      </c>
      <c r="E9712" s="531"/>
      <c r="F9712" s="531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2" t="str">
        <f t="shared" si="487"/>
        <v/>
      </c>
      <c r="E9713" s="531"/>
      <c r="F9713" s="531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2" t="str">
        <f t="shared" si="487"/>
        <v/>
      </c>
      <c r="E9714" s="531"/>
      <c r="F9714" s="531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2" t="str">
        <f t="shared" si="487"/>
        <v/>
      </c>
      <c r="E9715" s="531"/>
      <c r="F9715" s="531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2" t="str">
        <f t="shared" si="487"/>
        <v/>
      </c>
      <c r="E9716" s="531"/>
      <c r="F9716" s="531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2" t="str">
        <f t="shared" si="487"/>
        <v/>
      </c>
      <c r="E9717" s="531"/>
      <c r="F9717" s="531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2" t="str">
        <f t="shared" si="487"/>
        <v/>
      </c>
      <c r="E9718" s="531"/>
      <c r="F9718" s="531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2" t="str">
        <f t="shared" si="487"/>
        <v/>
      </c>
      <c r="E9719" s="531"/>
      <c r="F9719" s="531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2" t="str">
        <f t="shared" si="487"/>
        <v/>
      </c>
      <c r="E9720" s="531"/>
      <c r="F9720" s="531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2" t="str">
        <f t="shared" si="487"/>
        <v/>
      </c>
      <c r="E9721" s="531"/>
      <c r="F9721" s="531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2" t="str">
        <f t="shared" si="487"/>
        <v/>
      </c>
      <c r="E9722" s="531"/>
      <c r="F9722" s="531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2" t="str">
        <f t="shared" si="487"/>
        <v/>
      </c>
      <c r="E9723" s="531"/>
      <c r="F9723" s="531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2" t="str">
        <f t="shared" si="487"/>
        <v/>
      </c>
      <c r="E9724" s="531"/>
      <c r="F9724" s="531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2" t="str">
        <f t="shared" si="487"/>
        <v/>
      </c>
      <c r="E9725" s="531"/>
      <c r="F9725" s="531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2" t="str">
        <f t="shared" si="487"/>
        <v/>
      </c>
      <c r="E9726" s="531"/>
      <c r="F9726" s="531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2" t="str">
        <f t="shared" si="487"/>
        <v/>
      </c>
      <c r="E9727" s="531"/>
      <c r="F9727" s="531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2" t="str">
        <f t="shared" si="487"/>
        <v/>
      </c>
      <c r="E9728" s="531"/>
      <c r="F9728" s="531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2" t="str">
        <f t="shared" si="487"/>
        <v/>
      </c>
      <c r="E9729" s="531"/>
      <c r="F9729" s="531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2" t="str">
        <f t="shared" si="487"/>
        <v/>
      </c>
      <c r="E9730" s="531"/>
      <c r="F9730" s="531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2" t="str">
        <f t="shared" si="487"/>
        <v/>
      </c>
      <c r="E9731" s="531"/>
      <c r="F9731" s="531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2" t="str">
        <f t="shared" si="487"/>
        <v/>
      </c>
      <c r="E9732" s="531"/>
      <c r="F9732" s="531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2" t="str">
        <f t="shared" si="487"/>
        <v/>
      </c>
      <c r="E9733" s="531"/>
      <c r="F9733" s="531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2" t="str">
        <f t="shared" si="487"/>
        <v/>
      </c>
      <c r="E9734" s="531"/>
      <c r="F9734" s="531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2" t="str">
        <f t="shared" si="487"/>
        <v/>
      </c>
      <c r="E9735" s="531"/>
      <c r="F9735" s="531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2" t="str">
        <f t="shared" si="487"/>
        <v/>
      </c>
      <c r="E9736" s="531"/>
      <c r="F9736" s="531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2" t="str">
        <f t="shared" ref="D9737:D9800" si="490">IF(A9737&lt;&gt;"",PROPER(TEXT(A9737,"Mmmm")),"")</f>
        <v/>
      </c>
      <c r="E9737" s="531"/>
      <c r="F9737" s="531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2" t="str">
        <f t="shared" si="490"/>
        <v/>
      </c>
      <c r="E9738" s="531"/>
      <c r="F9738" s="531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2" t="str">
        <f t="shared" si="490"/>
        <v/>
      </c>
      <c r="E9739" s="531"/>
      <c r="F9739" s="531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2" t="str">
        <f t="shared" si="490"/>
        <v/>
      </c>
      <c r="E9740" s="531"/>
      <c r="F9740" s="531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2" t="str">
        <f t="shared" si="490"/>
        <v/>
      </c>
      <c r="E9741" s="531"/>
      <c r="F9741" s="531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2" t="str">
        <f t="shared" si="490"/>
        <v/>
      </c>
      <c r="E9742" s="531"/>
      <c r="F9742" s="531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2" t="str">
        <f t="shared" si="490"/>
        <v/>
      </c>
      <c r="E9743" s="531"/>
      <c r="F9743" s="531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2" t="str">
        <f t="shared" si="490"/>
        <v/>
      </c>
      <c r="E9744" s="531"/>
      <c r="F9744" s="531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2" t="str">
        <f t="shared" si="490"/>
        <v/>
      </c>
      <c r="E9745" s="531"/>
      <c r="F9745" s="531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2" t="str">
        <f t="shared" si="490"/>
        <v/>
      </c>
      <c r="E9746" s="531"/>
      <c r="F9746" s="531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2" t="str">
        <f t="shared" si="490"/>
        <v/>
      </c>
      <c r="E9747" s="531"/>
      <c r="F9747" s="531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2" t="str">
        <f t="shared" si="490"/>
        <v/>
      </c>
      <c r="E9748" s="531"/>
      <c r="F9748" s="531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2" t="str">
        <f t="shared" si="490"/>
        <v/>
      </c>
      <c r="E9749" s="531"/>
      <c r="F9749" s="531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2" t="str">
        <f t="shared" si="490"/>
        <v/>
      </c>
      <c r="E9750" s="531"/>
      <c r="F9750" s="531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2" t="str">
        <f t="shared" si="490"/>
        <v/>
      </c>
      <c r="E9751" s="531"/>
      <c r="F9751" s="531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2" t="str">
        <f t="shared" si="490"/>
        <v/>
      </c>
      <c r="E9752" s="531"/>
      <c r="F9752" s="531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2" t="str">
        <f t="shared" si="490"/>
        <v/>
      </c>
      <c r="E9753" s="531"/>
      <c r="F9753" s="531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2" t="str">
        <f t="shared" si="490"/>
        <v/>
      </c>
      <c r="E9754" s="531"/>
      <c r="F9754" s="531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2" t="str">
        <f t="shared" si="490"/>
        <v/>
      </c>
      <c r="E9755" s="531"/>
      <c r="F9755" s="531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2" t="str">
        <f t="shared" si="490"/>
        <v/>
      </c>
      <c r="E9756" s="531"/>
      <c r="F9756" s="531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2" t="str">
        <f t="shared" si="490"/>
        <v/>
      </c>
      <c r="E9757" s="531"/>
      <c r="F9757" s="531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2" t="str">
        <f t="shared" si="490"/>
        <v/>
      </c>
      <c r="E9758" s="531"/>
      <c r="F9758" s="531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2" t="str">
        <f t="shared" si="490"/>
        <v/>
      </c>
      <c r="E9759" s="531"/>
      <c r="F9759" s="531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2" t="str">
        <f t="shared" si="490"/>
        <v/>
      </c>
      <c r="E9760" s="531"/>
      <c r="F9760" s="531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2" t="str">
        <f t="shared" si="490"/>
        <v/>
      </c>
      <c r="E9761" s="531"/>
      <c r="F9761" s="531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2" t="str">
        <f t="shared" si="490"/>
        <v/>
      </c>
      <c r="E9762" s="531"/>
      <c r="F9762" s="531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2" t="str">
        <f t="shared" si="490"/>
        <v/>
      </c>
      <c r="E9763" s="531"/>
      <c r="F9763" s="531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2" t="str">
        <f t="shared" si="490"/>
        <v/>
      </c>
      <c r="E9764" s="531"/>
      <c r="F9764" s="531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2" t="str">
        <f t="shared" si="490"/>
        <v/>
      </c>
      <c r="E9765" s="531"/>
      <c r="F9765" s="531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2" t="str">
        <f t="shared" si="490"/>
        <v/>
      </c>
      <c r="E9766" s="531"/>
      <c r="F9766" s="531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2" t="str">
        <f t="shared" si="490"/>
        <v/>
      </c>
      <c r="E9767" s="531"/>
      <c r="F9767" s="531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2" t="str">
        <f t="shared" si="490"/>
        <v/>
      </c>
      <c r="E9768" s="531"/>
      <c r="F9768" s="531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2" t="str">
        <f t="shared" si="490"/>
        <v/>
      </c>
      <c r="E9769" s="531"/>
      <c r="F9769" s="531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2" t="str">
        <f t="shared" si="490"/>
        <v/>
      </c>
      <c r="E9770" s="531"/>
      <c r="F9770" s="531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2" t="str">
        <f t="shared" si="490"/>
        <v/>
      </c>
      <c r="E9771" s="531"/>
      <c r="F9771" s="531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2" t="str">
        <f t="shared" si="490"/>
        <v/>
      </c>
      <c r="E9772" s="531"/>
      <c r="F9772" s="531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2" t="str">
        <f t="shared" si="490"/>
        <v/>
      </c>
      <c r="E9773" s="531"/>
      <c r="F9773" s="531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2" t="str">
        <f t="shared" si="490"/>
        <v/>
      </c>
      <c r="E9774" s="531"/>
      <c r="F9774" s="531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2" t="str">
        <f t="shared" si="490"/>
        <v/>
      </c>
      <c r="E9775" s="531"/>
      <c r="F9775" s="531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2" t="str">
        <f t="shared" si="490"/>
        <v/>
      </c>
      <c r="E9776" s="531"/>
      <c r="F9776" s="531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2" t="str">
        <f t="shared" si="490"/>
        <v/>
      </c>
      <c r="E9777" s="531"/>
      <c r="F9777" s="531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2" t="str">
        <f t="shared" si="490"/>
        <v/>
      </c>
      <c r="E9778" s="531"/>
      <c r="F9778" s="531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2" t="str">
        <f t="shared" si="490"/>
        <v/>
      </c>
      <c r="E9779" s="531"/>
      <c r="F9779" s="531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2" t="str">
        <f t="shared" si="490"/>
        <v/>
      </c>
      <c r="E9780" s="531"/>
      <c r="F9780" s="531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2" t="str">
        <f t="shared" si="490"/>
        <v/>
      </c>
      <c r="E9781" s="531"/>
      <c r="F9781" s="531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2" t="str">
        <f t="shared" si="490"/>
        <v/>
      </c>
      <c r="E9782" s="531"/>
      <c r="F9782" s="531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2" t="str">
        <f t="shared" si="490"/>
        <v/>
      </c>
      <c r="E9783" s="531"/>
      <c r="F9783" s="531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2" t="str">
        <f t="shared" si="490"/>
        <v/>
      </c>
      <c r="E9784" s="531"/>
      <c r="F9784" s="531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2" t="str">
        <f t="shared" si="490"/>
        <v/>
      </c>
      <c r="E9785" s="531"/>
      <c r="F9785" s="531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2" t="str">
        <f t="shared" si="490"/>
        <v/>
      </c>
      <c r="E9786" s="531"/>
      <c r="F9786" s="531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2" t="str">
        <f t="shared" si="490"/>
        <v/>
      </c>
      <c r="E9787" s="531"/>
      <c r="F9787" s="531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2" t="str">
        <f t="shared" si="490"/>
        <v/>
      </c>
      <c r="E9788" s="531"/>
      <c r="F9788" s="531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2" t="str">
        <f t="shared" si="490"/>
        <v/>
      </c>
      <c r="E9789" s="531"/>
      <c r="F9789" s="531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2" t="str">
        <f t="shared" si="490"/>
        <v/>
      </c>
      <c r="E9790" s="531"/>
      <c r="F9790" s="531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2" t="str">
        <f t="shared" si="490"/>
        <v/>
      </c>
      <c r="E9791" s="531"/>
      <c r="F9791" s="531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2" t="str">
        <f t="shared" si="490"/>
        <v/>
      </c>
      <c r="E9792" s="531"/>
      <c r="F9792" s="531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2" t="str">
        <f t="shared" si="490"/>
        <v/>
      </c>
      <c r="E9793" s="531"/>
      <c r="F9793" s="531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2" t="str">
        <f t="shared" si="490"/>
        <v/>
      </c>
      <c r="E9794" s="531"/>
      <c r="F9794" s="531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2" t="str">
        <f t="shared" si="490"/>
        <v/>
      </c>
      <c r="E9795" s="531"/>
      <c r="F9795" s="531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2" t="str">
        <f t="shared" si="490"/>
        <v/>
      </c>
      <c r="E9796" s="531"/>
      <c r="F9796" s="531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2" t="str">
        <f t="shared" si="490"/>
        <v/>
      </c>
      <c r="E9797" s="531"/>
      <c r="F9797" s="531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2" t="str">
        <f t="shared" si="490"/>
        <v/>
      </c>
      <c r="E9798" s="531"/>
      <c r="F9798" s="531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2" t="str">
        <f t="shared" si="490"/>
        <v/>
      </c>
      <c r="E9799" s="531"/>
      <c r="F9799" s="531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2" t="str">
        <f t="shared" si="490"/>
        <v/>
      </c>
      <c r="E9800" s="531"/>
      <c r="F9800" s="531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2" t="str">
        <f t="shared" ref="D9801:D9864" si="493">IF(A9801&lt;&gt;"",PROPER(TEXT(A9801,"Mmmm")),"")</f>
        <v/>
      </c>
      <c r="E9801" s="531"/>
      <c r="F9801" s="531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2" t="str">
        <f t="shared" si="493"/>
        <v/>
      </c>
      <c r="E9802" s="531"/>
      <c r="F9802" s="531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2" t="str">
        <f t="shared" si="493"/>
        <v/>
      </c>
      <c r="E9803" s="531"/>
      <c r="F9803" s="531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2" t="str">
        <f t="shared" si="493"/>
        <v/>
      </c>
      <c r="E9804" s="531"/>
      <c r="F9804" s="531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2" t="str">
        <f t="shared" si="493"/>
        <v/>
      </c>
      <c r="E9805" s="531"/>
      <c r="F9805" s="531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2" t="str">
        <f t="shared" si="493"/>
        <v/>
      </c>
      <c r="E9806" s="531"/>
      <c r="F9806" s="531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2" t="str">
        <f t="shared" si="493"/>
        <v/>
      </c>
      <c r="E9807" s="531"/>
      <c r="F9807" s="531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2" t="str">
        <f t="shared" si="493"/>
        <v/>
      </c>
      <c r="E9808" s="531"/>
      <c r="F9808" s="531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2" t="str">
        <f t="shared" si="493"/>
        <v/>
      </c>
      <c r="E9809" s="531"/>
      <c r="F9809" s="531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2" t="str">
        <f t="shared" si="493"/>
        <v/>
      </c>
      <c r="E9810" s="531"/>
      <c r="F9810" s="531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2" t="str">
        <f t="shared" si="493"/>
        <v/>
      </c>
      <c r="E9811" s="531"/>
      <c r="F9811" s="531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2" t="str">
        <f t="shared" si="493"/>
        <v/>
      </c>
      <c r="E9812" s="531"/>
      <c r="F9812" s="531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2" t="str">
        <f t="shared" si="493"/>
        <v/>
      </c>
      <c r="E9813" s="531"/>
      <c r="F9813" s="531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2" t="str">
        <f t="shared" si="493"/>
        <v/>
      </c>
      <c r="E9814" s="531"/>
      <c r="F9814" s="531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2" t="str">
        <f t="shared" si="493"/>
        <v/>
      </c>
      <c r="E9815" s="531"/>
      <c r="F9815" s="531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2" t="str">
        <f t="shared" si="493"/>
        <v/>
      </c>
      <c r="E9816" s="531"/>
      <c r="F9816" s="531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2" t="str">
        <f t="shared" si="493"/>
        <v/>
      </c>
      <c r="E9817" s="531"/>
      <c r="F9817" s="531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2" t="str">
        <f t="shared" si="493"/>
        <v/>
      </c>
      <c r="E9818" s="531"/>
      <c r="F9818" s="531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2" t="str">
        <f t="shared" si="493"/>
        <v/>
      </c>
      <c r="E9819" s="531"/>
      <c r="F9819" s="531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2" t="str">
        <f t="shared" si="493"/>
        <v/>
      </c>
      <c r="E9820" s="531"/>
      <c r="F9820" s="531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2" t="str">
        <f t="shared" si="493"/>
        <v/>
      </c>
      <c r="E9821" s="531"/>
      <c r="F9821" s="531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2" t="str">
        <f t="shared" si="493"/>
        <v/>
      </c>
      <c r="E9822" s="531"/>
      <c r="F9822" s="531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2" t="str">
        <f t="shared" si="493"/>
        <v/>
      </c>
      <c r="E9823" s="531"/>
      <c r="F9823" s="531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2" t="str">
        <f t="shared" si="493"/>
        <v/>
      </c>
      <c r="E9824" s="531"/>
      <c r="F9824" s="531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2" t="str">
        <f t="shared" si="493"/>
        <v/>
      </c>
      <c r="E9825" s="531"/>
      <c r="F9825" s="531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2" t="str">
        <f t="shared" si="493"/>
        <v/>
      </c>
      <c r="E9826" s="531"/>
      <c r="F9826" s="531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2" t="str">
        <f t="shared" si="493"/>
        <v/>
      </c>
      <c r="E9827" s="531"/>
      <c r="F9827" s="531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2" t="str">
        <f t="shared" si="493"/>
        <v/>
      </c>
      <c r="E9828" s="531"/>
      <c r="F9828" s="531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2" t="str">
        <f t="shared" si="493"/>
        <v/>
      </c>
      <c r="E9829" s="531"/>
      <c r="F9829" s="531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2" t="str">
        <f t="shared" si="493"/>
        <v/>
      </c>
      <c r="E9830" s="531"/>
      <c r="F9830" s="531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2" t="str">
        <f t="shared" si="493"/>
        <v/>
      </c>
      <c r="E9831" s="531"/>
      <c r="F9831" s="531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2" t="str">
        <f t="shared" si="493"/>
        <v/>
      </c>
      <c r="E9832" s="531"/>
      <c r="F9832" s="531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2" t="str">
        <f t="shared" si="493"/>
        <v/>
      </c>
      <c r="E9833" s="531"/>
      <c r="F9833" s="531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2" t="str">
        <f t="shared" si="493"/>
        <v/>
      </c>
      <c r="E9834" s="531"/>
      <c r="F9834" s="531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2" t="str">
        <f t="shared" si="493"/>
        <v/>
      </c>
      <c r="E9835" s="531"/>
      <c r="F9835" s="531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2" t="str">
        <f t="shared" si="493"/>
        <v/>
      </c>
      <c r="E9836" s="531"/>
      <c r="F9836" s="531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2" t="str">
        <f t="shared" si="493"/>
        <v/>
      </c>
      <c r="E9837" s="531"/>
      <c r="F9837" s="531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2" t="str">
        <f t="shared" si="493"/>
        <v/>
      </c>
      <c r="E9838" s="531"/>
      <c r="F9838" s="531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2" t="str">
        <f t="shared" si="493"/>
        <v/>
      </c>
      <c r="E9839" s="531"/>
      <c r="F9839" s="531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2" t="str">
        <f t="shared" si="493"/>
        <v/>
      </c>
      <c r="E9840" s="531"/>
      <c r="F9840" s="531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2" t="str">
        <f t="shared" si="493"/>
        <v/>
      </c>
      <c r="E9841" s="531"/>
      <c r="F9841" s="531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2" t="str">
        <f t="shared" si="493"/>
        <v/>
      </c>
      <c r="E9842" s="531"/>
      <c r="F9842" s="531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2" t="str">
        <f t="shared" si="493"/>
        <v/>
      </c>
      <c r="E9843" s="531"/>
      <c r="F9843" s="531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2" t="str">
        <f t="shared" si="493"/>
        <v/>
      </c>
      <c r="E9844" s="531"/>
      <c r="F9844" s="531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2" t="str">
        <f t="shared" si="493"/>
        <v/>
      </c>
      <c r="E9845" s="531"/>
      <c r="F9845" s="531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2" t="str">
        <f t="shared" si="493"/>
        <v/>
      </c>
      <c r="E9846" s="531"/>
      <c r="F9846" s="531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2" t="str">
        <f t="shared" si="493"/>
        <v/>
      </c>
      <c r="E9847" s="531"/>
      <c r="F9847" s="531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2" t="str">
        <f t="shared" si="493"/>
        <v/>
      </c>
      <c r="E9848" s="531"/>
      <c r="F9848" s="531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2" t="str">
        <f t="shared" si="493"/>
        <v/>
      </c>
      <c r="E9849" s="531"/>
      <c r="F9849" s="531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2" t="str">
        <f t="shared" si="493"/>
        <v/>
      </c>
      <c r="E9850" s="531"/>
      <c r="F9850" s="531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2" t="str">
        <f t="shared" si="493"/>
        <v/>
      </c>
      <c r="E9851" s="531"/>
      <c r="F9851" s="531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2" t="str">
        <f t="shared" si="493"/>
        <v/>
      </c>
      <c r="E9852" s="531"/>
      <c r="F9852" s="531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2" t="str">
        <f t="shared" si="493"/>
        <v/>
      </c>
      <c r="E9853" s="531"/>
      <c r="F9853" s="531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2" t="str">
        <f t="shared" si="493"/>
        <v/>
      </c>
      <c r="E9854" s="531"/>
      <c r="F9854" s="531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2" t="str">
        <f t="shared" si="493"/>
        <v/>
      </c>
      <c r="E9855" s="531"/>
      <c r="F9855" s="531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2" t="str">
        <f t="shared" si="493"/>
        <v/>
      </c>
      <c r="E9856" s="531"/>
      <c r="F9856" s="531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2" t="str">
        <f t="shared" si="493"/>
        <v/>
      </c>
      <c r="E9857" s="531"/>
      <c r="F9857" s="531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2" t="str">
        <f t="shared" si="493"/>
        <v/>
      </c>
      <c r="E9858" s="531"/>
      <c r="F9858" s="531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2" t="str">
        <f t="shared" si="493"/>
        <v/>
      </c>
      <c r="E9859" s="531"/>
      <c r="F9859" s="531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2" t="str">
        <f t="shared" si="493"/>
        <v/>
      </c>
      <c r="E9860" s="531"/>
      <c r="F9860" s="531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2" t="str">
        <f t="shared" si="493"/>
        <v/>
      </c>
      <c r="E9861" s="531"/>
      <c r="F9861" s="531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2" t="str">
        <f t="shared" si="493"/>
        <v/>
      </c>
      <c r="E9862" s="531"/>
      <c r="F9862" s="531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2" t="str">
        <f t="shared" si="493"/>
        <v/>
      </c>
      <c r="E9863" s="531"/>
      <c r="F9863" s="531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2" t="str">
        <f t="shared" si="493"/>
        <v/>
      </c>
      <c r="E9864" s="531"/>
      <c r="F9864" s="531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2" t="str">
        <f t="shared" ref="D9865:D9928" si="496">IF(A9865&lt;&gt;"",PROPER(TEXT(A9865,"Mmmm")),"")</f>
        <v/>
      </c>
      <c r="E9865" s="531"/>
      <c r="F9865" s="531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2" t="str">
        <f t="shared" si="496"/>
        <v/>
      </c>
      <c r="E9866" s="531"/>
      <c r="F9866" s="531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2" t="str">
        <f t="shared" si="496"/>
        <v/>
      </c>
      <c r="E9867" s="531"/>
      <c r="F9867" s="531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2" t="str">
        <f t="shared" si="496"/>
        <v/>
      </c>
      <c r="E9868" s="531"/>
      <c r="F9868" s="531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2" t="str">
        <f t="shared" si="496"/>
        <v/>
      </c>
      <c r="E9869" s="531"/>
      <c r="F9869" s="531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2" t="str">
        <f t="shared" si="496"/>
        <v/>
      </c>
      <c r="E9870" s="531"/>
      <c r="F9870" s="531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2" t="str">
        <f t="shared" si="496"/>
        <v/>
      </c>
      <c r="E9871" s="531"/>
      <c r="F9871" s="531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2" t="str">
        <f t="shared" si="496"/>
        <v/>
      </c>
      <c r="E9872" s="531"/>
      <c r="F9872" s="531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2" t="str">
        <f t="shared" si="496"/>
        <v/>
      </c>
      <c r="E9873" s="531"/>
      <c r="F9873" s="531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2" t="str">
        <f t="shared" si="496"/>
        <v/>
      </c>
      <c r="E9874" s="531"/>
      <c r="F9874" s="531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2" t="str">
        <f t="shared" si="496"/>
        <v/>
      </c>
      <c r="E9875" s="531"/>
      <c r="F9875" s="531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2" t="str">
        <f t="shared" si="496"/>
        <v/>
      </c>
      <c r="E9876" s="531"/>
      <c r="F9876" s="531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2" t="str">
        <f t="shared" si="496"/>
        <v/>
      </c>
      <c r="E9877" s="531"/>
      <c r="F9877" s="531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2" t="str">
        <f t="shared" si="496"/>
        <v/>
      </c>
      <c r="E9878" s="531"/>
      <c r="F9878" s="531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2" t="str">
        <f t="shared" si="496"/>
        <v/>
      </c>
      <c r="E9879" s="531"/>
      <c r="F9879" s="531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2" t="str">
        <f t="shared" si="496"/>
        <v/>
      </c>
      <c r="E9880" s="531"/>
      <c r="F9880" s="531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2" t="str">
        <f t="shared" si="496"/>
        <v/>
      </c>
      <c r="E9881" s="531"/>
      <c r="F9881" s="531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2" t="str">
        <f t="shared" si="496"/>
        <v/>
      </c>
      <c r="E9882" s="531"/>
      <c r="F9882" s="531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2" t="str">
        <f t="shared" si="496"/>
        <v/>
      </c>
      <c r="E9883" s="531"/>
      <c r="F9883" s="531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2" t="str">
        <f t="shared" si="496"/>
        <v/>
      </c>
      <c r="E9884" s="531"/>
      <c r="F9884" s="531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2" t="str">
        <f t="shared" si="496"/>
        <v/>
      </c>
      <c r="E9885" s="531"/>
      <c r="F9885" s="531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2" t="str">
        <f t="shared" si="496"/>
        <v/>
      </c>
      <c r="E9886" s="531"/>
      <c r="F9886" s="531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2" t="str">
        <f t="shared" si="496"/>
        <v/>
      </c>
      <c r="E9887" s="531"/>
      <c r="F9887" s="531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2" t="str">
        <f t="shared" si="496"/>
        <v/>
      </c>
      <c r="E9888" s="531"/>
      <c r="F9888" s="531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2" t="str">
        <f t="shared" si="496"/>
        <v/>
      </c>
      <c r="E9889" s="531"/>
      <c r="F9889" s="531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2" t="str">
        <f t="shared" si="496"/>
        <v/>
      </c>
      <c r="E9890" s="531"/>
      <c r="F9890" s="531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2" t="str">
        <f t="shared" si="496"/>
        <v/>
      </c>
      <c r="E9891" s="531"/>
      <c r="F9891" s="531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2" t="str">
        <f t="shared" si="496"/>
        <v/>
      </c>
      <c r="E9892" s="531"/>
      <c r="F9892" s="531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2" t="str">
        <f t="shared" si="496"/>
        <v/>
      </c>
      <c r="E9893" s="531"/>
      <c r="F9893" s="531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2" t="str">
        <f t="shared" si="496"/>
        <v/>
      </c>
      <c r="E9894" s="531"/>
      <c r="F9894" s="531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2" t="str">
        <f t="shared" si="496"/>
        <v/>
      </c>
      <c r="E9895" s="531"/>
      <c r="F9895" s="531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2" t="str">
        <f t="shared" si="496"/>
        <v/>
      </c>
      <c r="E9896" s="531"/>
      <c r="F9896" s="531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2" t="str">
        <f t="shared" si="496"/>
        <v/>
      </c>
      <c r="E9897" s="531"/>
      <c r="F9897" s="531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2" t="str">
        <f t="shared" si="496"/>
        <v/>
      </c>
      <c r="E9898" s="531"/>
      <c r="F9898" s="531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2" t="str">
        <f t="shared" si="496"/>
        <v/>
      </c>
      <c r="E9899" s="531"/>
      <c r="F9899" s="531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2" t="str">
        <f t="shared" si="496"/>
        <v/>
      </c>
      <c r="E9900" s="531"/>
      <c r="F9900" s="531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2" t="str">
        <f t="shared" si="496"/>
        <v/>
      </c>
      <c r="E9901" s="531"/>
      <c r="F9901" s="531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2" t="str">
        <f t="shared" si="496"/>
        <v/>
      </c>
      <c r="E9902" s="531"/>
      <c r="F9902" s="531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2" t="str">
        <f t="shared" si="496"/>
        <v/>
      </c>
      <c r="E9903" s="531"/>
      <c r="F9903" s="531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2" t="str">
        <f t="shared" si="496"/>
        <v/>
      </c>
      <c r="E9904" s="531"/>
      <c r="F9904" s="531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2" t="str">
        <f t="shared" si="496"/>
        <v/>
      </c>
      <c r="E9905" s="531"/>
      <c r="F9905" s="531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2" t="str">
        <f t="shared" si="496"/>
        <v/>
      </c>
      <c r="E9906" s="531"/>
      <c r="F9906" s="531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2" t="str">
        <f t="shared" si="496"/>
        <v/>
      </c>
      <c r="E9907" s="531"/>
      <c r="F9907" s="531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2" t="str">
        <f t="shared" si="496"/>
        <v/>
      </c>
      <c r="E9908" s="531"/>
      <c r="F9908" s="531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2" t="str">
        <f t="shared" si="496"/>
        <v/>
      </c>
      <c r="E9909" s="531"/>
      <c r="F9909" s="531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2" t="str">
        <f t="shared" si="496"/>
        <v/>
      </c>
      <c r="E9910" s="531"/>
      <c r="F9910" s="531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2" t="str">
        <f t="shared" si="496"/>
        <v/>
      </c>
      <c r="E9911" s="531"/>
      <c r="F9911" s="531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2" t="str">
        <f t="shared" si="496"/>
        <v/>
      </c>
      <c r="E9912" s="531"/>
      <c r="F9912" s="531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2" t="str">
        <f t="shared" si="496"/>
        <v/>
      </c>
      <c r="E9913" s="531"/>
      <c r="F9913" s="531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2" t="str">
        <f t="shared" si="496"/>
        <v/>
      </c>
      <c r="E9914" s="531"/>
      <c r="F9914" s="531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2" t="str">
        <f t="shared" si="496"/>
        <v/>
      </c>
      <c r="E9915" s="531"/>
      <c r="F9915" s="531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2" t="str">
        <f t="shared" si="496"/>
        <v/>
      </c>
      <c r="E9916" s="531"/>
      <c r="F9916" s="531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2" t="str">
        <f t="shared" si="496"/>
        <v/>
      </c>
      <c r="E9917" s="531"/>
      <c r="F9917" s="531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2" t="str">
        <f t="shared" si="496"/>
        <v/>
      </c>
      <c r="E9918" s="531"/>
      <c r="F9918" s="531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2" t="str">
        <f t="shared" si="496"/>
        <v/>
      </c>
      <c r="E9919" s="531"/>
      <c r="F9919" s="531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2" t="str">
        <f t="shared" si="496"/>
        <v/>
      </c>
      <c r="E9920" s="531"/>
      <c r="F9920" s="531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2" t="str">
        <f t="shared" si="496"/>
        <v/>
      </c>
      <c r="E9921" s="531"/>
      <c r="F9921" s="531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2" t="str">
        <f t="shared" si="496"/>
        <v/>
      </c>
      <c r="E9922" s="531"/>
      <c r="F9922" s="531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2" t="str">
        <f t="shared" si="496"/>
        <v/>
      </c>
      <c r="E9923" s="531"/>
      <c r="F9923" s="531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2" t="str">
        <f t="shared" si="496"/>
        <v/>
      </c>
      <c r="E9924" s="531"/>
      <c r="F9924" s="531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2" t="str">
        <f t="shared" si="496"/>
        <v/>
      </c>
      <c r="E9925" s="531"/>
      <c r="F9925" s="531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2" t="str">
        <f t="shared" si="496"/>
        <v/>
      </c>
      <c r="E9926" s="531"/>
      <c r="F9926" s="531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2" t="str">
        <f t="shared" si="496"/>
        <v/>
      </c>
      <c r="E9927" s="531"/>
      <c r="F9927" s="531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2" t="str">
        <f t="shared" si="496"/>
        <v/>
      </c>
      <c r="E9928" s="531"/>
      <c r="F9928" s="531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2" t="str">
        <f t="shared" ref="D9929:D9992" si="499">IF(A9929&lt;&gt;"",PROPER(TEXT(A9929,"Mmmm")),"")</f>
        <v/>
      </c>
      <c r="E9929" s="531"/>
      <c r="F9929" s="531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2" t="str">
        <f t="shared" si="499"/>
        <v/>
      </c>
      <c r="E9930" s="531"/>
      <c r="F9930" s="531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2" t="str">
        <f t="shared" si="499"/>
        <v/>
      </c>
      <c r="E9931" s="531"/>
      <c r="F9931" s="531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2" t="str">
        <f t="shared" si="499"/>
        <v/>
      </c>
      <c r="E9932" s="531"/>
      <c r="F9932" s="531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2" t="str">
        <f t="shared" si="499"/>
        <v/>
      </c>
      <c r="E9933" s="531"/>
      <c r="F9933" s="531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2" t="str">
        <f t="shared" si="499"/>
        <v/>
      </c>
      <c r="E9934" s="531"/>
      <c r="F9934" s="531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2" t="str">
        <f t="shared" si="499"/>
        <v/>
      </c>
      <c r="E9935" s="531"/>
      <c r="F9935" s="531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2" t="str">
        <f t="shared" si="499"/>
        <v/>
      </c>
      <c r="E9936" s="531"/>
      <c r="F9936" s="531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2" t="str">
        <f t="shared" si="499"/>
        <v/>
      </c>
      <c r="E9937" s="531"/>
      <c r="F9937" s="531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2" t="str">
        <f t="shared" si="499"/>
        <v/>
      </c>
      <c r="E9938" s="531"/>
      <c r="F9938" s="531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2" t="str">
        <f t="shared" si="499"/>
        <v/>
      </c>
      <c r="E9939" s="531"/>
      <c r="F9939" s="531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2" t="str">
        <f t="shared" si="499"/>
        <v/>
      </c>
      <c r="E9940" s="531"/>
      <c r="F9940" s="531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2" t="str">
        <f t="shared" si="499"/>
        <v/>
      </c>
      <c r="E9941" s="531"/>
      <c r="F9941" s="531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2" t="str">
        <f t="shared" si="499"/>
        <v/>
      </c>
      <c r="E9942" s="531"/>
      <c r="F9942" s="531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2" t="str">
        <f t="shared" si="499"/>
        <v/>
      </c>
      <c r="E9943" s="531"/>
      <c r="F9943" s="531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2" t="str">
        <f t="shared" si="499"/>
        <v/>
      </c>
      <c r="E9944" s="531"/>
      <c r="F9944" s="531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2" t="str">
        <f t="shared" si="499"/>
        <v/>
      </c>
      <c r="E9945" s="531"/>
      <c r="F9945" s="531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2" t="str">
        <f t="shared" si="499"/>
        <v/>
      </c>
      <c r="E9946" s="531"/>
      <c r="F9946" s="531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2" t="str">
        <f t="shared" si="499"/>
        <v/>
      </c>
      <c r="E9947" s="531"/>
      <c r="F9947" s="531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2" t="str">
        <f t="shared" si="499"/>
        <v/>
      </c>
      <c r="E9948" s="531"/>
      <c r="F9948" s="531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2" t="str">
        <f t="shared" si="499"/>
        <v/>
      </c>
      <c r="E9949" s="531"/>
      <c r="F9949" s="531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2" t="str">
        <f t="shared" si="499"/>
        <v/>
      </c>
      <c r="E9950" s="531"/>
      <c r="F9950" s="531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2" t="str">
        <f t="shared" si="499"/>
        <v/>
      </c>
      <c r="E9951" s="531"/>
      <c r="F9951" s="531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2" t="str">
        <f t="shared" si="499"/>
        <v/>
      </c>
      <c r="E9952" s="531"/>
      <c r="F9952" s="531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2" t="str">
        <f t="shared" si="499"/>
        <v/>
      </c>
      <c r="E9953" s="531"/>
      <c r="F9953" s="531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2" t="str">
        <f t="shared" si="499"/>
        <v/>
      </c>
      <c r="E9954" s="531"/>
      <c r="F9954" s="531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2" t="str">
        <f t="shared" si="499"/>
        <v/>
      </c>
      <c r="E9955" s="531"/>
      <c r="F9955" s="531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2" t="str">
        <f t="shared" si="499"/>
        <v/>
      </c>
      <c r="E9956" s="531"/>
      <c r="F9956" s="531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2" t="str">
        <f t="shared" si="499"/>
        <v/>
      </c>
      <c r="E9957" s="531"/>
      <c r="F9957" s="531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2" t="str">
        <f t="shared" si="499"/>
        <v/>
      </c>
      <c r="E9958" s="531"/>
      <c r="F9958" s="531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2" t="str">
        <f t="shared" si="499"/>
        <v/>
      </c>
      <c r="E9959" s="531"/>
      <c r="F9959" s="531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2" t="str">
        <f t="shared" si="499"/>
        <v/>
      </c>
      <c r="E9960" s="531"/>
      <c r="F9960" s="531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2" t="str">
        <f t="shared" si="499"/>
        <v/>
      </c>
      <c r="E9961" s="531"/>
      <c r="F9961" s="531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2" t="str">
        <f t="shared" si="499"/>
        <v/>
      </c>
      <c r="E9962" s="531"/>
      <c r="F9962" s="531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2" t="str">
        <f t="shared" si="499"/>
        <v/>
      </c>
      <c r="E9963" s="531"/>
      <c r="F9963" s="531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2" t="str">
        <f t="shared" si="499"/>
        <v/>
      </c>
      <c r="E9964" s="531"/>
      <c r="F9964" s="531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2" t="str">
        <f t="shared" si="499"/>
        <v/>
      </c>
      <c r="E9965" s="531"/>
      <c r="F9965" s="531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2" t="str">
        <f t="shared" si="499"/>
        <v/>
      </c>
      <c r="E9966" s="531"/>
      <c r="F9966" s="531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2" t="str">
        <f t="shared" si="499"/>
        <v/>
      </c>
      <c r="E9967" s="531"/>
      <c r="F9967" s="531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2" t="str">
        <f t="shared" si="499"/>
        <v/>
      </c>
      <c r="E9968" s="531"/>
      <c r="F9968" s="531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2" t="str">
        <f t="shared" si="499"/>
        <v/>
      </c>
      <c r="E9969" s="531"/>
      <c r="F9969" s="531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2" t="str">
        <f t="shared" si="499"/>
        <v/>
      </c>
      <c r="E9970" s="531"/>
      <c r="F9970" s="531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2" t="str">
        <f t="shared" si="499"/>
        <v/>
      </c>
      <c r="E9971" s="531"/>
      <c r="F9971" s="531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2" t="str">
        <f t="shared" si="499"/>
        <v/>
      </c>
      <c r="E9972" s="531"/>
      <c r="F9972" s="531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2" t="str">
        <f t="shared" si="499"/>
        <v/>
      </c>
      <c r="E9973" s="531"/>
      <c r="F9973" s="531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2" t="str">
        <f t="shared" si="499"/>
        <v/>
      </c>
      <c r="E9974" s="531"/>
      <c r="F9974" s="531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2" t="str">
        <f t="shared" si="499"/>
        <v/>
      </c>
      <c r="E9975" s="531"/>
      <c r="F9975" s="531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2" t="str">
        <f t="shared" si="499"/>
        <v/>
      </c>
      <c r="E9976" s="531"/>
      <c r="F9976" s="531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2" t="str">
        <f t="shared" si="499"/>
        <v/>
      </c>
      <c r="E9977" s="531"/>
      <c r="F9977" s="531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2" t="str">
        <f t="shared" si="499"/>
        <v/>
      </c>
      <c r="E9978" s="531"/>
      <c r="F9978" s="531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2" t="str">
        <f t="shared" si="499"/>
        <v/>
      </c>
      <c r="E9979" s="531"/>
      <c r="F9979" s="531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2" t="str">
        <f t="shared" si="499"/>
        <v/>
      </c>
      <c r="E9980" s="531"/>
      <c r="F9980" s="531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2" t="str">
        <f t="shared" si="499"/>
        <v/>
      </c>
      <c r="E9981" s="531"/>
      <c r="F9981" s="531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2" t="str">
        <f t="shared" si="499"/>
        <v/>
      </c>
      <c r="E9982" s="531"/>
      <c r="F9982" s="531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2" t="str">
        <f t="shared" si="499"/>
        <v/>
      </c>
      <c r="E9983" s="531"/>
      <c r="F9983" s="531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2" t="str">
        <f t="shared" si="499"/>
        <v/>
      </c>
      <c r="E9984" s="531"/>
      <c r="F9984" s="531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2" t="str">
        <f t="shared" si="499"/>
        <v/>
      </c>
      <c r="E9985" s="531"/>
      <c r="F9985" s="531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2" t="str">
        <f t="shared" si="499"/>
        <v/>
      </c>
      <c r="E9986" s="531"/>
      <c r="F9986" s="531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2" t="str">
        <f t="shared" si="499"/>
        <v/>
      </c>
      <c r="E9987" s="531"/>
      <c r="F9987" s="531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2" t="str">
        <f t="shared" si="499"/>
        <v/>
      </c>
      <c r="E9988" s="531"/>
      <c r="F9988" s="531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2" t="str">
        <f t="shared" si="499"/>
        <v/>
      </c>
      <c r="E9989" s="531"/>
      <c r="F9989" s="531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2" t="str">
        <f t="shared" si="499"/>
        <v/>
      </c>
      <c r="E9990" s="531"/>
      <c r="F9990" s="531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2" t="str">
        <f t="shared" si="499"/>
        <v/>
      </c>
      <c r="E9991" s="531"/>
      <c r="F9991" s="531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2" t="str">
        <f t="shared" si="499"/>
        <v/>
      </c>
      <c r="E9992" s="531"/>
      <c r="F9992" s="531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2" t="str">
        <f t="shared" ref="D9993:D10056" si="502">IF(A9993&lt;&gt;"",PROPER(TEXT(A9993,"Mmmm")),"")</f>
        <v/>
      </c>
      <c r="E9993" s="531"/>
      <c r="F9993" s="531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2" t="str">
        <f t="shared" si="502"/>
        <v/>
      </c>
      <c r="E9994" s="531"/>
      <c r="F9994" s="531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2" t="str">
        <f t="shared" si="502"/>
        <v/>
      </c>
      <c r="E9995" s="531"/>
      <c r="F9995" s="531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2" t="str">
        <f t="shared" si="502"/>
        <v/>
      </c>
      <c r="E9996" s="531"/>
      <c r="F9996" s="531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2" t="str">
        <f t="shared" si="502"/>
        <v/>
      </c>
      <c r="E9997" s="531"/>
      <c r="F9997" s="531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2" t="str">
        <f t="shared" si="502"/>
        <v/>
      </c>
      <c r="E9998" s="531"/>
      <c r="F9998" s="531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2" t="str">
        <f t="shared" si="502"/>
        <v/>
      </c>
      <c r="E9999" s="531"/>
      <c r="F9999" s="531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2" t="str">
        <f t="shared" si="502"/>
        <v/>
      </c>
      <c r="E10000" s="531"/>
      <c r="F10000" s="531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2" t="str">
        <f t="shared" si="502"/>
        <v/>
      </c>
      <c r="E10001" s="531"/>
      <c r="F10001" s="531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2" t="str">
        <f t="shared" si="502"/>
        <v/>
      </c>
      <c r="E10002" s="531"/>
      <c r="F10002" s="531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2" t="str">
        <f t="shared" si="502"/>
        <v/>
      </c>
      <c r="E10003" s="531"/>
      <c r="F10003" s="531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2" t="str">
        <f t="shared" si="502"/>
        <v/>
      </c>
      <c r="E10004" s="531"/>
      <c r="F10004" s="531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2" t="str">
        <f t="shared" si="502"/>
        <v/>
      </c>
      <c r="E10005" s="531"/>
      <c r="F10005" s="531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2" t="str">
        <f t="shared" si="502"/>
        <v/>
      </c>
      <c r="E10006" s="531"/>
      <c r="F10006" s="531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2" t="str">
        <f t="shared" si="502"/>
        <v/>
      </c>
      <c r="E10007" s="531"/>
      <c r="F10007" s="531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2" t="str">
        <f t="shared" si="502"/>
        <v/>
      </c>
      <c r="E10008" s="531"/>
      <c r="F10008" s="531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2" t="str">
        <f t="shared" si="502"/>
        <v/>
      </c>
      <c r="E10009" s="531"/>
      <c r="F10009" s="531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2" t="str">
        <f t="shared" si="502"/>
        <v/>
      </c>
      <c r="E10010" s="531"/>
      <c r="F10010" s="531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2" t="str">
        <f t="shared" si="502"/>
        <v/>
      </c>
      <c r="E10011" s="531"/>
      <c r="F10011" s="531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2" t="str">
        <f t="shared" si="502"/>
        <v/>
      </c>
      <c r="E10012" s="531"/>
      <c r="F10012" s="531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2" t="str">
        <f t="shared" si="502"/>
        <v/>
      </c>
      <c r="E10013" s="531"/>
      <c r="F10013" s="531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2" t="str">
        <f t="shared" si="502"/>
        <v/>
      </c>
      <c r="E10014" s="531"/>
      <c r="F10014" s="531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2" t="str">
        <f t="shared" si="502"/>
        <v/>
      </c>
      <c r="E10015" s="531"/>
      <c r="F10015" s="531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2" t="str">
        <f t="shared" si="502"/>
        <v/>
      </c>
      <c r="E10016" s="531"/>
      <c r="F10016" s="531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2" t="str">
        <f t="shared" si="502"/>
        <v/>
      </c>
      <c r="E10017" s="531"/>
      <c r="F10017" s="531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2" t="str">
        <f t="shared" si="502"/>
        <v/>
      </c>
      <c r="E10018" s="531"/>
      <c r="F10018" s="531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2" t="str">
        <f t="shared" si="502"/>
        <v/>
      </c>
      <c r="E10019" s="531"/>
      <c r="F10019" s="531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2" t="str">
        <f t="shared" si="502"/>
        <v/>
      </c>
      <c r="E10020" s="531"/>
      <c r="F10020" s="531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2" t="str">
        <f t="shared" si="502"/>
        <v/>
      </c>
      <c r="E10021" s="531"/>
      <c r="F10021" s="531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2" t="str">
        <f t="shared" si="502"/>
        <v/>
      </c>
      <c r="E10022" s="531"/>
      <c r="F10022" s="531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2" t="str">
        <f t="shared" si="502"/>
        <v/>
      </c>
      <c r="E10023" s="531"/>
      <c r="F10023" s="531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2" t="str">
        <f t="shared" si="502"/>
        <v/>
      </c>
      <c r="E10024" s="531"/>
      <c r="F10024" s="531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2" t="str">
        <f t="shared" si="502"/>
        <v/>
      </c>
      <c r="E10025" s="531"/>
      <c r="F10025" s="531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2" t="str">
        <f t="shared" si="502"/>
        <v/>
      </c>
      <c r="E10026" s="531"/>
      <c r="F10026" s="531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2" t="str">
        <f t="shared" si="502"/>
        <v/>
      </c>
      <c r="E10027" s="531"/>
      <c r="F10027" s="531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2" t="str">
        <f t="shared" si="502"/>
        <v/>
      </c>
      <c r="E10028" s="531"/>
      <c r="F10028" s="531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2" t="str">
        <f t="shared" si="502"/>
        <v/>
      </c>
      <c r="E10029" s="531"/>
      <c r="F10029" s="531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2" t="str">
        <f t="shared" si="502"/>
        <v/>
      </c>
      <c r="E10030" s="531"/>
      <c r="F10030" s="531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2" t="str">
        <f t="shared" si="502"/>
        <v/>
      </c>
      <c r="E10031" s="531"/>
      <c r="F10031" s="531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2" t="str">
        <f t="shared" si="502"/>
        <v/>
      </c>
      <c r="E10032" s="531"/>
      <c r="F10032" s="531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2" t="str">
        <f t="shared" si="502"/>
        <v/>
      </c>
      <c r="E10033" s="531"/>
      <c r="F10033" s="531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2" t="str">
        <f t="shared" si="502"/>
        <v/>
      </c>
      <c r="E10034" s="531"/>
      <c r="F10034" s="531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2" t="str">
        <f t="shared" si="502"/>
        <v/>
      </c>
      <c r="E10035" s="531"/>
      <c r="F10035" s="531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2" t="str">
        <f t="shared" si="502"/>
        <v/>
      </c>
      <c r="E10036" s="531"/>
      <c r="F10036" s="531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2" t="str">
        <f t="shared" si="502"/>
        <v/>
      </c>
      <c r="E10037" s="531"/>
      <c r="F10037" s="531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2" t="str">
        <f t="shared" si="502"/>
        <v/>
      </c>
      <c r="E10038" s="531"/>
      <c r="F10038" s="531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2" t="str">
        <f t="shared" si="502"/>
        <v/>
      </c>
      <c r="E10039" s="531"/>
      <c r="F10039" s="531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2" t="str">
        <f t="shared" si="502"/>
        <v/>
      </c>
      <c r="E10040" s="531"/>
      <c r="F10040" s="531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2" t="str">
        <f t="shared" si="502"/>
        <v/>
      </c>
      <c r="E10041" s="531"/>
      <c r="F10041" s="531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2" t="str">
        <f t="shared" si="502"/>
        <v/>
      </c>
      <c r="E10042" s="531"/>
      <c r="F10042" s="531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2" t="str">
        <f t="shared" si="502"/>
        <v/>
      </c>
      <c r="E10043" s="531"/>
      <c r="F10043" s="531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2" t="str">
        <f t="shared" si="502"/>
        <v/>
      </c>
      <c r="E10044" s="531"/>
      <c r="F10044" s="531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2" t="str">
        <f t="shared" si="502"/>
        <v/>
      </c>
      <c r="E10045" s="531"/>
      <c r="F10045" s="531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2" t="str">
        <f t="shared" si="502"/>
        <v/>
      </c>
      <c r="E10046" s="531"/>
      <c r="F10046" s="531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2" t="str">
        <f t="shared" si="502"/>
        <v/>
      </c>
      <c r="E10047" s="531"/>
      <c r="F10047" s="531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2" t="str">
        <f t="shared" si="502"/>
        <v/>
      </c>
      <c r="E10048" s="531"/>
      <c r="F10048" s="531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2" t="str">
        <f t="shared" si="502"/>
        <v/>
      </c>
      <c r="E10049" s="531"/>
      <c r="F10049" s="531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2" t="str">
        <f t="shared" si="502"/>
        <v/>
      </c>
      <c r="E10050" s="531"/>
      <c r="F10050" s="531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2" t="str">
        <f t="shared" si="502"/>
        <v/>
      </c>
      <c r="E10051" s="531"/>
      <c r="F10051" s="531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2" t="str">
        <f t="shared" si="502"/>
        <v/>
      </c>
      <c r="E10052" s="531"/>
      <c r="F10052" s="531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2" t="str">
        <f t="shared" si="502"/>
        <v/>
      </c>
      <c r="E10053" s="531"/>
      <c r="F10053" s="531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2" t="str">
        <f t="shared" si="502"/>
        <v/>
      </c>
      <c r="E10054" s="531"/>
      <c r="F10054" s="531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2" t="str">
        <f t="shared" si="502"/>
        <v/>
      </c>
      <c r="E10055" s="531"/>
      <c r="F10055" s="531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2" t="str">
        <f t="shared" si="502"/>
        <v/>
      </c>
      <c r="E10056" s="531"/>
      <c r="F10056" s="531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2" t="str">
        <f t="shared" ref="D10057:D10120" si="505">IF(A10057&lt;&gt;"",PROPER(TEXT(A10057,"Mmmm")),"")</f>
        <v/>
      </c>
      <c r="E10057" s="531"/>
      <c r="F10057" s="531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2" t="str">
        <f t="shared" si="505"/>
        <v/>
      </c>
      <c r="E10058" s="531"/>
      <c r="F10058" s="531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2" t="str">
        <f t="shared" si="505"/>
        <v/>
      </c>
      <c r="E10059" s="531"/>
      <c r="F10059" s="531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2" t="str">
        <f t="shared" si="505"/>
        <v/>
      </c>
      <c r="E10060" s="531"/>
      <c r="F10060" s="531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2" t="str">
        <f t="shared" si="505"/>
        <v/>
      </c>
      <c r="E10061" s="531"/>
      <c r="F10061" s="531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2" t="str">
        <f t="shared" si="505"/>
        <v/>
      </c>
      <c r="E10062" s="531"/>
      <c r="F10062" s="531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2" t="str">
        <f t="shared" si="505"/>
        <v/>
      </c>
      <c r="E10063" s="531"/>
      <c r="F10063" s="531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2" t="str">
        <f t="shared" si="505"/>
        <v/>
      </c>
      <c r="E10064" s="531"/>
      <c r="F10064" s="531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2" t="str">
        <f t="shared" si="505"/>
        <v/>
      </c>
      <c r="E10065" s="531"/>
      <c r="F10065" s="531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2" t="str">
        <f t="shared" si="505"/>
        <v/>
      </c>
      <c r="E10066" s="531"/>
      <c r="F10066" s="531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2" t="str">
        <f t="shared" si="505"/>
        <v/>
      </c>
      <c r="E10067" s="531"/>
      <c r="F10067" s="531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2" t="str">
        <f t="shared" si="505"/>
        <v/>
      </c>
      <c r="E10068" s="531"/>
      <c r="F10068" s="531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2" t="str">
        <f t="shared" si="505"/>
        <v/>
      </c>
      <c r="E10069" s="531"/>
      <c r="F10069" s="531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2" t="str">
        <f t="shared" si="505"/>
        <v/>
      </c>
      <c r="E10070" s="531"/>
      <c r="F10070" s="531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2" t="str">
        <f t="shared" si="505"/>
        <v/>
      </c>
      <c r="E10071" s="531"/>
      <c r="F10071" s="531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2" t="str">
        <f t="shared" si="505"/>
        <v/>
      </c>
      <c r="E10072" s="531"/>
      <c r="F10072" s="531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2" t="str">
        <f t="shared" si="505"/>
        <v/>
      </c>
      <c r="E10073" s="531"/>
      <c r="F10073" s="531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2" t="str">
        <f t="shared" si="505"/>
        <v/>
      </c>
      <c r="E10074" s="531"/>
      <c r="F10074" s="531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2" t="str">
        <f t="shared" si="505"/>
        <v/>
      </c>
      <c r="E10075" s="531"/>
      <c r="F10075" s="531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2" t="str">
        <f t="shared" si="505"/>
        <v/>
      </c>
      <c r="E10076" s="531"/>
      <c r="F10076" s="531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2" t="str">
        <f t="shared" si="505"/>
        <v/>
      </c>
      <c r="E10077" s="531"/>
      <c r="F10077" s="531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2" t="str">
        <f t="shared" si="505"/>
        <v/>
      </c>
      <c r="E10078" s="531"/>
      <c r="F10078" s="531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2" t="str">
        <f t="shared" si="505"/>
        <v/>
      </c>
      <c r="E10079" s="531"/>
      <c r="F10079" s="531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2" t="str">
        <f t="shared" si="505"/>
        <v/>
      </c>
      <c r="E10080" s="531"/>
      <c r="F10080" s="531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2" t="str">
        <f t="shared" si="505"/>
        <v/>
      </c>
      <c r="E10081" s="531"/>
      <c r="F10081" s="531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2" t="str">
        <f t="shared" si="505"/>
        <v/>
      </c>
      <c r="E10082" s="531"/>
      <c r="F10082" s="531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2" t="str">
        <f t="shared" si="505"/>
        <v/>
      </c>
      <c r="E10083" s="531"/>
      <c r="F10083" s="531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2" t="str">
        <f t="shared" si="505"/>
        <v/>
      </c>
      <c r="E10084" s="531"/>
      <c r="F10084" s="531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2" t="str">
        <f t="shared" si="505"/>
        <v/>
      </c>
      <c r="E10085" s="531"/>
      <c r="F10085" s="531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2" t="str">
        <f t="shared" si="505"/>
        <v/>
      </c>
      <c r="E10086" s="531"/>
      <c r="F10086" s="531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2" t="str">
        <f t="shared" si="505"/>
        <v/>
      </c>
      <c r="E10087" s="531"/>
      <c r="F10087" s="531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2" t="str">
        <f t="shared" si="505"/>
        <v/>
      </c>
      <c r="E10088" s="531"/>
      <c r="F10088" s="531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2" t="str">
        <f t="shared" si="505"/>
        <v/>
      </c>
      <c r="E10089" s="531"/>
      <c r="F10089" s="531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2" t="str">
        <f t="shared" si="505"/>
        <v/>
      </c>
      <c r="E10090" s="531"/>
      <c r="F10090" s="531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2" t="str">
        <f t="shared" si="505"/>
        <v/>
      </c>
      <c r="E10091" s="531"/>
      <c r="F10091" s="531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2" t="str">
        <f t="shared" si="505"/>
        <v/>
      </c>
      <c r="E10092" s="531"/>
      <c r="F10092" s="531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2" t="str">
        <f t="shared" si="505"/>
        <v/>
      </c>
      <c r="E10093" s="531"/>
      <c r="F10093" s="531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2" t="str">
        <f t="shared" si="505"/>
        <v/>
      </c>
      <c r="E10094" s="531"/>
      <c r="F10094" s="531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2" t="str">
        <f t="shared" si="505"/>
        <v/>
      </c>
      <c r="E10095" s="531"/>
      <c r="F10095" s="531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2" t="str">
        <f t="shared" si="505"/>
        <v/>
      </c>
      <c r="E10096" s="531"/>
      <c r="F10096" s="531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2" t="str">
        <f t="shared" si="505"/>
        <v/>
      </c>
      <c r="E10097" s="531"/>
      <c r="F10097" s="531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2" t="str">
        <f t="shared" si="505"/>
        <v/>
      </c>
      <c r="E10098" s="531"/>
      <c r="F10098" s="531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2" t="str">
        <f t="shared" si="505"/>
        <v/>
      </c>
      <c r="E10099" s="531"/>
      <c r="F10099" s="531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2" t="str">
        <f t="shared" si="505"/>
        <v/>
      </c>
      <c r="E10100" s="531"/>
      <c r="F10100" s="531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2" t="str">
        <f t="shared" si="505"/>
        <v/>
      </c>
      <c r="E10101" s="531"/>
      <c r="F10101" s="531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2" t="str">
        <f t="shared" si="505"/>
        <v/>
      </c>
      <c r="E10102" s="531"/>
      <c r="F10102" s="531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2" t="str">
        <f t="shared" si="505"/>
        <v/>
      </c>
      <c r="E10103" s="531"/>
      <c r="F10103" s="531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2" t="str">
        <f t="shared" si="505"/>
        <v/>
      </c>
      <c r="E10104" s="531"/>
      <c r="F10104" s="531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2" t="str">
        <f t="shared" si="505"/>
        <v/>
      </c>
      <c r="E10105" s="531"/>
      <c r="F10105" s="531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2" t="str">
        <f t="shared" si="505"/>
        <v/>
      </c>
      <c r="E10106" s="531"/>
      <c r="F10106" s="531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2" t="str">
        <f t="shared" si="505"/>
        <v/>
      </c>
      <c r="E10107" s="531"/>
      <c r="F10107" s="531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2" t="str">
        <f t="shared" si="505"/>
        <v/>
      </c>
      <c r="E10108" s="531"/>
      <c r="F10108" s="531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2" t="str">
        <f t="shared" si="505"/>
        <v/>
      </c>
      <c r="E10109" s="531"/>
      <c r="F10109" s="531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2" t="str">
        <f t="shared" si="505"/>
        <v/>
      </c>
      <c r="E10110" s="531"/>
      <c r="F10110" s="531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2" t="str">
        <f t="shared" si="505"/>
        <v/>
      </c>
      <c r="E10111" s="531"/>
      <c r="F10111" s="531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2" t="str">
        <f t="shared" si="505"/>
        <v/>
      </c>
      <c r="E10112" s="531"/>
      <c r="F10112" s="531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2" t="str">
        <f t="shared" si="505"/>
        <v/>
      </c>
      <c r="E10113" s="531"/>
      <c r="F10113" s="531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2" t="str">
        <f t="shared" si="505"/>
        <v/>
      </c>
      <c r="E10114" s="531"/>
      <c r="F10114" s="531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2" t="str">
        <f t="shared" si="505"/>
        <v/>
      </c>
      <c r="E10115" s="531"/>
      <c r="F10115" s="531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2" t="str">
        <f t="shared" si="505"/>
        <v/>
      </c>
      <c r="E10116" s="531"/>
      <c r="F10116" s="531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2" t="str">
        <f t="shared" si="505"/>
        <v/>
      </c>
      <c r="E10117" s="531"/>
      <c r="F10117" s="531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2" t="str">
        <f t="shared" si="505"/>
        <v/>
      </c>
      <c r="E10118" s="531"/>
      <c r="F10118" s="531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2" t="str">
        <f t="shared" si="505"/>
        <v/>
      </c>
      <c r="E10119" s="531"/>
      <c r="F10119" s="531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2" t="str">
        <f t="shared" si="505"/>
        <v/>
      </c>
      <c r="E10120" s="531"/>
      <c r="F10120" s="531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2" t="str">
        <f t="shared" ref="D10121:D10184" si="508">IF(A10121&lt;&gt;"",PROPER(TEXT(A10121,"Mmmm")),"")</f>
        <v/>
      </c>
      <c r="E10121" s="531"/>
      <c r="F10121" s="531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2" t="str">
        <f t="shared" si="508"/>
        <v/>
      </c>
      <c r="E10122" s="531"/>
      <c r="F10122" s="531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2" t="str">
        <f t="shared" si="508"/>
        <v/>
      </c>
      <c r="E10123" s="531"/>
      <c r="F10123" s="531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2" t="str">
        <f t="shared" si="508"/>
        <v/>
      </c>
      <c r="E10124" s="531"/>
      <c r="F10124" s="531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2" t="str">
        <f t="shared" si="508"/>
        <v/>
      </c>
      <c r="E10125" s="531"/>
      <c r="F10125" s="531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2" t="str">
        <f t="shared" si="508"/>
        <v/>
      </c>
      <c r="E10126" s="531"/>
      <c r="F10126" s="531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2" t="str">
        <f t="shared" si="508"/>
        <v/>
      </c>
      <c r="E10127" s="531"/>
      <c r="F10127" s="531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2" t="str">
        <f t="shared" si="508"/>
        <v/>
      </c>
      <c r="E10128" s="531"/>
      <c r="F10128" s="531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2" t="str">
        <f t="shared" si="508"/>
        <v/>
      </c>
      <c r="E10129" s="531"/>
      <c r="F10129" s="531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2" t="str">
        <f t="shared" si="508"/>
        <v/>
      </c>
      <c r="E10130" s="531"/>
      <c r="F10130" s="531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2" t="str">
        <f t="shared" si="508"/>
        <v/>
      </c>
      <c r="E10131" s="531"/>
      <c r="F10131" s="531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2" t="str">
        <f t="shared" si="508"/>
        <v/>
      </c>
      <c r="E10132" s="531"/>
      <c r="F10132" s="531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2" t="str">
        <f t="shared" si="508"/>
        <v/>
      </c>
      <c r="E10133" s="531"/>
      <c r="F10133" s="531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2" t="str">
        <f t="shared" si="508"/>
        <v/>
      </c>
      <c r="E10134" s="531"/>
      <c r="F10134" s="531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2" t="str">
        <f t="shared" si="508"/>
        <v/>
      </c>
      <c r="E10135" s="531"/>
      <c r="F10135" s="531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2" t="str">
        <f t="shared" si="508"/>
        <v/>
      </c>
      <c r="E10136" s="531"/>
      <c r="F10136" s="531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2" t="str">
        <f t="shared" si="508"/>
        <v/>
      </c>
      <c r="E10137" s="531"/>
      <c r="F10137" s="531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2" t="str">
        <f t="shared" si="508"/>
        <v/>
      </c>
      <c r="E10138" s="531"/>
      <c r="F10138" s="531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2" t="str">
        <f t="shared" si="508"/>
        <v/>
      </c>
      <c r="E10139" s="531"/>
      <c r="F10139" s="531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2" t="str">
        <f t="shared" si="508"/>
        <v/>
      </c>
      <c r="E10140" s="531"/>
      <c r="F10140" s="531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2" t="str">
        <f t="shared" si="508"/>
        <v/>
      </c>
      <c r="E10141" s="531"/>
      <c r="F10141" s="531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2" t="str">
        <f t="shared" si="508"/>
        <v/>
      </c>
      <c r="E10142" s="531"/>
      <c r="F10142" s="531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2" t="str">
        <f t="shared" si="508"/>
        <v/>
      </c>
      <c r="E10143" s="531"/>
      <c r="F10143" s="531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2" t="str">
        <f t="shared" si="508"/>
        <v/>
      </c>
      <c r="E10144" s="531"/>
      <c r="F10144" s="531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2" t="str">
        <f t="shared" si="508"/>
        <v/>
      </c>
      <c r="E10145" s="531"/>
      <c r="F10145" s="531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2" t="str">
        <f t="shared" si="508"/>
        <v/>
      </c>
      <c r="E10146" s="531"/>
      <c r="F10146" s="531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2" t="str">
        <f t="shared" si="508"/>
        <v/>
      </c>
      <c r="E10147" s="531"/>
      <c r="F10147" s="531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2" t="str">
        <f t="shared" si="508"/>
        <v/>
      </c>
      <c r="E10148" s="531"/>
      <c r="F10148" s="531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2" t="str">
        <f t="shared" si="508"/>
        <v/>
      </c>
      <c r="E10149" s="531"/>
      <c r="F10149" s="531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2" t="str">
        <f t="shared" si="508"/>
        <v/>
      </c>
      <c r="E10150" s="531"/>
      <c r="F10150" s="531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2" t="str">
        <f t="shared" si="508"/>
        <v/>
      </c>
      <c r="E10151" s="531"/>
      <c r="F10151" s="531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2" t="str">
        <f t="shared" si="508"/>
        <v/>
      </c>
      <c r="E10152" s="531"/>
      <c r="F10152" s="531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2" t="str">
        <f t="shared" si="508"/>
        <v/>
      </c>
      <c r="E10153" s="531"/>
      <c r="F10153" s="531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2" t="str">
        <f t="shared" si="508"/>
        <v/>
      </c>
      <c r="E10154" s="531"/>
      <c r="F10154" s="531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2" t="str">
        <f t="shared" si="508"/>
        <v/>
      </c>
      <c r="E10155" s="531"/>
      <c r="F10155" s="531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2" t="str">
        <f t="shared" si="508"/>
        <v/>
      </c>
      <c r="E10156" s="531"/>
      <c r="F10156" s="531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2" t="str">
        <f t="shared" si="508"/>
        <v/>
      </c>
      <c r="E10157" s="531"/>
      <c r="F10157" s="531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2" t="str">
        <f t="shared" si="508"/>
        <v/>
      </c>
      <c r="E10158" s="531"/>
      <c r="F10158" s="531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2" t="str">
        <f t="shared" si="508"/>
        <v/>
      </c>
      <c r="E10159" s="531"/>
      <c r="F10159" s="531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2" t="str">
        <f t="shared" si="508"/>
        <v/>
      </c>
      <c r="E10160" s="531"/>
      <c r="F10160" s="531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2" t="str">
        <f t="shared" si="508"/>
        <v/>
      </c>
      <c r="E10161" s="531"/>
      <c r="F10161" s="531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2" t="str">
        <f t="shared" si="508"/>
        <v/>
      </c>
      <c r="E10162" s="531"/>
      <c r="F10162" s="531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2" t="str">
        <f t="shared" si="508"/>
        <v/>
      </c>
      <c r="E10163" s="531"/>
      <c r="F10163" s="531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2" t="str">
        <f t="shared" si="508"/>
        <v/>
      </c>
      <c r="E10164" s="531"/>
      <c r="F10164" s="531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2" t="str">
        <f t="shared" si="508"/>
        <v/>
      </c>
      <c r="E10165" s="531"/>
      <c r="F10165" s="531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2" t="str">
        <f t="shared" si="508"/>
        <v/>
      </c>
      <c r="E10166" s="531"/>
      <c r="F10166" s="531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2" t="str">
        <f t="shared" si="508"/>
        <v/>
      </c>
      <c r="E10167" s="531"/>
      <c r="F10167" s="531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2" t="str">
        <f t="shared" si="508"/>
        <v/>
      </c>
      <c r="E10168" s="531"/>
      <c r="F10168" s="531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2" t="str">
        <f t="shared" si="508"/>
        <v/>
      </c>
      <c r="E10169" s="531"/>
      <c r="F10169" s="531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2" t="str">
        <f t="shared" si="508"/>
        <v/>
      </c>
      <c r="E10170" s="531"/>
      <c r="F10170" s="531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2" t="str">
        <f t="shared" si="508"/>
        <v/>
      </c>
      <c r="E10171" s="531"/>
      <c r="F10171" s="531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2" t="str">
        <f t="shared" si="508"/>
        <v/>
      </c>
      <c r="E10172" s="531"/>
      <c r="F10172" s="531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2" t="str">
        <f t="shared" si="508"/>
        <v/>
      </c>
      <c r="E10173" s="531"/>
      <c r="F10173" s="531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2" t="str">
        <f t="shared" si="508"/>
        <v/>
      </c>
      <c r="E10174" s="531"/>
      <c r="F10174" s="531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2" t="str">
        <f t="shared" si="508"/>
        <v/>
      </c>
      <c r="E10175" s="531"/>
      <c r="F10175" s="531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2" t="str">
        <f t="shared" si="508"/>
        <v/>
      </c>
      <c r="E10176" s="531"/>
      <c r="F10176" s="531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2" t="str">
        <f t="shared" si="508"/>
        <v/>
      </c>
      <c r="E10177" s="531"/>
      <c r="F10177" s="531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2" t="str">
        <f t="shared" si="508"/>
        <v/>
      </c>
      <c r="E10178" s="531"/>
      <c r="F10178" s="531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2" t="str">
        <f t="shared" si="508"/>
        <v/>
      </c>
      <c r="E10179" s="531"/>
      <c r="F10179" s="531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2" t="str">
        <f t="shared" si="508"/>
        <v/>
      </c>
      <c r="E10180" s="531"/>
      <c r="F10180" s="531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2" t="str">
        <f t="shared" si="508"/>
        <v/>
      </c>
      <c r="E10181" s="531"/>
      <c r="F10181" s="531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2" t="str">
        <f t="shared" si="508"/>
        <v/>
      </c>
      <c r="E10182" s="531"/>
      <c r="F10182" s="531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2" t="str">
        <f t="shared" si="508"/>
        <v/>
      </c>
      <c r="E10183" s="531"/>
      <c r="F10183" s="531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2" t="str">
        <f t="shared" si="508"/>
        <v/>
      </c>
      <c r="E10184" s="531"/>
      <c r="F10184" s="531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2" t="str">
        <f t="shared" ref="D10185:D10248" si="511">IF(A10185&lt;&gt;"",PROPER(TEXT(A10185,"Mmmm")),"")</f>
        <v/>
      </c>
      <c r="E10185" s="531"/>
      <c r="F10185" s="531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2" t="str">
        <f t="shared" si="511"/>
        <v/>
      </c>
      <c r="E10186" s="531"/>
      <c r="F10186" s="531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2" t="str">
        <f t="shared" si="511"/>
        <v/>
      </c>
      <c r="E10187" s="531"/>
      <c r="F10187" s="531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2" t="str">
        <f t="shared" si="511"/>
        <v/>
      </c>
      <c r="E10188" s="531"/>
      <c r="F10188" s="531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2" t="str">
        <f t="shared" si="511"/>
        <v/>
      </c>
      <c r="E10189" s="531"/>
      <c r="F10189" s="531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2" t="str">
        <f t="shared" si="511"/>
        <v/>
      </c>
      <c r="E10190" s="531"/>
      <c r="F10190" s="531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2" t="str">
        <f t="shared" si="511"/>
        <v/>
      </c>
      <c r="E10191" s="531"/>
      <c r="F10191" s="531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2" t="str">
        <f t="shared" si="511"/>
        <v/>
      </c>
      <c r="E10192" s="531"/>
      <c r="F10192" s="531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2" t="str">
        <f t="shared" si="511"/>
        <v/>
      </c>
      <c r="E10193" s="531"/>
      <c r="F10193" s="531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2" t="str">
        <f t="shared" si="511"/>
        <v/>
      </c>
      <c r="E10194" s="531"/>
      <c r="F10194" s="531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2" t="str">
        <f t="shared" si="511"/>
        <v/>
      </c>
      <c r="E10195" s="531"/>
      <c r="F10195" s="531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2" t="str">
        <f t="shared" si="511"/>
        <v/>
      </c>
      <c r="E10196" s="531"/>
      <c r="F10196" s="531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2" t="str">
        <f t="shared" si="511"/>
        <v/>
      </c>
      <c r="E10197" s="531"/>
      <c r="F10197" s="531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2" t="str">
        <f t="shared" si="511"/>
        <v/>
      </c>
      <c r="E10198" s="531"/>
      <c r="F10198" s="531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2" t="str">
        <f t="shared" si="511"/>
        <v/>
      </c>
      <c r="E10199" s="531"/>
      <c r="F10199" s="531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2" t="str">
        <f t="shared" si="511"/>
        <v/>
      </c>
      <c r="E10200" s="531"/>
      <c r="F10200" s="531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2" t="str">
        <f t="shared" si="511"/>
        <v/>
      </c>
      <c r="E10201" s="531"/>
      <c r="F10201" s="531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2" t="str">
        <f t="shared" si="511"/>
        <v/>
      </c>
      <c r="E10202" s="531"/>
      <c r="F10202" s="531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2" t="str">
        <f t="shared" si="511"/>
        <v/>
      </c>
      <c r="E10203" s="531"/>
      <c r="F10203" s="531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2" t="str">
        <f t="shared" si="511"/>
        <v/>
      </c>
      <c r="E10204" s="531"/>
      <c r="F10204" s="531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2" t="str">
        <f t="shared" si="511"/>
        <v/>
      </c>
      <c r="E10205" s="531"/>
      <c r="F10205" s="531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2" t="str">
        <f t="shared" si="511"/>
        <v/>
      </c>
      <c r="E10206" s="531"/>
      <c r="F10206" s="531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2" t="str">
        <f t="shared" si="511"/>
        <v/>
      </c>
      <c r="E10207" s="531"/>
      <c r="F10207" s="531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2" t="str">
        <f t="shared" si="511"/>
        <v/>
      </c>
      <c r="E10208" s="531"/>
      <c r="F10208" s="531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2" t="str">
        <f t="shared" si="511"/>
        <v/>
      </c>
      <c r="E10209" s="531"/>
      <c r="F10209" s="531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2" t="str">
        <f t="shared" si="511"/>
        <v/>
      </c>
      <c r="E10210" s="531"/>
      <c r="F10210" s="531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2" t="str">
        <f t="shared" si="511"/>
        <v/>
      </c>
      <c r="E10211" s="531"/>
      <c r="F10211" s="531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2" t="str">
        <f t="shared" si="511"/>
        <v/>
      </c>
      <c r="E10212" s="531"/>
      <c r="F10212" s="531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2" t="str">
        <f t="shared" si="511"/>
        <v/>
      </c>
      <c r="E10213" s="531"/>
      <c r="F10213" s="531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2" t="str">
        <f t="shared" si="511"/>
        <v/>
      </c>
      <c r="E10214" s="531"/>
      <c r="F10214" s="531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2" t="str">
        <f t="shared" si="511"/>
        <v/>
      </c>
      <c r="E10215" s="531"/>
      <c r="F10215" s="531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2" t="str">
        <f t="shared" si="511"/>
        <v/>
      </c>
      <c r="E10216" s="531"/>
      <c r="F10216" s="531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2" t="str">
        <f t="shared" si="511"/>
        <v/>
      </c>
      <c r="E10217" s="531"/>
      <c r="F10217" s="531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2" t="str">
        <f t="shared" si="511"/>
        <v/>
      </c>
      <c r="E10218" s="531"/>
      <c r="F10218" s="531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2" t="str">
        <f t="shared" si="511"/>
        <v/>
      </c>
      <c r="E10219" s="531"/>
      <c r="F10219" s="531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2" t="str">
        <f t="shared" si="511"/>
        <v/>
      </c>
      <c r="E10220" s="531"/>
      <c r="F10220" s="531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2" t="str">
        <f t="shared" si="511"/>
        <v/>
      </c>
      <c r="E10221" s="531"/>
      <c r="F10221" s="531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2" t="str">
        <f t="shared" si="511"/>
        <v/>
      </c>
      <c r="E10222" s="531"/>
      <c r="F10222" s="531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2" t="str">
        <f t="shared" si="511"/>
        <v/>
      </c>
      <c r="E10223" s="531"/>
      <c r="F10223" s="531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2" t="str">
        <f t="shared" si="511"/>
        <v/>
      </c>
      <c r="E10224" s="531"/>
      <c r="F10224" s="531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2" t="str">
        <f t="shared" si="511"/>
        <v/>
      </c>
      <c r="E10225" s="531"/>
      <c r="F10225" s="531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2" t="str">
        <f t="shared" si="511"/>
        <v/>
      </c>
      <c r="E10226" s="531"/>
      <c r="F10226" s="531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2" t="str">
        <f t="shared" si="511"/>
        <v/>
      </c>
      <c r="E10227" s="531"/>
      <c r="F10227" s="531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2" t="str">
        <f t="shared" si="511"/>
        <v/>
      </c>
      <c r="E10228" s="531"/>
      <c r="F10228" s="531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2" t="str">
        <f t="shared" si="511"/>
        <v/>
      </c>
      <c r="E10229" s="531"/>
      <c r="F10229" s="531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2" t="str">
        <f t="shared" si="511"/>
        <v/>
      </c>
      <c r="E10230" s="531"/>
      <c r="F10230" s="531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2" t="str">
        <f t="shared" si="511"/>
        <v/>
      </c>
      <c r="E10231" s="531"/>
      <c r="F10231" s="531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2" t="str">
        <f t="shared" si="511"/>
        <v/>
      </c>
      <c r="E10232" s="531"/>
      <c r="F10232" s="531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2" t="str">
        <f t="shared" si="511"/>
        <v/>
      </c>
      <c r="E10233" s="531"/>
      <c r="F10233" s="531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2" t="str">
        <f t="shared" si="511"/>
        <v/>
      </c>
      <c r="E10234" s="531"/>
      <c r="F10234" s="531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2" t="str">
        <f t="shared" si="511"/>
        <v/>
      </c>
      <c r="E10235" s="531"/>
      <c r="F10235" s="531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2" t="str">
        <f t="shared" si="511"/>
        <v/>
      </c>
      <c r="E10236" s="531"/>
      <c r="F10236" s="531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2" t="str">
        <f t="shared" si="511"/>
        <v/>
      </c>
      <c r="E10237" s="531"/>
      <c r="F10237" s="531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2" t="str">
        <f t="shared" si="511"/>
        <v/>
      </c>
      <c r="E10238" s="531"/>
      <c r="F10238" s="531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2" t="str">
        <f t="shared" si="511"/>
        <v/>
      </c>
      <c r="E10239" s="531"/>
      <c r="F10239" s="531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2" t="str">
        <f t="shared" si="511"/>
        <v/>
      </c>
      <c r="E10240" s="531"/>
      <c r="F10240" s="531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2" t="str">
        <f t="shared" si="511"/>
        <v/>
      </c>
      <c r="E10241" s="531"/>
      <c r="F10241" s="531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2" t="str">
        <f t="shared" si="511"/>
        <v/>
      </c>
      <c r="E10242" s="531"/>
      <c r="F10242" s="531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2" t="str">
        <f t="shared" si="511"/>
        <v/>
      </c>
      <c r="E10243" s="531"/>
      <c r="F10243" s="531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2" t="str">
        <f t="shared" si="511"/>
        <v/>
      </c>
      <c r="E10244" s="531"/>
      <c r="F10244" s="531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2" t="str">
        <f t="shared" si="511"/>
        <v/>
      </c>
      <c r="E10245" s="531"/>
      <c r="F10245" s="531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2" t="str">
        <f t="shared" si="511"/>
        <v/>
      </c>
      <c r="E10246" s="531"/>
      <c r="F10246" s="531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2" t="str">
        <f t="shared" si="511"/>
        <v/>
      </c>
      <c r="E10247" s="531"/>
      <c r="F10247" s="531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2" t="str">
        <f t="shared" si="511"/>
        <v/>
      </c>
      <c r="E10248" s="531"/>
      <c r="F10248" s="531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2" t="str">
        <f t="shared" ref="D10249:D10312" si="514">IF(A10249&lt;&gt;"",PROPER(TEXT(A10249,"Mmmm")),"")</f>
        <v/>
      </c>
      <c r="E10249" s="531"/>
      <c r="F10249" s="531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2" t="str">
        <f t="shared" si="514"/>
        <v/>
      </c>
      <c r="E10250" s="531"/>
      <c r="F10250" s="531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2" t="str">
        <f t="shared" si="514"/>
        <v/>
      </c>
      <c r="E10251" s="531"/>
      <c r="F10251" s="531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2" t="str">
        <f t="shared" si="514"/>
        <v/>
      </c>
      <c r="E10252" s="531"/>
      <c r="F10252" s="531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2" t="str">
        <f t="shared" si="514"/>
        <v/>
      </c>
      <c r="E10253" s="531"/>
      <c r="F10253" s="531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2" t="str">
        <f t="shared" si="514"/>
        <v/>
      </c>
      <c r="E10254" s="531"/>
      <c r="F10254" s="531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2" t="str">
        <f t="shared" si="514"/>
        <v/>
      </c>
      <c r="E10255" s="531"/>
      <c r="F10255" s="531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2" t="str">
        <f t="shared" si="514"/>
        <v/>
      </c>
      <c r="E10256" s="531"/>
      <c r="F10256" s="531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2" t="str">
        <f t="shared" si="514"/>
        <v/>
      </c>
      <c r="E10257" s="531"/>
      <c r="F10257" s="531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2" t="str">
        <f t="shared" si="514"/>
        <v/>
      </c>
      <c r="E10258" s="531"/>
      <c r="F10258" s="531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2" t="str">
        <f t="shared" si="514"/>
        <v/>
      </c>
      <c r="E10259" s="531"/>
      <c r="F10259" s="531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2" t="str">
        <f t="shared" si="514"/>
        <v/>
      </c>
      <c r="E10260" s="531"/>
      <c r="F10260" s="531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2" t="str">
        <f t="shared" si="514"/>
        <v/>
      </c>
      <c r="E10261" s="531"/>
      <c r="F10261" s="531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2" t="str">
        <f t="shared" si="514"/>
        <v/>
      </c>
      <c r="E10262" s="531"/>
      <c r="F10262" s="531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2" t="str">
        <f t="shared" si="514"/>
        <v/>
      </c>
      <c r="E10263" s="531"/>
      <c r="F10263" s="531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2" t="str">
        <f t="shared" si="514"/>
        <v/>
      </c>
      <c r="E10264" s="531"/>
      <c r="F10264" s="531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2" t="str">
        <f t="shared" si="514"/>
        <v/>
      </c>
      <c r="E10265" s="531"/>
      <c r="F10265" s="531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2" t="str">
        <f t="shared" si="514"/>
        <v/>
      </c>
      <c r="E10266" s="531"/>
      <c r="F10266" s="531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2" t="str">
        <f t="shared" si="514"/>
        <v/>
      </c>
      <c r="E10267" s="531"/>
      <c r="F10267" s="531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2" t="str">
        <f t="shared" si="514"/>
        <v/>
      </c>
      <c r="E10268" s="531"/>
      <c r="F10268" s="531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2" t="str">
        <f t="shared" si="514"/>
        <v/>
      </c>
      <c r="E10269" s="531"/>
      <c r="F10269" s="531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2" t="str">
        <f t="shared" si="514"/>
        <v/>
      </c>
      <c r="E10270" s="531"/>
      <c r="F10270" s="531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2" t="str">
        <f t="shared" si="514"/>
        <v/>
      </c>
      <c r="E10271" s="531"/>
      <c r="F10271" s="531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2" t="str">
        <f t="shared" si="514"/>
        <v/>
      </c>
      <c r="E10272" s="531"/>
      <c r="F10272" s="531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2" t="str">
        <f t="shared" si="514"/>
        <v/>
      </c>
      <c r="E10273" s="531"/>
      <c r="F10273" s="531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2" t="str">
        <f t="shared" si="514"/>
        <v/>
      </c>
      <c r="E10274" s="531"/>
      <c r="F10274" s="531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2" t="str">
        <f t="shared" si="514"/>
        <v/>
      </c>
      <c r="E10275" s="531"/>
      <c r="F10275" s="531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2" t="str">
        <f t="shared" si="514"/>
        <v/>
      </c>
      <c r="E10276" s="531"/>
      <c r="F10276" s="531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2" t="str">
        <f t="shared" si="514"/>
        <v/>
      </c>
      <c r="E10277" s="531"/>
      <c r="F10277" s="531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2" t="str">
        <f t="shared" si="514"/>
        <v/>
      </c>
      <c r="E10278" s="531"/>
      <c r="F10278" s="531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2" t="str">
        <f t="shared" si="514"/>
        <v/>
      </c>
      <c r="E10279" s="531"/>
      <c r="F10279" s="531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2" t="str">
        <f t="shared" si="514"/>
        <v/>
      </c>
      <c r="E10280" s="531"/>
      <c r="F10280" s="531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2" t="str">
        <f t="shared" si="514"/>
        <v/>
      </c>
      <c r="E10281" s="531"/>
      <c r="F10281" s="531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2" t="str">
        <f t="shared" si="514"/>
        <v/>
      </c>
      <c r="E10282" s="531"/>
      <c r="F10282" s="531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2" t="str">
        <f t="shared" si="514"/>
        <v/>
      </c>
      <c r="E10283" s="531"/>
      <c r="F10283" s="531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2" t="str">
        <f t="shared" si="514"/>
        <v/>
      </c>
      <c r="E10284" s="531"/>
      <c r="F10284" s="531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2" t="str">
        <f t="shared" si="514"/>
        <v/>
      </c>
      <c r="E10285" s="531"/>
      <c r="F10285" s="531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2" t="str">
        <f t="shared" si="514"/>
        <v/>
      </c>
      <c r="E10286" s="531"/>
      <c r="F10286" s="531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2" t="str">
        <f t="shared" si="514"/>
        <v/>
      </c>
      <c r="E10287" s="531"/>
      <c r="F10287" s="531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2" t="str">
        <f t="shared" si="514"/>
        <v/>
      </c>
      <c r="E10288" s="531"/>
      <c r="F10288" s="531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2" t="str">
        <f t="shared" si="514"/>
        <v/>
      </c>
      <c r="E10289" s="531"/>
      <c r="F10289" s="531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2" t="str">
        <f t="shared" si="514"/>
        <v/>
      </c>
      <c r="E10290" s="531"/>
      <c r="F10290" s="531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2" t="str">
        <f t="shared" si="514"/>
        <v/>
      </c>
      <c r="E10291" s="531"/>
      <c r="F10291" s="531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2" t="str">
        <f t="shared" si="514"/>
        <v/>
      </c>
      <c r="E10292" s="531"/>
      <c r="F10292" s="531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2" t="str">
        <f t="shared" si="514"/>
        <v/>
      </c>
      <c r="E10293" s="531"/>
      <c r="F10293" s="531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2" t="str">
        <f t="shared" si="514"/>
        <v/>
      </c>
      <c r="E10294" s="531"/>
      <c r="F10294" s="531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2" t="str">
        <f t="shared" si="514"/>
        <v/>
      </c>
      <c r="E10295" s="531"/>
      <c r="F10295" s="531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2" t="str">
        <f t="shared" si="514"/>
        <v/>
      </c>
      <c r="E10296" s="531"/>
      <c r="F10296" s="531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2" t="str">
        <f t="shared" si="514"/>
        <v/>
      </c>
      <c r="E10297" s="531"/>
      <c r="F10297" s="531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2" t="str">
        <f t="shared" si="514"/>
        <v/>
      </c>
      <c r="E10298" s="531"/>
      <c r="F10298" s="531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2" t="str">
        <f t="shared" si="514"/>
        <v/>
      </c>
      <c r="E10299" s="531"/>
      <c r="F10299" s="531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2" t="str">
        <f t="shared" si="514"/>
        <v/>
      </c>
      <c r="E10300" s="531"/>
      <c r="F10300" s="531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2" t="str">
        <f t="shared" si="514"/>
        <v/>
      </c>
      <c r="E10301" s="531"/>
      <c r="F10301" s="531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2" t="str">
        <f t="shared" si="514"/>
        <v/>
      </c>
      <c r="E10302" s="531"/>
      <c r="F10302" s="531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2" t="str">
        <f t="shared" si="514"/>
        <v/>
      </c>
      <c r="E10303" s="531"/>
      <c r="F10303" s="531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2" t="str">
        <f t="shared" si="514"/>
        <v/>
      </c>
      <c r="E10304" s="531"/>
      <c r="F10304" s="531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2" t="str">
        <f t="shared" si="514"/>
        <v/>
      </c>
      <c r="E10305" s="531"/>
      <c r="F10305" s="531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2" t="str">
        <f t="shared" si="514"/>
        <v/>
      </c>
      <c r="E10306" s="531"/>
      <c r="F10306" s="531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2" t="str">
        <f t="shared" si="514"/>
        <v/>
      </c>
      <c r="E10307" s="531"/>
      <c r="F10307" s="531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2" t="str">
        <f t="shared" si="514"/>
        <v/>
      </c>
      <c r="E10308" s="531"/>
      <c r="F10308" s="531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2" t="str">
        <f t="shared" si="514"/>
        <v/>
      </c>
      <c r="E10309" s="531"/>
      <c r="F10309" s="531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2" t="str">
        <f t="shared" si="514"/>
        <v/>
      </c>
      <c r="E10310" s="531"/>
      <c r="F10310" s="531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2" t="str">
        <f t="shared" si="514"/>
        <v/>
      </c>
      <c r="E10311" s="531"/>
      <c r="F10311" s="531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2" t="str">
        <f t="shared" si="514"/>
        <v/>
      </c>
      <c r="E10312" s="531"/>
      <c r="F10312" s="531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2" t="str">
        <f t="shared" ref="D10313:D10376" si="517">IF(A10313&lt;&gt;"",PROPER(TEXT(A10313,"Mmmm")),"")</f>
        <v/>
      </c>
      <c r="E10313" s="531"/>
      <c r="F10313" s="531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2" t="str">
        <f t="shared" si="517"/>
        <v/>
      </c>
      <c r="E10314" s="531"/>
      <c r="F10314" s="531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2" t="str">
        <f t="shared" si="517"/>
        <v/>
      </c>
      <c r="E10315" s="531"/>
      <c r="F10315" s="531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2" t="str">
        <f t="shared" si="517"/>
        <v/>
      </c>
      <c r="E10316" s="531"/>
      <c r="F10316" s="531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2" t="str">
        <f t="shared" si="517"/>
        <v/>
      </c>
      <c r="E10317" s="531"/>
      <c r="F10317" s="531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2" t="str">
        <f t="shared" si="517"/>
        <v/>
      </c>
      <c r="E10318" s="531"/>
      <c r="F10318" s="531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2" t="str">
        <f t="shared" si="517"/>
        <v/>
      </c>
      <c r="E10319" s="531"/>
      <c r="F10319" s="531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2" t="str">
        <f t="shared" si="517"/>
        <v/>
      </c>
      <c r="E10320" s="531"/>
      <c r="F10320" s="531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2" t="str">
        <f t="shared" si="517"/>
        <v/>
      </c>
      <c r="E10321" s="531"/>
      <c r="F10321" s="531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2" t="str">
        <f t="shared" si="517"/>
        <v/>
      </c>
      <c r="E10322" s="531"/>
      <c r="F10322" s="531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2" t="str">
        <f t="shared" si="517"/>
        <v/>
      </c>
      <c r="E10323" s="531"/>
      <c r="F10323" s="531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2" t="str">
        <f t="shared" si="517"/>
        <v/>
      </c>
      <c r="E10324" s="531"/>
      <c r="F10324" s="531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2" t="str">
        <f t="shared" si="517"/>
        <v/>
      </c>
      <c r="E10325" s="531"/>
      <c r="F10325" s="531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2" t="str">
        <f t="shared" si="517"/>
        <v/>
      </c>
      <c r="E10326" s="531"/>
      <c r="F10326" s="531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2" t="str">
        <f t="shared" si="517"/>
        <v/>
      </c>
      <c r="E10327" s="531"/>
      <c r="F10327" s="531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2" t="str">
        <f t="shared" si="517"/>
        <v/>
      </c>
      <c r="E10328" s="531"/>
      <c r="F10328" s="531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2" t="str">
        <f t="shared" si="517"/>
        <v/>
      </c>
      <c r="E10329" s="531"/>
      <c r="F10329" s="531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2" t="str">
        <f t="shared" si="517"/>
        <v/>
      </c>
      <c r="E10330" s="531"/>
      <c r="F10330" s="531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2" t="str">
        <f t="shared" si="517"/>
        <v/>
      </c>
      <c r="E10331" s="531"/>
      <c r="F10331" s="531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2" t="str">
        <f t="shared" si="517"/>
        <v/>
      </c>
      <c r="E10332" s="531"/>
      <c r="F10332" s="531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2" t="str">
        <f t="shared" si="517"/>
        <v/>
      </c>
      <c r="E10333" s="531"/>
      <c r="F10333" s="531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2" t="str">
        <f t="shared" si="517"/>
        <v/>
      </c>
      <c r="E10334" s="531"/>
      <c r="F10334" s="531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2" t="str">
        <f t="shared" si="517"/>
        <v/>
      </c>
      <c r="E10335" s="531"/>
      <c r="F10335" s="531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2" t="str">
        <f t="shared" si="517"/>
        <v/>
      </c>
      <c r="E10336" s="531"/>
      <c r="F10336" s="531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2" t="str">
        <f t="shared" si="517"/>
        <v/>
      </c>
      <c r="E10337" s="531"/>
      <c r="F10337" s="531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2" t="str">
        <f t="shared" si="517"/>
        <v/>
      </c>
      <c r="E10338" s="531"/>
      <c r="F10338" s="531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2" t="str">
        <f t="shared" si="517"/>
        <v/>
      </c>
      <c r="E10339" s="531"/>
      <c r="F10339" s="531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2" t="str">
        <f t="shared" si="517"/>
        <v/>
      </c>
      <c r="E10340" s="531"/>
      <c r="F10340" s="531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2" t="str">
        <f t="shared" si="517"/>
        <v/>
      </c>
      <c r="E10341" s="531"/>
      <c r="F10341" s="531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2" t="str">
        <f t="shared" si="517"/>
        <v/>
      </c>
      <c r="E10342" s="531"/>
      <c r="F10342" s="531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2" t="str">
        <f t="shared" si="517"/>
        <v/>
      </c>
      <c r="E10343" s="531"/>
      <c r="F10343" s="531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2" t="str">
        <f t="shared" si="517"/>
        <v/>
      </c>
      <c r="E10344" s="531"/>
      <c r="F10344" s="531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2" t="str">
        <f t="shared" si="517"/>
        <v/>
      </c>
      <c r="E10345" s="531"/>
      <c r="F10345" s="531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2" t="str">
        <f t="shared" si="517"/>
        <v/>
      </c>
      <c r="E10346" s="531"/>
      <c r="F10346" s="531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2" t="str">
        <f t="shared" si="517"/>
        <v/>
      </c>
      <c r="E10347" s="531"/>
      <c r="F10347" s="531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2" t="str">
        <f t="shared" si="517"/>
        <v/>
      </c>
      <c r="E10348" s="531"/>
      <c r="F10348" s="531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2" t="str">
        <f t="shared" si="517"/>
        <v/>
      </c>
      <c r="E10349" s="531"/>
      <c r="F10349" s="531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2" t="str">
        <f t="shared" si="517"/>
        <v/>
      </c>
      <c r="E10350" s="531"/>
      <c r="F10350" s="531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2" t="str">
        <f t="shared" si="517"/>
        <v/>
      </c>
      <c r="E10351" s="531"/>
      <c r="F10351" s="531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2" t="str">
        <f t="shared" si="517"/>
        <v/>
      </c>
      <c r="E10352" s="531"/>
      <c r="F10352" s="531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2" t="str">
        <f t="shared" si="517"/>
        <v/>
      </c>
      <c r="E10353" s="531"/>
      <c r="F10353" s="531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2" t="str">
        <f t="shared" si="517"/>
        <v/>
      </c>
      <c r="E10354" s="531"/>
      <c r="F10354" s="531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2" t="str">
        <f t="shared" si="517"/>
        <v/>
      </c>
      <c r="E10355" s="531"/>
      <c r="F10355" s="531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2" t="str">
        <f t="shared" si="517"/>
        <v/>
      </c>
      <c r="E10356" s="531"/>
      <c r="F10356" s="531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2" t="str">
        <f t="shared" si="517"/>
        <v/>
      </c>
      <c r="E10357" s="531"/>
      <c r="F10357" s="531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2" t="str">
        <f t="shared" si="517"/>
        <v/>
      </c>
      <c r="E10358" s="531"/>
      <c r="F10358" s="531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2" t="str">
        <f t="shared" si="517"/>
        <v/>
      </c>
      <c r="E10359" s="531"/>
      <c r="F10359" s="531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2" t="str">
        <f t="shared" si="517"/>
        <v/>
      </c>
      <c r="E10360" s="531"/>
      <c r="F10360" s="531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2" t="str">
        <f t="shared" si="517"/>
        <v/>
      </c>
      <c r="E10361" s="531"/>
      <c r="F10361" s="531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2" t="str">
        <f t="shared" si="517"/>
        <v/>
      </c>
      <c r="E10362" s="531"/>
      <c r="F10362" s="531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2" t="str">
        <f t="shared" si="517"/>
        <v/>
      </c>
      <c r="E10363" s="531"/>
      <c r="F10363" s="531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2" t="str">
        <f t="shared" si="517"/>
        <v/>
      </c>
      <c r="E10364" s="531"/>
      <c r="F10364" s="531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2" t="str">
        <f t="shared" si="517"/>
        <v/>
      </c>
      <c r="E10365" s="531"/>
      <c r="F10365" s="531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2" t="str">
        <f t="shared" si="517"/>
        <v/>
      </c>
      <c r="E10366" s="531"/>
      <c r="F10366" s="531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2" t="str">
        <f t="shared" si="517"/>
        <v/>
      </c>
      <c r="E10367" s="531"/>
      <c r="F10367" s="531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2" t="str">
        <f t="shared" si="517"/>
        <v/>
      </c>
      <c r="E10368" s="531"/>
      <c r="F10368" s="531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2" t="str">
        <f t="shared" si="517"/>
        <v/>
      </c>
      <c r="E10369" s="531"/>
      <c r="F10369" s="531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2" t="str">
        <f t="shared" si="517"/>
        <v/>
      </c>
      <c r="E10370" s="531"/>
      <c r="F10370" s="531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2" t="str">
        <f t="shared" si="517"/>
        <v/>
      </c>
      <c r="E10371" s="531"/>
      <c r="F10371" s="531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2" t="str">
        <f t="shared" si="517"/>
        <v/>
      </c>
      <c r="E10372" s="531"/>
      <c r="F10372" s="531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2" t="str">
        <f t="shared" si="517"/>
        <v/>
      </c>
      <c r="E10373" s="531"/>
      <c r="F10373" s="531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2" t="str">
        <f t="shared" si="517"/>
        <v/>
      </c>
      <c r="E10374" s="531"/>
      <c r="F10374" s="531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2" t="str">
        <f t="shared" si="517"/>
        <v/>
      </c>
      <c r="E10375" s="531"/>
      <c r="F10375" s="531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2" t="str">
        <f t="shared" si="517"/>
        <v/>
      </c>
      <c r="E10376" s="531"/>
      <c r="F10376" s="531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2" t="str">
        <f t="shared" ref="D10377:D10440" si="520">IF(A10377&lt;&gt;"",PROPER(TEXT(A10377,"Mmmm")),"")</f>
        <v/>
      </c>
      <c r="E10377" s="531"/>
      <c r="F10377" s="531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2" t="str">
        <f t="shared" si="520"/>
        <v/>
      </c>
      <c r="E10378" s="531"/>
      <c r="F10378" s="531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2" t="str">
        <f t="shared" si="520"/>
        <v/>
      </c>
      <c r="E10379" s="531"/>
      <c r="F10379" s="531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2" t="str">
        <f t="shared" si="520"/>
        <v/>
      </c>
      <c r="E10380" s="531"/>
      <c r="F10380" s="531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2" t="str">
        <f t="shared" si="520"/>
        <v/>
      </c>
      <c r="E10381" s="531"/>
      <c r="F10381" s="531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2" t="str">
        <f t="shared" si="520"/>
        <v/>
      </c>
      <c r="E10382" s="531"/>
      <c r="F10382" s="531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2" t="str">
        <f t="shared" si="520"/>
        <v/>
      </c>
      <c r="E10383" s="531"/>
      <c r="F10383" s="531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2" t="str">
        <f t="shared" si="520"/>
        <v/>
      </c>
      <c r="E10384" s="531"/>
      <c r="F10384" s="531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2" t="str">
        <f t="shared" si="520"/>
        <v/>
      </c>
      <c r="E10385" s="531"/>
      <c r="F10385" s="531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2" t="str">
        <f t="shared" si="520"/>
        <v/>
      </c>
      <c r="E10386" s="531"/>
      <c r="F10386" s="531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2" t="str">
        <f t="shared" si="520"/>
        <v/>
      </c>
      <c r="E10387" s="531"/>
      <c r="F10387" s="531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2" t="str">
        <f t="shared" si="520"/>
        <v/>
      </c>
      <c r="E10388" s="531"/>
      <c r="F10388" s="531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2" t="str">
        <f t="shared" si="520"/>
        <v/>
      </c>
      <c r="E10389" s="531"/>
      <c r="F10389" s="531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2" t="str">
        <f t="shared" si="520"/>
        <v/>
      </c>
      <c r="E10390" s="531"/>
      <c r="F10390" s="531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2" t="str">
        <f t="shared" si="520"/>
        <v/>
      </c>
      <c r="E10391" s="531"/>
      <c r="F10391" s="531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2" t="str">
        <f t="shared" si="520"/>
        <v/>
      </c>
      <c r="E10392" s="531"/>
      <c r="F10392" s="531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2" t="str">
        <f t="shared" si="520"/>
        <v/>
      </c>
      <c r="E10393" s="531"/>
      <c r="F10393" s="531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2" t="str">
        <f t="shared" si="520"/>
        <v/>
      </c>
      <c r="E10394" s="531"/>
      <c r="F10394" s="531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2" t="str">
        <f t="shared" si="520"/>
        <v/>
      </c>
      <c r="E10395" s="531"/>
      <c r="F10395" s="531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2" t="str">
        <f t="shared" si="520"/>
        <v/>
      </c>
      <c r="E10396" s="531"/>
      <c r="F10396" s="531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2" t="str">
        <f t="shared" si="520"/>
        <v/>
      </c>
      <c r="E10397" s="531"/>
      <c r="F10397" s="531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2" t="str">
        <f t="shared" si="520"/>
        <v/>
      </c>
      <c r="E10398" s="531"/>
      <c r="F10398" s="531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2" t="str">
        <f t="shared" si="520"/>
        <v/>
      </c>
      <c r="E10399" s="531"/>
      <c r="F10399" s="531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2" t="str">
        <f t="shared" si="520"/>
        <v/>
      </c>
      <c r="E10400" s="531"/>
      <c r="F10400" s="531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2" t="str">
        <f t="shared" si="520"/>
        <v/>
      </c>
      <c r="E10401" s="531"/>
      <c r="F10401" s="531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2" t="str">
        <f t="shared" si="520"/>
        <v/>
      </c>
      <c r="E10402" s="531"/>
      <c r="F10402" s="531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2" t="str">
        <f t="shared" si="520"/>
        <v/>
      </c>
      <c r="E10403" s="531"/>
      <c r="F10403" s="531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2" t="str">
        <f t="shared" si="520"/>
        <v/>
      </c>
      <c r="E10404" s="531"/>
      <c r="F10404" s="531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2" t="str">
        <f t="shared" si="520"/>
        <v/>
      </c>
      <c r="E10405" s="531"/>
      <c r="F10405" s="531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2" t="str">
        <f t="shared" si="520"/>
        <v/>
      </c>
      <c r="E10406" s="531"/>
      <c r="F10406" s="531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2" t="str">
        <f t="shared" si="520"/>
        <v/>
      </c>
      <c r="E10407" s="531"/>
      <c r="F10407" s="531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2" t="str">
        <f t="shared" si="520"/>
        <v/>
      </c>
      <c r="E10408" s="531"/>
      <c r="F10408" s="531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2" t="str">
        <f t="shared" si="520"/>
        <v/>
      </c>
      <c r="E10409" s="531"/>
      <c r="F10409" s="531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2" t="str">
        <f t="shared" si="520"/>
        <v/>
      </c>
      <c r="E10410" s="531"/>
      <c r="F10410" s="531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2" t="str">
        <f t="shared" si="520"/>
        <v/>
      </c>
      <c r="E10411" s="531"/>
      <c r="F10411" s="531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2" t="str">
        <f t="shared" si="520"/>
        <v/>
      </c>
      <c r="E10412" s="531"/>
      <c r="F10412" s="531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2" t="str">
        <f t="shared" si="520"/>
        <v/>
      </c>
      <c r="E10413" s="531"/>
      <c r="F10413" s="531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2" t="str">
        <f t="shared" si="520"/>
        <v/>
      </c>
      <c r="E10414" s="531"/>
      <c r="F10414" s="531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2" t="str">
        <f t="shared" si="520"/>
        <v/>
      </c>
      <c r="E10415" s="531"/>
      <c r="F10415" s="531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2" t="str">
        <f t="shared" si="520"/>
        <v/>
      </c>
      <c r="E10416" s="531"/>
      <c r="F10416" s="531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2" t="str">
        <f t="shared" si="520"/>
        <v/>
      </c>
      <c r="E10417" s="531"/>
      <c r="F10417" s="531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2" t="str">
        <f t="shared" si="520"/>
        <v/>
      </c>
      <c r="E10418" s="531"/>
      <c r="F10418" s="531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2" t="str">
        <f t="shared" si="520"/>
        <v/>
      </c>
      <c r="E10419" s="531"/>
      <c r="F10419" s="531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2" t="str">
        <f t="shared" si="520"/>
        <v/>
      </c>
      <c r="E10420" s="531"/>
      <c r="F10420" s="531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2" t="str">
        <f t="shared" si="520"/>
        <v/>
      </c>
      <c r="E10421" s="531"/>
      <c r="F10421" s="531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2" t="str">
        <f t="shared" si="520"/>
        <v/>
      </c>
      <c r="E10422" s="531"/>
      <c r="F10422" s="531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2" t="str">
        <f t="shared" si="520"/>
        <v/>
      </c>
      <c r="E10423" s="531"/>
      <c r="F10423" s="531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2" t="str">
        <f t="shared" si="520"/>
        <v/>
      </c>
      <c r="E10424" s="531"/>
      <c r="F10424" s="531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2" t="str">
        <f t="shared" si="520"/>
        <v/>
      </c>
      <c r="E10425" s="531"/>
      <c r="F10425" s="531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2" t="str">
        <f t="shared" si="520"/>
        <v/>
      </c>
      <c r="E10426" s="531"/>
      <c r="F10426" s="531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2" t="str">
        <f t="shared" si="520"/>
        <v/>
      </c>
      <c r="E10427" s="531"/>
      <c r="F10427" s="531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2" t="str">
        <f t="shared" si="520"/>
        <v/>
      </c>
      <c r="E10428" s="531"/>
      <c r="F10428" s="531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2" t="str">
        <f t="shared" si="520"/>
        <v/>
      </c>
      <c r="E10429" s="531"/>
      <c r="F10429" s="531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2" t="str">
        <f t="shared" si="520"/>
        <v/>
      </c>
      <c r="E10430" s="531"/>
      <c r="F10430" s="531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2" t="str">
        <f t="shared" si="520"/>
        <v/>
      </c>
      <c r="E10431" s="531"/>
      <c r="F10431" s="531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2" t="str">
        <f t="shared" si="520"/>
        <v/>
      </c>
      <c r="E10432" s="531"/>
      <c r="F10432" s="531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2" t="str">
        <f t="shared" si="520"/>
        <v/>
      </c>
      <c r="E10433" s="531"/>
      <c r="F10433" s="531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2" t="str">
        <f t="shared" si="520"/>
        <v/>
      </c>
      <c r="E10434" s="531"/>
      <c r="F10434" s="531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2" t="str">
        <f t="shared" si="520"/>
        <v/>
      </c>
      <c r="E10435" s="531"/>
      <c r="F10435" s="531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2" t="str">
        <f t="shared" si="520"/>
        <v/>
      </c>
      <c r="E10436" s="531"/>
      <c r="F10436" s="531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2" t="str">
        <f t="shared" si="520"/>
        <v/>
      </c>
      <c r="E10437" s="531"/>
      <c r="F10437" s="531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2" t="str">
        <f t="shared" si="520"/>
        <v/>
      </c>
      <c r="E10438" s="531"/>
      <c r="F10438" s="531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2" t="str">
        <f t="shared" si="520"/>
        <v/>
      </c>
      <c r="E10439" s="531"/>
      <c r="F10439" s="531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2" t="str">
        <f t="shared" si="520"/>
        <v/>
      </c>
      <c r="E10440" s="531"/>
      <c r="F10440" s="531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2" t="str">
        <f t="shared" ref="D10441:D10504" si="523">IF(A10441&lt;&gt;"",PROPER(TEXT(A10441,"Mmmm")),"")</f>
        <v/>
      </c>
      <c r="E10441" s="531"/>
      <c r="F10441" s="531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2" t="str">
        <f t="shared" si="523"/>
        <v/>
      </c>
      <c r="E10442" s="531"/>
      <c r="F10442" s="531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2" t="str">
        <f t="shared" si="523"/>
        <v/>
      </c>
      <c r="E10443" s="531"/>
      <c r="F10443" s="531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2" t="str">
        <f t="shared" si="523"/>
        <v/>
      </c>
      <c r="E10444" s="531"/>
      <c r="F10444" s="531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2" t="str">
        <f t="shared" si="523"/>
        <v/>
      </c>
      <c r="E10445" s="531"/>
      <c r="F10445" s="531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2" t="str">
        <f t="shared" si="523"/>
        <v/>
      </c>
      <c r="E10446" s="531"/>
      <c r="F10446" s="531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2" t="str">
        <f t="shared" si="523"/>
        <v/>
      </c>
      <c r="E10447" s="531"/>
      <c r="F10447" s="531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2" t="str">
        <f t="shared" si="523"/>
        <v/>
      </c>
      <c r="E10448" s="531"/>
      <c r="F10448" s="531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2" t="str">
        <f t="shared" si="523"/>
        <v/>
      </c>
      <c r="E10449" s="531"/>
      <c r="F10449" s="531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2" t="str">
        <f t="shared" si="523"/>
        <v/>
      </c>
      <c r="E10450" s="531"/>
      <c r="F10450" s="531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2" t="str">
        <f t="shared" si="523"/>
        <v/>
      </c>
      <c r="E10451" s="531"/>
      <c r="F10451" s="531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2" t="str">
        <f t="shared" si="523"/>
        <v/>
      </c>
      <c r="E10452" s="531"/>
      <c r="F10452" s="531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2" t="str">
        <f t="shared" si="523"/>
        <v/>
      </c>
      <c r="E10453" s="531"/>
      <c r="F10453" s="531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2" t="str">
        <f t="shared" si="523"/>
        <v/>
      </c>
      <c r="E10454" s="531"/>
      <c r="F10454" s="531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2" t="str">
        <f t="shared" si="523"/>
        <v/>
      </c>
      <c r="E10455" s="531"/>
      <c r="F10455" s="531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2" t="str">
        <f t="shared" si="523"/>
        <v/>
      </c>
      <c r="E10456" s="531"/>
      <c r="F10456" s="531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2" t="str">
        <f t="shared" si="523"/>
        <v/>
      </c>
      <c r="E10457" s="531"/>
      <c r="F10457" s="531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2" t="str">
        <f t="shared" si="523"/>
        <v/>
      </c>
      <c r="E10458" s="531"/>
      <c r="F10458" s="531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2" t="str">
        <f t="shared" si="523"/>
        <v/>
      </c>
      <c r="E10459" s="531"/>
      <c r="F10459" s="531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2" t="str">
        <f t="shared" si="523"/>
        <v/>
      </c>
      <c r="E10460" s="531"/>
      <c r="F10460" s="531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2" t="str">
        <f t="shared" si="523"/>
        <v/>
      </c>
      <c r="E10461" s="531"/>
      <c r="F10461" s="531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2" t="str">
        <f t="shared" si="523"/>
        <v/>
      </c>
      <c r="E10462" s="531"/>
      <c r="F10462" s="531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2" t="str">
        <f t="shared" si="523"/>
        <v/>
      </c>
      <c r="E10463" s="531"/>
      <c r="F10463" s="531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2" t="str">
        <f t="shared" si="523"/>
        <v/>
      </c>
      <c r="E10464" s="531"/>
      <c r="F10464" s="531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2" t="str">
        <f t="shared" si="523"/>
        <v/>
      </c>
      <c r="E10465" s="531"/>
      <c r="F10465" s="531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2" t="str">
        <f t="shared" si="523"/>
        <v/>
      </c>
      <c r="E10466" s="531"/>
      <c r="F10466" s="531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2" t="str">
        <f t="shared" si="523"/>
        <v/>
      </c>
      <c r="E10467" s="531"/>
      <c r="F10467" s="531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2" t="str">
        <f t="shared" si="523"/>
        <v/>
      </c>
      <c r="E10468" s="531"/>
      <c r="F10468" s="531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2" t="str">
        <f t="shared" si="523"/>
        <v/>
      </c>
      <c r="E10469" s="531"/>
      <c r="F10469" s="531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2" t="str">
        <f t="shared" si="523"/>
        <v/>
      </c>
      <c r="E10470" s="531"/>
      <c r="F10470" s="531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2" t="str">
        <f t="shared" si="523"/>
        <v/>
      </c>
      <c r="E10471" s="531"/>
      <c r="F10471" s="531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2" t="str">
        <f t="shared" si="523"/>
        <v/>
      </c>
      <c r="E10472" s="531"/>
      <c r="F10472" s="531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2" t="str">
        <f t="shared" si="523"/>
        <v/>
      </c>
      <c r="E10473" s="531"/>
      <c r="F10473" s="531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2" t="str">
        <f t="shared" si="523"/>
        <v/>
      </c>
      <c r="E10474" s="531"/>
      <c r="F10474" s="531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2" t="str">
        <f t="shared" si="523"/>
        <v/>
      </c>
      <c r="E10475" s="531"/>
      <c r="F10475" s="531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2" t="str">
        <f t="shared" si="523"/>
        <v/>
      </c>
      <c r="E10476" s="531"/>
      <c r="F10476" s="531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2" t="str">
        <f t="shared" si="523"/>
        <v/>
      </c>
      <c r="E10477" s="531"/>
      <c r="F10477" s="531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2" t="str">
        <f t="shared" si="523"/>
        <v/>
      </c>
      <c r="E10478" s="531"/>
      <c r="F10478" s="531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2" t="str">
        <f t="shared" si="523"/>
        <v/>
      </c>
      <c r="E10479" s="531"/>
      <c r="F10479" s="531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2" t="str">
        <f t="shared" si="523"/>
        <v/>
      </c>
      <c r="E10480" s="531"/>
      <c r="F10480" s="531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2" t="str">
        <f t="shared" si="523"/>
        <v/>
      </c>
      <c r="E10481" s="531"/>
      <c r="F10481" s="531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2" t="str">
        <f t="shared" si="523"/>
        <v/>
      </c>
      <c r="E10482" s="531"/>
      <c r="F10482" s="531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2" t="str">
        <f t="shared" si="523"/>
        <v/>
      </c>
      <c r="E10483" s="531"/>
      <c r="F10483" s="531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2" t="str">
        <f t="shared" si="523"/>
        <v/>
      </c>
      <c r="E10484" s="531"/>
      <c r="F10484" s="531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2" t="str">
        <f t="shared" si="523"/>
        <v/>
      </c>
      <c r="E10485" s="531"/>
      <c r="F10485" s="531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2" t="str">
        <f t="shared" si="523"/>
        <v/>
      </c>
      <c r="E10486" s="531"/>
      <c r="F10486" s="531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2" t="str">
        <f t="shared" si="523"/>
        <v/>
      </c>
      <c r="E10487" s="531"/>
      <c r="F10487" s="531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2" t="str">
        <f t="shared" si="523"/>
        <v/>
      </c>
      <c r="E10488" s="531"/>
      <c r="F10488" s="531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2" t="str">
        <f t="shared" si="523"/>
        <v/>
      </c>
      <c r="E10489" s="531"/>
      <c r="F10489" s="531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2" t="str">
        <f t="shared" si="523"/>
        <v/>
      </c>
      <c r="E10490" s="531"/>
      <c r="F10490" s="531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2" t="str">
        <f t="shared" si="523"/>
        <v/>
      </c>
      <c r="E10491" s="531"/>
      <c r="F10491" s="531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2" t="str">
        <f t="shared" si="523"/>
        <v/>
      </c>
      <c r="E10492" s="531"/>
      <c r="F10492" s="531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2" t="str">
        <f t="shared" si="523"/>
        <v/>
      </c>
      <c r="E10493" s="531"/>
      <c r="F10493" s="531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2" t="str">
        <f t="shared" si="523"/>
        <v/>
      </c>
      <c r="E10494" s="531"/>
      <c r="F10494" s="531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2" t="str">
        <f t="shared" si="523"/>
        <v/>
      </c>
      <c r="E10495" s="531"/>
      <c r="F10495" s="531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2" t="str">
        <f t="shared" si="523"/>
        <v/>
      </c>
      <c r="E10496" s="531"/>
      <c r="F10496" s="531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2" t="str">
        <f t="shared" si="523"/>
        <v/>
      </c>
      <c r="E10497" s="531"/>
      <c r="F10497" s="531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2" t="str">
        <f t="shared" si="523"/>
        <v/>
      </c>
      <c r="E10498" s="531"/>
      <c r="F10498" s="531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2" t="str">
        <f t="shared" si="523"/>
        <v/>
      </c>
      <c r="E10499" s="531"/>
      <c r="F10499" s="531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2" t="str">
        <f t="shared" si="523"/>
        <v/>
      </c>
      <c r="E10500" s="531"/>
      <c r="F10500" s="531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2" t="str">
        <f t="shared" si="523"/>
        <v/>
      </c>
      <c r="E10501" s="531"/>
      <c r="F10501" s="531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2" t="str">
        <f t="shared" si="523"/>
        <v/>
      </c>
      <c r="E10502" s="531"/>
      <c r="F10502" s="531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2" t="str">
        <f t="shared" si="523"/>
        <v/>
      </c>
      <c r="E10503" s="531"/>
      <c r="F10503" s="531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2" t="str">
        <f t="shared" si="523"/>
        <v/>
      </c>
      <c r="E10504" s="531"/>
      <c r="F10504" s="531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2" t="str">
        <f t="shared" ref="D10505:D10568" si="526">IF(A10505&lt;&gt;"",PROPER(TEXT(A10505,"Mmmm")),"")</f>
        <v/>
      </c>
      <c r="E10505" s="531"/>
      <c r="F10505" s="531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2" t="str">
        <f t="shared" si="526"/>
        <v/>
      </c>
      <c r="E10506" s="531"/>
      <c r="F10506" s="531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2" t="str">
        <f t="shared" si="526"/>
        <v/>
      </c>
      <c r="E10507" s="531"/>
      <c r="F10507" s="531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2" t="str">
        <f t="shared" si="526"/>
        <v/>
      </c>
      <c r="E10508" s="531"/>
      <c r="F10508" s="531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2" t="str">
        <f t="shared" si="526"/>
        <v/>
      </c>
      <c r="E10509" s="531"/>
      <c r="F10509" s="531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2" t="str">
        <f t="shared" si="526"/>
        <v/>
      </c>
      <c r="E10510" s="531"/>
      <c r="F10510" s="531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2" t="str">
        <f t="shared" si="526"/>
        <v/>
      </c>
      <c r="E10511" s="531"/>
      <c r="F10511" s="531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2" t="str">
        <f t="shared" si="526"/>
        <v/>
      </c>
      <c r="E10512" s="531"/>
      <c r="F10512" s="531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2" t="str">
        <f t="shared" si="526"/>
        <v/>
      </c>
      <c r="E10513" s="531"/>
      <c r="F10513" s="531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2" t="str">
        <f t="shared" si="526"/>
        <v/>
      </c>
      <c r="E10514" s="531"/>
      <c r="F10514" s="531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2" t="str">
        <f t="shared" si="526"/>
        <v/>
      </c>
      <c r="E10515" s="531"/>
      <c r="F10515" s="531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2" t="str">
        <f t="shared" si="526"/>
        <v/>
      </c>
      <c r="E10516" s="531"/>
      <c r="F10516" s="531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2" t="str">
        <f t="shared" si="526"/>
        <v/>
      </c>
      <c r="E10517" s="531"/>
      <c r="F10517" s="531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2" t="str">
        <f t="shared" si="526"/>
        <v/>
      </c>
      <c r="E10518" s="531"/>
      <c r="F10518" s="531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2" t="str">
        <f t="shared" si="526"/>
        <v/>
      </c>
      <c r="E10519" s="531"/>
      <c r="F10519" s="531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2" t="str">
        <f t="shared" si="526"/>
        <v/>
      </c>
      <c r="E10520" s="531"/>
      <c r="F10520" s="531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2" t="str">
        <f t="shared" si="526"/>
        <v/>
      </c>
      <c r="E10521" s="531"/>
      <c r="F10521" s="531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2" t="str">
        <f t="shared" si="526"/>
        <v/>
      </c>
      <c r="E10522" s="531"/>
      <c r="F10522" s="531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2" t="str">
        <f t="shared" si="526"/>
        <v/>
      </c>
      <c r="E10523" s="531"/>
      <c r="F10523" s="531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2" t="str">
        <f t="shared" si="526"/>
        <v/>
      </c>
      <c r="E10524" s="531"/>
      <c r="F10524" s="531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2" t="str">
        <f t="shared" si="526"/>
        <v/>
      </c>
      <c r="E10525" s="531"/>
      <c r="F10525" s="531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2" t="str">
        <f t="shared" si="526"/>
        <v/>
      </c>
      <c r="E10526" s="531"/>
      <c r="F10526" s="531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2" t="str">
        <f t="shared" si="526"/>
        <v/>
      </c>
      <c r="E10527" s="531"/>
      <c r="F10527" s="531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2" t="str">
        <f t="shared" si="526"/>
        <v/>
      </c>
      <c r="E10528" s="531"/>
      <c r="F10528" s="531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2" t="str">
        <f t="shared" si="526"/>
        <v/>
      </c>
      <c r="E10529" s="531"/>
      <c r="F10529" s="531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2" t="str">
        <f t="shared" si="526"/>
        <v/>
      </c>
      <c r="E10530" s="531"/>
      <c r="F10530" s="531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2" t="str">
        <f t="shared" si="526"/>
        <v/>
      </c>
      <c r="E10531" s="531"/>
      <c r="F10531" s="531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2" t="str">
        <f t="shared" si="526"/>
        <v/>
      </c>
      <c r="E10532" s="531"/>
      <c r="F10532" s="531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2" t="str">
        <f t="shared" si="526"/>
        <v/>
      </c>
      <c r="E10533" s="531"/>
      <c r="F10533" s="531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2" t="str">
        <f t="shared" si="526"/>
        <v/>
      </c>
      <c r="E10534" s="531"/>
      <c r="F10534" s="531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2" t="str">
        <f t="shared" si="526"/>
        <v/>
      </c>
      <c r="E10535" s="531"/>
      <c r="F10535" s="531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2" t="str">
        <f t="shared" si="526"/>
        <v/>
      </c>
      <c r="E10536" s="531"/>
      <c r="F10536" s="531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2" t="str">
        <f t="shared" si="526"/>
        <v/>
      </c>
      <c r="E10537" s="531"/>
      <c r="F10537" s="531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2" t="str">
        <f t="shared" si="526"/>
        <v/>
      </c>
      <c r="E10538" s="531"/>
      <c r="F10538" s="531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2" t="str">
        <f t="shared" si="526"/>
        <v/>
      </c>
      <c r="E10539" s="531"/>
      <c r="F10539" s="531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2" t="str">
        <f t="shared" si="526"/>
        <v/>
      </c>
      <c r="E10540" s="531"/>
      <c r="F10540" s="531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2" t="str">
        <f t="shared" si="526"/>
        <v/>
      </c>
      <c r="E10541" s="531"/>
      <c r="F10541" s="531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2" t="str">
        <f t="shared" si="526"/>
        <v/>
      </c>
      <c r="E10542" s="531"/>
      <c r="F10542" s="531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2" t="str">
        <f t="shared" si="526"/>
        <v/>
      </c>
      <c r="E10543" s="531"/>
      <c r="F10543" s="531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2" t="str">
        <f t="shared" si="526"/>
        <v/>
      </c>
      <c r="E10544" s="531"/>
      <c r="F10544" s="531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2" t="str">
        <f t="shared" si="526"/>
        <v/>
      </c>
      <c r="E10545" s="531"/>
      <c r="F10545" s="531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2" t="str">
        <f t="shared" si="526"/>
        <v/>
      </c>
      <c r="E10546" s="531"/>
      <c r="F10546" s="531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2" t="str">
        <f t="shared" si="526"/>
        <v/>
      </c>
      <c r="E10547" s="531"/>
      <c r="F10547" s="531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2" t="str">
        <f t="shared" si="526"/>
        <v/>
      </c>
      <c r="E10548" s="531"/>
      <c r="F10548" s="531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2" t="str">
        <f t="shared" si="526"/>
        <v/>
      </c>
      <c r="E10549" s="531"/>
      <c r="F10549" s="531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2" t="str">
        <f t="shared" si="526"/>
        <v/>
      </c>
      <c r="E10550" s="531"/>
      <c r="F10550" s="531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2" t="str">
        <f t="shared" si="526"/>
        <v/>
      </c>
      <c r="E10551" s="531"/>
      <c r="F10551" s="531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2" t="str">
        <f t="shared" si="526"/>
        <v/>
      </c>
      <c r="E10552" s="531"/>
      <c r="F10552" s="531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2" t="str">
        <f t="shared" si="526"/>
        <v/>
      </c>
      <c r="E10553" s="531"/>
      <c r="F10553" s="531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2" t="str">
        <f t="shared" si="526"/>
        <v/>
      </c>
      <c r="E10554" s="531"/>
      <c r="F10554" s="531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2" t="str">
        <f t="shared" si="526"/>
        <v/>
      </c>
      <c r="E10555" s="531"/>
      <c r="F10555" s="531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2" t="str">
        <f t="shared" si="526"/>
        <v/>
      </c>
      <c r="E10556" s="531"/>
      <c r="F10556" s="531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2" t="str">
        <f t="shared" si="526"/>
        <v/>
      </c>
      <c r="E10557" s="531"/>
      <c r="F10557" s="531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2" t="str">
        <f t="shared" si="526"/>
        <v/>
      </c>
      <c r="E10558" s="531"/>
      <c r="F10558" s="531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2" t="str">
        <f t="shared" si="526"/>
        <v/>
      </c>
      <c r="E10559" s="531"/>
      <c r="F10559" s="531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2" t="str">
        <f t="shared" si="526"/>
        <v/>
      </c>
      <c r="E10560" s="531"/>
      <c r="F10560" s="531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2" t="str">
        <f t="shared" si="526"/>
        <v/>
      </c>
      <c r="E10561" s="531"/>
      <c r="F10561" s="531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2" t="str">
        <f t="shared" si="526"/>
        <v/>
      </c>
      <c r="E10562" s="531"/>
      <c r="F10562" s="531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2" t="str">
        <f t="shared" si="526"/>
        <v/>
      </c>
      <c r="E10563" s="531"/>
      <c r="F10563" s="531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2" t="str">
        <f t="shared" si="526"/>
        <v/>
      </c>
      <c r="E10564" s="531"/>
      <c r="F10564" s="531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2" t="str">
        <f t="shared" si="526"/>
        <v/>
      </c>
      <c r="E10565" s="531"/>
      <c r="F10565" s="531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2" t="str">
        <f t="shared" si="526"/>
        <v/>
      </c>
      <c r="E10566" s="531"/>
      <c r="F10566" s="531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2" t="str">
        <f t="shared" si="526"/>
        <v/>
      </c>
      <c r="E10567" s="531"/>
      <c r="F10567" s="531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2" t="str">
        <f t="shared" si="526"/>
        <v/>
      </c>
      <c r="E10568" s="531"/>
      <c r="F10568" s="531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2" t="str">
        <f t="shared" ref="D10569:D10591" si="529">IF(A10569&lt;&gt;"",PROPER(TEXT(A10569,"Mmmm")),"")</f>
        <v/>
      </c>
      <c r="E10569" s="531"/>
      <c r="F10569" s="531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2" t="str">
        <f t="shared" si="529"/>
        <v/>
      </c>
      <c r="E10570" s="531"/>
      <c r="F10570" s="531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2" t="str">
        <f t="shared" si="529"/>
        <v/>
      </c>
      <c r="E10571" s="531"/>
      <c r="F10571" s="531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2" t="str">
        <f t="shared" si="529"/>
        <v/>
      </c>
      <c r="E10572" s="531"/>
      <c r="F10572" s="531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2" t="str">
        <f t="shared" si="529"/>
        <v/>
      </c>
      <c r="E10573" s="531"/>
      <c r="F10573" s="531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2" t="str">
        <f t="shared" si="529"/>
        <v/>
      </c>
      <c r="E10574" s="531"/>
      <c r="F10574" s="531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2" t="str">
        <f t="shared" si="529"/>
        <v/>
      </c>
      <c r="E10575" s="531"/>
      <c r="F10575" s="531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2" t="str">
        <f t="shared" si="529"/>
        <v/>
      </c>
      <c r="E10576" s="531"/>
      <c r="F10576" s="531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2" t="str">
        <f t="shared" si="529"/>
        <v/>
      </c>
      <c r="E10577" s="531"/>
      <c r="F10577" s="531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2" t="str">
        <f t="shared" si="529"/>
        <v/>
      </c>
      <c r="E10578" s="531"/>
      <c r="F10578" s="531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2" t="str">
        <f t="shared" si="529"/>
        <v/>
      </c>
      <c r="E10579" s="531"/>
      <c r="F10579" s="531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2" t="str">
        <f t="shared" si="529"/>
        <v/>
      </c>
      <c r="E10580" s="531"/>
      <c r="F10580" s="531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2" t="str">
        <f t="shared" si="529"/>
        <v/>
      </c>
      <c r="E10581" s="531"/>
      <c r="F10581" s="531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2" t="str">
        <f t="shared" si="529"/>
        <v/>
      </c>
      <c r="E10582" s="531"/>
      <c r="F10582" s="531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2" t="str">
        <f t="shared" si="529"/>
        <v/>
      </c>
      <c r="E10583" s="531"/>
      <c r="F10583" s="531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2" t="str">
        <f t="shared" si="529"/>
        <v/>
      </c>
      <c r="E10584" s="531"/>
      <c r="F10584" s="531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2" t="str">
        <f t="shared" si="529"/>
        <v/>
      </c>
      <c r="E10585" s="531"/>
      <c r="F10585" s="531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2" t="str">
        <f t="shared" si="529"/>
        <v/>
      </c>
      <c r="E10586" s="531"/>
      <c r="F10586" s="531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2" t="str">
        <f t="shared" si="529"/>
        <v/>
      </c>
      <c r="E10587" s="531"/>
      <c r="F10587" s="531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2" t="str">
        <f t="shared" si="529"/>
        <v/>
      </c>
      <c r="E10588" s="531"/>
      <c r="F10588" s="531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2" t="str">
        <f t="shared" si="529"/>
        <v/>
      </c>
      <c r="E10589" s="531"/>
      <c r="F10589" s="531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2" t="str">
        <f t="shared" si="529"/>
        <v/>
      </c>
      <c r="E10590" s="531"/>
      <c r="F10590" s="531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2" t="str">
        <f t="shared" si="529"/>
        <v/>
      </c>
      <c r="E10591" s="531"/>
      <c r="F10591" s="531"/>
    </row>
  </sheetData>
  <autoFilter ref="A6:J681" xr:uid="{00000000-0009-0000-0000-000002000000}"/>
  <phoneticPr fontId="72" type="noConversion"/>
  <conditionalFormatting sqref="C7:C341">
    <cfRule type="expression" dxfId="24" priority="20">
      <formula>#REF!="⚠️ EM ATRASO"</formula>
    </cfRule>
  </conditionalFormatting>
  <conditionalFormatting sqref="G38:G221">
    <cfRule type="expression" dxfId="23" priority="19">
      <formula>#REF!=LARGE((#REF!)*((#REF!)&lt;TODAY()),1)</formula>
    </cfRule>
  </conditionalFormatting>
  <conditionalFormatting sqref="G130:G221">
    <cfRule type="expression" dxfId="22" priority="2">
      <formula>G130=LARGE(G$6:G$36,1)</formula>
    </cfRule>
    <cfRule type="expression" dxfId="21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I333" sqref="I333"/>
    </sheetView>
  </sheetViews>
  <sheetFormatPr defaultColWidth="11.25" defaultRowHeight="15" customHeight="1" outlineLevelRow="1"/>
  <cols>
    <col min="1" max="1" width="2" customWidth="1"/>
    <col min="2" max="2" width="18" customWidth="1"/>
    <col min="3" max="3" width="13.25" customWidth="1"/>
    <col min="4" max="4" width="14" customWidth="1"/>
    <col min="5" max="5" width="16.25" customWidth="1"/>
    <col min="6" max="6" width="2.25" customWidth="1"/>
    <col min="7" max="7" width="30" style="367" customWidth="1"/>
    <col min="8" max="8" width="23.125" style="367" customWidth="1"/>
    <col min="9" max="9" width="50.75" style="368" customWidth="1"/>
    <col min="10" max="10" width="14.75" style="367" customWidth="1"/>
    <col min="11" max="11" width="37.75" style="377" customWidth="1"/>
    <col min="12" max="12" width="21.25" style="367" customWidth="1"/>
    <col min="13" max="13" width="28" style="367" customWidth="1"/>
    <col min="14" max="18" width="11.25" style="216"/>
    <col min="19" max="19" width="11.25" style="215"/>
    <col min="20" max="20" width="13" style="307" customWidth="1"/>
    <col min="24" max="24" width="13.25" customWidth="1"/>
  </cols>
  <sheetData>
    <row r="1" spans="1:24" ht="25.5" customHeight="1">
      <c r="B1" s="206"/>
      <c r="C1" s="206"/>
      <c r="D1" s="206"/>
      <c r="E1" s="206"/>
      <c r="F1" s="206"/>
      <c r="G1" s="580" t="s">
        <v>61</v>
      </c>
      <c r="H1" s="581"/>
      <c r="I1" s="245" t="s">
        <v>62</v>
      </c>
      <c r="J1" s="53"/>
      <c r="K1" s="387"/>
      <c r="N1" s="367"/>
      <c r="O1" s="367"/>
      <c r="P1" s="367"/>
      <c r="Q1" s="367"/>
      <c r="R1" s="367"/>
      <c r="S1" s="377"/>
      <c r="T1" s="371"/>
      <c r="U1" s="206"/>
      <c r="V1" s="206"/>
      <c r="W1" s="206"/>
      <c r="X1" s="206"/>
    </row>
    <row r="2" spans="1:24" ht="15" customHeight="1">
      <c r="B2" s="582" t="s">
        <v>37</v>
      </c>
      <c r="C2" s="583"/>
      <c r="D2" s="583"/>
      <c r="E2" s="584"/>
      <c r="F2" s="206"/>
      <c r="G2" s="57" t="s">
        <v>63</v>
      </c>
      <c r="H2" s="58" t="s">
        <v>64</v>
      </c>
      <c r="I2" s="59">
        <v>0</v>
      </c>
      <c r="J2" s="53"/>
      <c r="K2" s="388"/>
      <c r="N2" s="367"/>
      <c r="O2" s="367"/>
      <c r="P2" s="367"/>
      <c r="Q2" s="367"/>
      <c r="R2" s="367"/>
      <c r="S2" s="377"/>
      <c r="T2" s="371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terça-feira</v>
      </c>
      <c r="E3" s="196">
        <f ca="1">TODAY()</f>
        <v>46266</v>
      </c>
      <c r="F3" s="206"/>
      <c r="G3" s="61">
        <v>46143</v>
      </c>
      <c r="H3" s="61">
        <v>46265</v>
      </c>
      <c r="I3" s="248" t="s">
        <v>66</v>
      </c>
      <c r="J3" s="53"/>
      <c r="K3" s="388"/>
      <c r="N3" s="367"/>
      <c r="O3" s="367"/>
      <c r="P3" s="367"/>
      <c r="Q3" s="367"/>
      <c r="R3" s="367"/>
      <c r="S3" s="377"/>
      <c r="T3" s="371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6" t="str">
        <f t="shared" ca="1" si="0"/>
        <v>quarta-feira</v>
      </c>
      <c r="E4" s="247">
        <f t="shared" ref="E4:E10" ca="1" si="1">E3+1</f>
        <v>46267</v>
      </c>
      <c r="F4" s="365"/>
      <c r="G4" s="249" t="s">
        <v>68</v>
      </c>
      <c r="H4" s="335">
        <f>SUMIFS('📋 Despesas'!J7:J17833,'📋 Despesas'!N7:N17833,"&gt;="&amp;G3,'📋 Despesas'!N7:N17833,"&lt;="&amp;H3)</f>
        <v>18423.270000000004</v>
      </c>
      <c r="I4" s="63">
        <f>I2-H4</f>
        <v>-18423.270000000004</v>
      </c>
      <c r="J4" s="53"/>
      <c r="L4" s="53"/>
      <c r="M4" s="53"/>
      <c r="N4" s="53"/>
      <c r="O4" s="53"/>
      <c r="P4" s="53"/>
      <c r="Q4" s="53"/>
      <c r="R4" s="53"/>
      <c r="S4" s="336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6" t="str">
        <f t="shared" ca="1" si="0"/>
        <v>quinta-feira</v>
      </c>
      <c r="E5" s="247">
        <f t="shared" ca="1" si="1"/>
        <v>46268</v>
      </c>
      <c r="F5" s="53"/>
      <c r="G5" s="53"/>
      <c r="H5" s="53"/>
      <c r="I5" s="53"/>
      <c r="J5" s="53"/>
      <c r="K5" s="336"/>
      <c r="L5" s="206"/>
      <c r="M5" s="53"/>
      <c r="N5" s="53"/>
      <c r="O5" s="53"/>
      <c r="P5" s="53"/>
      <c r="Q5" s="53"/>
      <c r="R5" s="53"/>
      <c r="S5" s="336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6" t="str">
        <f t="shared" ca="1" si="0"/>
        <v>sexta-feira</v>
      </c>
      <c r="E6" s="247">
        <f t="shared" ca="1" si="1"/>
        <v>46269</v>
      </c>
      <c r="F6" s="53"/>
      <c r="G6" s="201" t="s">
        <v>71</v>
      </c>
      <c r="H6" s="200">
        <f>SUMIFS('💸  Receitas'!J7:J300307,'💸  Receitas'!A7:A300307,"&gt;="&amp;G3,'💸  Receitas'!A7:A300307,"&lt;="&amp;H3)</f>
        <v>30500</v>
      </c>
      <c r="I6" s="206"/>
      <c r="J6" s="53"/>
      <c r="K6" s="336"/>
      <c r="L6" s="206"/>
      <c r="M6" s="53"/>
      <c r="N6" s="53"/>
      <c r="O6" s="53"/>
      <c r="P6" s="53"/>
      <c r="Q6" s="53"/>
      <c r="R6" s="53"/>
      <c r="S6" s="336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6" t="str">
        <f t="shared" ca="1" si="0"/>
        <v>sábado</v>
      </c>
      <c r="E7" s="247">
        <f t="shared" ca="1" si="1"/>
        <v>46270</v>
      </c>
      <c r="F7" s="53"/>
      <c r="G7" s="202" t="s">
        <v>73</v>
      </c>
      <c r="H7" s="214">
        <f>I4+H6</f>
        <v>12076.729999999996</v>
      </c>
      <c r="I7" s="206"/>
      <c r="J7" s="53"/>
      <c r="K7" s="336"/>
      <c r="L7" s="206"/>
      <c r="M7" s="53"/>
      <c r="N7" s="53"/>
      <c r="O7" s="53"/>
      <c r="P7" s="53"/>
      <c r="Q7" s="53"/>
      <c r="R7" s="53"/>
      <c r="S7" s="336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6" t="str">
        <f t="shared" ca="1" si="0"/>
        <v>domingo</v>
      </c>
      <c r="E8" s="247">
        <f t="shared" ca="1" si="1"/>
        <v>46271</v>
      </c>
      <c r="F8" s="53"/>
      <c r="G8" s="203" t="s">
        <v>75</v>
      </c>
      <c r="H8" s="204">
        <v>0</v>
      </c>
      <c r="I8" s="206"/>
      <c r="J8" s="53"/>
      <c r="K8" s="336"/>
      <c r="L8" s="206"/>
      <c r="M8" s="53"/>
      <c r="N8" s="53"/>
      <c r="O8" s="53"/>
      <c r="P8" s="53"/>
      <c r="Q8" s="53"/>
      <c r="R8" s="53"/>
      <c r="S8" s="336"/>
      <c r="T8" s="69"/>
      <c r="U8" s="53"/>
      <c r="V8" s="53"/>
      <c r="W8" s="53"/>
      <c r="X8" s="53"/>
    </row>
    <row r="9" spans="1:24" ht="18.75">
      <c r="A9" s="53"/>
      <c r="B9" s="65" t="s">
        <v>192</v>
      </c>
      <c r="C9" s="197">
        <f ca="1">IFERROR(SUMIFS('📋 Despesas'!$K:$K,'📋 Despesas'!$N:$N,E9),"S/D")</f>
        <v>0</v>
      </c>
      <c r="D9" s="246" t="str">
        <f t="shared" ca="1" si="0"/>
        <v>segunda-feira</v>
      </c>
      <c r="E9" s="247">
        <f t="shared" ca="1" si="1"/>
        <v>46272</v>
      </c>
      <c r="F9" s="53"/>
      <c r="G9" s="203" t="s">
        <v>76</v>
      </c>
      <c r="H9" s="204">
        <v>0</v>
      </c>
      <c r="I9" s="53"/>
      <c r="J9" s="53"/>
      <c r="K9" s="336"/>
      <c r="L9" s="53"/>
      <c r="M9" s="53"/>
      <c r="N9" s="53"/>
      <c r="O9" s="53"/>
      <c r="P9" s="53"/>
      <c r="Q9" s="53"/>
      <c r="R9" s="53"/>
      <c r="S9" s="336"/>
      <c r="T9" s="69"/>
      <c r="U9" s="53"/>
      <c r="V9" s="53"/>
      <c r="W9" s="53"/>
      <c r="X9" s="53"/>
    </row>
    <row r="10" spans="1:24" ht="19.5" customHeight="1">
      <c r="A10" s="53"/>
      <c r="B10" s="65" t="s">
        <v>193</v>
      </c>
      <c r="C10" s="197">
        <f ca="1">IFERROR(SUMIFS('📋 Despesas'!$K:$K,'📋 Despesas'!$N:$N,E10),"S/D")</f>
        <v>0</v>
      </c>
      <c r="D10" s="246" t="str">
        <f t="shared" ca="1" si="0"/>
        <v>terça-feira</v>
      </c>
      <c r="E10" s="247">
        <f t="shared" ca="1" si="1"/>
        <v>46273</v>
      </c>
      <c r="F10" s="53"/>
      <c r="G10" s="205" t="s">
        <v>77</v>
      </c>
      <c r="H10" s="219">
        <f>H7+H8+H9</f>
        <v>12076.729999999996</v>
      </c>
      <c r="I10" s="54"/>
      <c r="J10" s="53"/>
      <c r="K10" s="389">
        <f>I2-(SUMIFS('📋 Despesas'!M7:M8191,'📋 Despesas'!N7:N8191,"&gt;="&amp;G3,'📋 Despesas'!N7:N8191,"&lt;="&amp;H11))+H8+H9+H6</f>
        <v>30500</v>
      </c>
      <c r="L10" s="53"/>
      <c r="M10" s="53"/>
      <c r="N10" s="53"/>
      <c r="O10" s="53"/>
      <c r="P10" s="53"/>
      <c r="Q10" s="53"/>
      <c r="R10" s="53"/>
      <c r="S10" s="336"/>
      <c r="T10" s="69"/>
      <c r="U10" s="53"/>
      <c r="V10" s="53"/>
      <c r="W10" s="53"/>
      <c r="X10" s="53"/>
    </row>
    <row r="11" spans="1:24" ht="15.75">
      <c r="A11" s="53"/>
      <c r="B11" s="383"/>
      <c r="C11" s="383"/>
      <c r="D11" s="383"/>
      <c r="E11" s="384"/>
      <c r="F11" s="380"/>
      <c r="G11" s="366"/>
      <c r="H11" s="366"/>
      <c r="I11" s="366"/>
      <c r="J11" s="53"/>
      <c r="K11" s="388"/>
      <c r="L11" s="53"/>
      <c r="M11" s="53"/>
      <c r="N11" s="53"/>
      <c r="O11" s="53"/>
      <c r="P11" s="53"/>
      <c r="Q11" s="53"/>
      <c r="R11" s="53"/>
      <c r="S11" s="336"/>
      <c r="T11" s="69"/>
      <c r="U11" s="53"/>
      <c r="V11" s="53"/>
      <c r="W11" s="308"/>
      <c r="X11" s="53"/>
    </row>
    <row r="12" spans="1:24" ht="19.5" customHeight="1">
      <c r="A12" s="53"/>
      <c r="E12" s="380"/>
      <c r="F12" s="53"/>
      <c r="G12" s="366"/>
      <c r="I12" s="379"/>
      <c r="L12" s="370"/>
      <c r="M12" s="370"/>
      <c r="N12" s="225"/>
      <c r="O12" s="337"/>
      <c r="P12" s="337"/>
      <c r="Q12" s="337"/>
      <c r="R12" s="225"/>
      <c r="S12" s="337"/>
      <c r="T12" s="224"/>
      <c r="U12" s="225"/>
      <c r="V12" s="225"/>
      <c r="W12" s="225"/>
      <c r="X12" s="225"/>
    </row>
    <row r="13" spans="1:24" ht="17.25" customHeight="1">
      <c r="A13" s="53"/>
      <c r="D13" s="386">
        <f ca="1">H4-E13</f>
        <v>16903.270000000004</v>
      </c>
      <c r="E13" s="381">
        <f ca="1">'📋 Despesas'!K4</f>
        <v>1520</v>
      </c>
      <c r="F13" s="53"/>
      <c r="G13" s="366"/>
      <c r="I13" s="379"/>
      <c r="L13" s="370"/>
      <c r="M13" s="370"/>
      <c r="N13" s="225"/>
      <c r="O13" s="337"/>
      <c r="P13" s="337"/>
      <c r="Q13" s="337"/>
      <c r="R13" s="225"/>
      <c r="S13" s="337"/>
      <c r="T13" s="224"/>
      <c r="U13" s="225"/>
      <c r="V13" s="225"/>
      <c r="W13" s="225"/>
      <c r="X13" s="225"/>
    </row>
    <row r="14" spans="1:24" ht="15.75">
      <c r="A14" s="53"/>
      <c r="B14" s="579" t="s">
        <v>78</v>
      </c>
      <c r="C14" s="568"/>
      <c r="D14" s="568"/>
      <c r="E14" s="382"/>
      <c r="F14" s="53"/>
      <c r="G14" s="366"/>
      <c r="I14" s="379"/>
      <c r="L14" s="370"/>
      <c r="M14" s="370"/>
      <c r="N14" s="225"/>
      <c r="O14" s="337"/>
      <c r="P14" s="337"/>
      <c r="Q14" s="337"/>
      <c r="R14" s="225"/>
      <c r="S14" s="337"/>
      <c r="T14" s="224"/>
      <c r="U14" s="225"/>
      <c r="V14" s="225"/>
      <c r="W14" s="225"/>
      <c r="X14" s="225"/>
    </row>
    <row r="15" spans="1:24" ht="15.75" collapsed="1">
      <c r="A15" s="53"/>
      <c r="B15" s="66" t="s">
        <v>40</v>
      </c>
      <c r="C15" s="67" t="s">
        <v>56</v>
      </c>
      <c r="D15" s="68" t="s">
        <v>79</v>
      </c>
      <c r="E15" s="382"/>
      <c r="F15" s="53"/>
      <c r="G15" s="366"/>
      <c r="I15" s="379"/>
      <c r="L15" s="370"/>
      <c r="M15" s="370"/>
      <c r="N15" s="225"/>
      <c r="O15" s="337"/>
      <c r="P15" s="337"/>
      <c r="Q15" s="337"/>
      <c r="R15" s="225"/>
      <c r="S15" s="337"/>
      <c r="T15" s="224"/>
      <c r="U15" s="225"/>
      <c r="V15" s="225"/>
      <c r="W15" s="225"/>
      <c r="X15" s="225"/>
    </row>
    <row r="16" spans="1:24" ht="15.75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1"/>
      <c r="I16" s="379"/>
      <c r="L16" s="372"/>
      <c r="M16" s="370"/>
      <c r="N16" s="225"/>
      <c r="O16" s="225"/>
      <c r="P16" s="225"/>
      <c r="Q16" s="225"/>
      <c r="R16" s="225"/>
      <c r="S16" s="337"/>
      <c r="T16" s="224"/>
      <c r="U16" s="225"/>
      <c r="V16" s="225"/>
      <c r="W16" s="225"/>
      <c r="X16" s="225"/>
    </row>
    <row r="17" spans="1:24" ht="15.75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1"/>
      <c r="L17" s="369"/>
      <c r="M17" s="369"/>
      <c r="N17" s="225"/>
      <c r="O17" s="225"/>
      <c r="P17" s="225"/>
      <c r="Q17" s="225"/>
      <c r="R17" s="225"/>
      <c r="S17" s="337"/>
      <c r="T17" s="224"/>
      <c r="U17" s="373"/>
      <c r="V17" s="369"/>
      <c r="W17" s="206"/>
      <c r="X17" s="225"/>
    </row>
    <row r="18" spans="1:24" ht="15.75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1"/>
      <c r="H18" s="374"/>
      <c r="I18" s="374"/>
      <c r="J18" s="374"/>
      <c r="K18" s="390"/>
      <c r="L18" s="374"/>
      <c r="M18" s="374"/>
      <c r="N18" s="222"/>
      <c r="O18" s="223"/>
      <c r="P18" s="223"/>
      <c r="Q18" s="223"/>
      <c r="R18" s="222"/>
      <c r="S18" s="223"/>
      <c r="T18" s="221"/>
      <c r="U18" s="309"/>
      <c r="V18" s="225"/>
      <c r="W18" s="225"/>
      <c r="X18" s="225"/>
    </row>
    <row r="19" spans="1:24" ht="15.75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1"/>
      <c r="H19" s="374"/>
      <c r="I19" s="374"/>
      <c r="J19" s="374"/>
      <c r="K19" s="390"/>
      <c r="L19" s="374"/>
      <c r="M19" s="374"/>
      <c r="N19" s="222"/>
      <c r="O19" s="223"/>
      <c r="P19" s="223"/>
      <c r="Q19" s="223"/>
      <c r="R19" s="222"/>
      <c r="S19" s="223"/>
      <c r="T19" s="221"/>
      <c r="U19" s="309"/>
      <c r="V19" s="225"/>
      <c r="W19" s="225"/>
      <c r="X19" s="225"/>
    </row>
    <row r="20" spans="1:24" ht="15.75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1"/>
      <c r="H20" s="374"/>
      <c r="I20" s="374"/>
      <c r="J20" s="374"/>
      <c r="K20" s="390"/>
      <c r="L20" s="374"/>
      <c r="M20" s="374"/>
      <c r="N20" s="222"/>
      <c r="O20" s="223"/>
      <c r="P20" s="223"/>
      <c r="Q20" s="223"/>
      <c r="R20" s="222"/>
      <c r="S20" s="223"/>
      <c r="T20" s="221"/>
      <c r="U20" s="309"/>
      <c r="V20" s="225"/>
      <c r="W20" s="225"/>
      <c r="X20" s="225"/>
    </row>
    <row r="21" spans="1:24" ht="15.75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1"/>
      <c r="H21" s="374"/>
      <c r="I21" s="374"/>
      <c r="J21" s="374"/>
      <c r="K21" s="390"/>
      <c r="L21" s="374"/>
      <c r="M21" s="374"/>
      <c r="N21" s="222"/>
      <c r="O21" s="223"/>
      <c r="P21" s="223"/>
      <c r="Q21" s="223"/>
      <c r="R21" s="222"/>
      <c r="S21" s="223"/>
      <c r="T21" s="221"/>
      <c r="U21" s="225"/>
      <c r="V21" s="225"/>
      <c r="W21" s="225"/>
      <c r="X21" s="225"/>
    </row>
    <row r="22" spans="1:24" ht="15.75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1"/>
      <c r="H22" s="369"/>
      <c r="I22" s="369"/>
      <c r="J22" s="369"/>
      <c r="K22" s="370"/>
      <c r="L22" s="369"/>
      <c r="M22" s="369"/>
      <c r="N22" s="225"/>
      <c r="O22" s="225"/>
      <c r="P22" s="225"/>
      <c r="Q22" s="225"/>
      <c r="R22" s="225"/>
      <c r="S22" s="337"/>
      <c r="T22" s="224"/>
      <c r="U22" s="225"/>
      <c r="V22" s="225"/>
      <c r="W22" s="225"/>
      <c r="X22" s="225"/>
    </row>
    <row r="23" spans="1:24" ht="15.75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1"/>
      <c r="H23" s="369"/>
      <c r="I23" s="369"/>
      <c r="J23" s="369"/>
      <c r="K23" s="370"/>
      <c r="L23" s="369"/>
      <c r="M23" s="369"/>
      <c r="N23" s="225"/>
      <c r="O23" s="225"/>
      <c r="P23" s="225"/>
      <c r="Q23" s="225"/>
      <c r="R23" s="225"/>
      <c r="S23" s="337"/>
      <c r="T23" s="224"/>
      <c r="U23" s="225"/>
      <c r="V23" s="225"/>
      <c r="W23" s="225"/>
      <c r="X23" s="225"/>
    </row>
    <row r="24" spans="1:24" ht="15.75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1"/>
      <c r="H24" s="369"/>
      <c r="I24" s="369"/>
      <c r="J24" s="369"/>
      <c r="K24" s="370"/>
      <c r="L24" s="369"/>
      <c r="M24" s="369"/>
      <c r="N24" s="225"/>
      <c r="O24" s="225"/>
      <c r="P24" s="225"/>
      <c r="Q24" s="225"/>
      <c r="R24" s="225"/>
      <c r="S24" s="337"/>
      <c r="T24" s="224"/>
      <c r="U24" s="225"/>
      <c r="V24" s="225"/>
      <c r="W24" s="225"/>
      <c r="X24" s="225"/>
    </row>
    <row r="25" spans="1:24" ht="15.75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1"/>
      <c r="H25" s="375"/>
      <c r="I25" s="369"/>
      <c r="J25" s="369"/>
      <c r="K25" s="370"/>
      <c r="L25" s="369"/>
      <c r="M25" s="369"/>
      <c r="N25" s="225"/>
      <c r="O25" s="225"/>
      <c r="P25" s="225"/>
      <c r="Q25" s="225"/>
      <c r="R25" s="225"/>
      <c r="S25" s="337"/>
      <c r="T25" s="224"/>
      <c r="U25" s="225"/>
      <c r="V25" s="225"/>
      <c r="W25" s="225"/>
      <c r="X25" s="225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1"/>
      <c r="H26" s="375"/>
      <c r="I26" s="376"/>
      <c r="J26" s="369"/>
      <c r="K26" s="370"/>
      <c r="L26" s="369"/>
      <c r="M26" s="369"/>
      <c r="N26" s="225"/>
      <c r="O26" s="225"/>
      <c r="P26" s="225"/>
      <c r="Q26" s="225"/>
      <c r="R26" s="225"/>
      <c r="S26" s="337"/>
      <c r="T26" s="224"/>
      <c r="U26" s="225"/>
      <c r="V26" s="225"/>
      <c r="W26" s="225"/>
      <c r="X26" s="225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1"/>
      <c r="H27" s="375"/>
      <c r="I27" s="376"/>
      <c r="J27" s="369"/>
      <c r="K27" s="370"/>
      <c r="L27" s="369"/>
      <c r="M27" s="369"/>
      <c r="N27" s="225"/>
      <c r="O27" s="225"/>
      <c r="P27" s="225"/>
      <c r="Q27" s="225"/>
      <c r="R27" s="225"/>
      <c r="S27" s="337"/>
      <c r="T27" s="224"/>
      <c r="U27" s="225"/>
      <c r="V27" s="225"/>
      <c r="W27" s="225"/>
      <c r="X27" s="225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1"/>
      <c r="H28" s="375"/>
      <c r="I28" s="376"/>
      <c r="J28" s="369"/>
      <c r="K28" s="370"/>
      <c r="L28" s="369"/>
      <c r="M28" s="369"/>
      <c r="N28" s="225"/>
      <c r="O28" s="225"/>
      <c r="P28" s="225"/>
      <c r="Q28" s="225"/>
      <c r="R28" s="225"/>
      <c r="S28" s="337"/>
      <c r="T28" s="224"/>
      <c r="U28" s="225"/>
      <c r="V28" s="225"/>
      <c r="W28" s="225"/>
      <c r="X28" s="225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1"/>
      <c r="H29" s="375"/>
      <c r="I29" s="376"/>
      <c r="J29" s="369"/>
      <c r="K29" s="370"/>
      <c r="L29" s="369"/>
      <c r="M29" s="369"/>
      <c r="N29" s="225"/>
      <c r="O29" s="225"/>
      <c r="P29" s="225"/>
      <c r="Q29" s="225"/>
      <c r="R29" s="225"/>
      <c r="S29" s="337"/>
      <c r="T29" s="224"/>
      <c r="U29" s="225"/>
      <c r="V29" s="225"/>
      <c r="W29" s="225"/>
      <c r="X29" s="225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1"/>
      <c r="H30" s="375"/>
      <c r="I30" s="376"/>
      <c r="J30" s="369"/>
      <c r="K30" s="370"/>
      <c r="L30" s="369"/>
      <c r="M30" s="369"/>
      <c r="N30" s="225"/>
      <c r="O30" s="225"/>
      <c r="P30" s="225"/>
      <c r="Q30" s="225"/>
      <c r="R30" s="225"/>
      <c r="S30" s="337"/>
      <c r="T30" s="224"/>
      <c r="U30" s="225"/>
      <c r="V30" s="225"/>
      <c r="W30" s="225"/>
      <c r="X30" s="225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1"/>
      <c r="H31" s="375"/>
      <c r="I31" s="376"/>
      <c r="J31" s="369"/>
      <c r="K31" s="370"/>
      <c r="L31" s="369"/>
      <c r="M31" s="369"/>
      <c r="N31" s="225"/>
      <c r="O31" s="225"/>
      <c r="P31" s="225"/>
      <c r="Q31" s="225"/>
      <c r="R31" s="225"/>
      <c r="S31" s="337"/>
      <c r="T31" s="224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1"/>
      <c r="H32" s="375"/>
      <c r="I32" s="376"/>
      <c r="J32" s="369"/>
      <c r="K32" s="370"/>
      <c r="L32" s="369"/>
      <c r="M32" s="369"/>
      <c r="N32" s="225"/>
      <c r="O32" s="225"/>
      <c r="P32" s="225"/>
      <c r="Q32" s="225"/>
      <c r="R32" s="225"/>
      <c r="S32" s="337"/>
      <c r="T32" s="224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1"/>
      <c r="H33" s="375"/>
      <c r="I33" s="376"/>
      <c r="J33" s="369"/>
      <c r="K33" s="370"/>
      <c r="L33" s="369"/>
      <c r="M33" s="369"/>
      <c r="N33" s="225"/>
      <c r="O33" s="225"/>
      <c r="P33" s="225"/>
      <c r="Q33" s="225"/>
      <c r="R33" s="225"/>
      <c r="S33" s="337"/>
      <c r="T33" s="224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1"/>
      <c r="H34" s="375"/>
      <c r="I34" s="376"/>
      <c r="J34" s="369"/>
      <c r="K34" s="370"/>
      <c r="L34" s="369"/>
      <c r="M34" s="369"/>
      <c r="N34" s="225"/>
      <c r="O34" s="225"/>
      <c r="P34" s="225"/>
      <c r="Q34" s="225"/>
      <c r="R34" s="225"/>
      <c r="S34" s="337"/>
      <c r="T34" s="224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1"/>
      <c r="H35" s="375"/>
      <c r="I35" s="376"/>
      <c r="J35" s="369"/>
      <c r="K35" s="370"/>
      <c r="L35" s="369"/>
      <c r="M35" s="369"/>
      <c r="N35" s="225"/>
      <c r="O35" s="225"/>
      <c r="P35" s="225"/>
      <c r="Q35" s="225"/>
      <c r="R35" s="225"/>
      <c r="S35" s="337"/>
      <c r="T35" s="224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1"/>
      <c r="H36" s="375"/>
      <c r="I36" s="376"/>
      <c r="J36" s="369"/>
      <c r="K36" s="370"/>
      <c r="L36" s="369"/>
      <c r="M36" s="369"/>
      <c r="N36" s="225"/>
      <c r="O36" s="225"/>
      <c r="P36" s="225"/>
      <c r="Q36" s="225"/>
      <c r="R36" s="225"/>
      <c r="S36" s="337"/>
      <c r="T36" s="224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1"/>
      <c r="H37" s="375"/>
      <c r="I37" s="376"/>
      <c r="J37" s="369"/>
      <c r="K37" s="370"/>
      <c r="L37" s="369"/>
      <c r="M37" s="369"/>
      <c r="N37" s="225"/>
      <c r="O37" s="225"/>
      <c r="P37" s="225"/>
      <c r="Q37" s="225"/>
      <c r="R37" s="225"/>
      <c r="S37" s="337"/>
      <c r="T37" s="224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1"/>
      <c r="H38" s="375"/>
      <c r="I38" s="376"/>
      <c r="J38" s="369"/>
      <c r="K38" s="370"/>
      <c r="L38" s="369"/>
      <c r="M38" s="369"/>
      <c r="N38" s="225"/>
      <c r="O38" s="225"/>
      <c r="P38" s="225"/>
      <c r="Q38" s="225"/>
      <c r="R38" s="225"/>
      <c r="S38" s="337"/>
      <c r="T38" s="224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1"/>
      <c r="H39" s="375"/>
      <c r="I39" s="376"/>
      <c r="J39" s="369"/>
      <c r="K39" s="370"/>
      <c r="L39" s="369"/>
      <c r="M39" s="369"/>
      <c r="N39" s="225"/>
      <c r="O39" s="225"/>
      <c r="P39" s="225"/>
      <c r="Q39" s="225"/>
      <c r="R39" s="225"/>
      <c r="S39" s="337"/>
      <c r="T39" s="224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1"/>
      <c r="H40" s="375"/>
      <c r="I40" s="376"/>
      <c r="J40" s="369"/>
      <c r="K40" s="370"/>
      <c r="L40" s="369"/>
      <c r="M40" s="369"/>
      <c r="N40" s="225"/>
      <c r="O40" s="225"/>
      <c r="P40" s="225"/>
      <c r="Q40" s="225"/>
      <c r="R40" s="225"/>
      <c r="S40" s="337"/>
      <c r="T40" s="224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1"/>
      <c r="H41" s="375"/>
      <c r="I41" s="376"/>
      <c r="J41" s="369"/>
      <c r="K41" s="370"/>
      <c r="L41" s="369"/>
      <c r="M41" s="369"/>
      <c r="N41" s="225"/>
      <c r="O41" s="225"/>
      <c r="P41" s="225"/>
      <c r="Q41" s="225"/>
      <c r="R41" s="225"/>
      <c r="S41" s="337"/>
      <c r="T41" s="224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1"/>
      <c r="H42" s="375"/>
      <c r="I42" s="376"/>
      <c r="J42" s="369"/>
      <c r="K42" s="370"/>
      <c r="L42" s="369"/>
      <c r="M42" s="369"/>
      <c r="N42" s="225"/>
      <c r="O42" s="225"/>
      <c r="P42" s="225"/>
      <c r="Q42" s="225"/>
      <c r="R42" s="225"/>
      <c r="S42" s="337"/>
      <c r="T42" s="224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1"/>
      <c r="H43" s="375"/>
      <c r="I43" s="376"/>
      <c r="J43" s="369"/>
      <c r="K43" s="370"/>
      <c r="L43" s="369"/>
      <c r="M43" s="369"/>
      <c r="N43" s="225"/>
      <c r="O43" s="225"/>
      <c r="P43" s="225"/>
      <c r="Q43" s="225"/>
      <c r="R43" s="225"/>
      <c r="S43" s="337"/>
      <c r="T43" s="224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1"/>
      <c r="H44" s="375"/>
      <c r="I44" s="376"/>
      <c r="J44" s="369"/>
      <c r="K44" s="370"/>
      <c r="L44" s="369"/>
      <c r="M44" s="369"/>
      <c r="N44" s="225"/>
      <c r="O44" s="225"/>
      <c r="P44" s="225"/>
      <c r="Q44" s="225"/>
      <c r="R44" s="225"/>
      <c r="S44" s="337"/>
      <c r="T44" s="224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1"/>
      <c r="H45" s="375"/>
      <c r="I45" s="376"/>
      <c r="J45" s="369"/>
      <c r="K45" s="370"/>
      <c r="L45" s="369"/>
      <c r="M45" s="369"/>
      <c r="N45" s="225"/>
      <c r="O45" s="225"/>
      <c r="P45" s="225"/>
      <c r="Q45" s="225"/>
      <c r="R45" s="225"/>
      <c r="S45" s="337"/>
      <c r="T45" s="224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1"/>
      <c r="H46" s="375"/>
      <c r="I46" s="376"/>
      <c r="J46" s="369"/>
      <c r="K46" s="370"/>
      <c r="L46" s="369"/>
      <c r="M46" s="369"/>
      <c r="N46" s="225"/>
      <c r="O46" s="225"/>
      <c r="P46" s="225"/>
      <c r="Q46" s="225"/>
      <c r="R46" s="225"/>
      <c r="S46" s="337"/>
      <c r="T46" s="224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1"/>
      <c r="H47" s="375"/>
      <c r="I47" s="376"/>
      <c r="J47" s="369"/>
      <c r="K47" s="370"/>
      <c r="L47" s="369"/>
      <c r="M47" s="369"/>
      <c r="N47" s="225"/>
      <c r="O47" s="225"/>
      <c r="P47" s="225"/>
      <c r="Q47" s="225"/>
      <c r="R47" s="225"/>
      <c r="S47" s="337"/>
      <c r="T47" s="224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1"/>
      <c r="H48" s="375"/>
      <c r="I48" s="376"/>
      <c r="J48" s="369"/>
      <c r="K48" s="370"/>
      <c r="L48" s="369"/>
      <c r="M48" s="369"/>
      <c r="N48" s="225"/>
      <c r="O48" s="225"/>
      <c r="P48" s="225"/>
      <c r="Q48" s="225"/>
      <c r="R48" s="225"/>
      <c r="S48" s="337"/>
      <c r="T48" s="224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1"/>
      <c r="H49" s="375"/>
      <c r="I49" s="376"/>
      <c r="J49" s="369"/>
      <c r="K49" s="370"/>
      <c r="L49" s="369"/>
      <c r="M49" s="369"/>
      <c r="N49" s="225"/>
      <c r="O49" s="225"/>
      <c r="P49" s="225"/>
      <c r="Q49" s="225"/>
      <c r="R49" s="225"/>
      <c r="S49" s="337"/>
      <c r="T49" s="224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1"/>
      <c r="H50" s="375"/>
      <c r="I50" s="376"/>
      <c r="J50" s="369"/>
      <c r="K50" s="370"/>
      <c r="L50" s="369"/>
      <c r="M50" s="369"/>
      <c r="N50" s="225"/>
      <c r="O50" s="225"/>
      <c r="P50" s="225"/>
      <c r="Q50" s="225"/>
      <c r="R50" s="225"/>
      <c r="S50" s="337"/>
      <c r="T50" s="224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1"/>
      <c r="H51" s="375"/>
      <c r="I51" s="376"/>
      <c r="J51" s="369"/>
      <c r="K51" s="370"/>
      <c r="L51" s="369"/>
      <c r="M51" s="369"/>
      <c r="N51" s="225"/>
      <c r="O51" s="225"/>
      <c r="P51" s="225"/>
      <c r="Q51" s="225"/>
      <c r="R51" s="225"/>
      <c r="S51" s="337"/>
      <c r="T51" s="224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1"/>
      <c r="H52" s="375"/>
      <c r="I52" s="376"/>
      <c r="J52" s="369"/>
      <c r="K52" s="370"/>
      <c r="L52" s="369"/>
      <c r="M52" s="369"/>
      <c r="N52" s="225"/>
      <c r="O52" s="225"/>
      <c r="P52" s="225"/>
      <c r="Q52" s="225"/>
      <c r="R52" s="225"/>
      <c r="S52" s="337"/>
      <c r="T52" s="224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1"/>
      <c r="H53" s="375"/>
      <c r="I53" s="376"/>
      <c r="J53" s="369"/>
      <c r="K53" s="370"/>
      <c r="L53" s="369"/>
      <c r="M53" s="369"/>
      <c r="N53" s="225"/>
      <c r="O53" s="225"/>
      <c r="P53" s="225"/>
      <c r="Q53" s="225"/>
      <c r="R53" s="225"/>
      <c r="S53" s="337"/>
      <c r="T53" s="224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1"/>
      <c r="H54" s="375"/>
      <c r="I54" s="376"/>
      <c r="J54" s="369"/>
      <c r="K54" s="370"/>
      <c r="L54" s="369"/>
      <c r="M54" s="369"/>
      <c r="N54" s="225"/>
      <c r="O54" s="225"/>
      <c r="P54" s="225"/>
      <c r="Q54" s="225"/>
      <c r="R54" s="225"/>
      <c r="S54" s="337"/>
      <c r="T54" s="224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1"/>
      <c r="H55" s="375"/>
      <c r="I55" s="376"/>
      <c r="J55" s="369"/>
      <c r="K55" s="370"/>
      <c r="L55" s="369"/>
      <c r="M55" s="369"/>
      <c r="N55" s="225"/>
      <c r="O55" s="225"/>
      <c r="P55" s="225"/>
      <c r="Q55" s="225"/>
      <c r="R55" s="225"/>
      <c r="S55" s="337"/>
      <c r="T55" s="224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1"/>
      <c r="H56" s="375"/>
      <c r="I56" s="376"/>
      <c r="J56" s="369"/>
      <c r="K56" s="370"/>
      <c r="L56" s="369"/>
      <c r="M56" s="369"/>
      <c r="N56" s="225"/>
      <c r="O56" s="225"/>
      <c r="P56" s="225"/>
      <c r="Q56" s="225"/>
      <c r="R56" s="225"/>
      <c r="S56" s="337"/>
      <c r="T56" s="224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1"/>
      <c r="H57" s="375"/>
      <c r="I57" s="376"/>
      <c r="J57" s="369"/>
      <c r="K57" s="370"/>
      <c r="L57" s="369"/>
      <c r="M57" s="369"/>
      <c r="N57" s="225"/>
      <c r="O57" s="225"/>
      <c r="P57" s="225"/>
      <c r="Q57" s="225"/>
      <c r="R57" s="225"/>
      <c r="S57" s="337"/>
      <c r="T57" s="224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1"/>
      <c r="H58" s="375"/>
      <c r="I58" s="376"/>
      <c r="J58" s="369"/>
      <c r="K58" s="370"/>
      <c r="L58" s="369"/>
      <c r="M58" s="369"/>
      <c r="N58" s="225"/>
      <c r="O58" s="225"/>
      <c r="P58" s="225"/>
      <c r="Q58" s="225"/>
      <c r="R58" s="225"/>
      <c r="S58" s="337"/>
      <c r="T58" s="224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4"/>
      <c r="F59" s="53"/>
      <c r="G59" s="371"/>
      <c r="H59" s="375"/>
      <c r="I59" s="376"/>
      <c r="J59" s="369"/>
      <c r="K59" s="370"/>
      <c r="L59" s="369"/>
      <c r="M59" s="369"/>
      <c r="N59" s="225"/>
      <c r="O59" s="225"/>
      <c r="P59" s="225"/>
      <c r="Q59" s="225"/>
      <c r="R59" s="225"/>
      <c r="S59" s="337"/>
      <c r="T59" s="224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1"/>
      <c r="H60" s="375"/>
      <c r="I60" s="376"/>
      <c r="J60" s="369"/>
      <c r="K60" s="370"/>
      <c r="L60" s="369"/>
      <c r="M60" s="369"/>
      <c r="N60" s="225"/>
      <c r="O60" s="225"/>
      <c r="P60" s="225"/>
      <c r="Q60" s="225"/>
      <c r="R60" s="225"/>
      <c r="S60" s="337"/>
      <c r="T60" s="224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1"/>
      <c r="H61" s="375"/>
      <c r="I61" s="376"/>
      <c r="J61" s="369"/>
      <c r="K61" s="370"/>
      <c r="L61" s="369"/>
      <c r="M61" s="369"/>
      <c r="N61" s="225"/>
      <c r="O61" s="225"/>
      <c r="P61" s="225"/>
      <c r="Q61" s="225"/>
      <c r="R61" s="225"/>
      <c r="S61" s="337"/>
      <c r="T61" s="224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1"/>
      <c r="H62" s="375"/>
      <c r="I62" s="376"/>
      <c r="J62" s="369"/>
      <c r="K62" s="370"/>
      <c r="L62" s="369"/>
      <c r="M62" s="369"/>
      <c r="N62" s="225"/>
      <c r="O62" s="225"/>
      <c r="P62" s="225"/>
      <c r="Q62" s="225"/>
      <c r="R62" s="225"/>
      <c r="S62" s="337"/>
      <c r="T62" s="224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1"/>
      <c r="H63" s="375"/>
      <c r="I63" s="376"/>
      <c r="J63" s="369"/>
      <c r="K63" s="370"/>
      <c r="L63" s="369"/>
      <c r="M63" s="369"/>
      <c r="N63" s="225"/>
      <c r="O63" s="225"/>
      <c r="P63" s="225"/>
      <c r="Q63" s="225"/>
      <c r="R63" s="225"/>
      <c r="S63" s="337"/>
      <c r="T63" s="224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1"/>
      <c r="H64" s="375"/>
      <c r="I64" s="376"/>
      <c r="J64" s="369"/>
      <c r="K64" s="370"/>
      <c r="L64" s="369"/>
      <c r="M64" s="369"/>
      <c r="N64" s="225"/>
      <c r="O64" s="225"/>
      <c r="P64" s="225"/>
      <c r="Q64" s="225"/>
      <c r="R64" s="225"/>
      <c r="S64" s="337"/>
      <c r="T64" s="224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1"/>
      <c r="H65" s="375"/>
      <c r="I65" s="376"/>
      <c r="J65" s="369"/>
      <c r="K65" s="370"/>
      <c r="L65" s="369"/>
      <c r="M65" s="369"/>
      <c r="N65" s="225"/>
      <c r="O65" s="225"/>
      <c r="P65" s="225"/>
      <c r="Q65" s="225"/>
      <c r="R65" s="225"/>
      <c r="S65" s="337"/>
      <c r="T65" s="224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1"/>
      <c r="H66" s="375"/>
      <c r="I66" s="376"/>
      <c r="J66" s="369"/>
      <c r="K66" s="370"/>
      <c r="L66" s="369"/>
      <c r="M66" s="369"/>
      <c r="N66" s="225"/>
      <c r="O66" s="225"/>
      <c r="P66" s="225"/>
      <c r="Q66" s="225"/>
      <c r="R66" s="225"/>
      <c r="S66" s="337"/>
      <c r="T66" s="224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1"/>
      <c r="H67" s="375"/>
      <c r="I67" s="376"/>
      <c r="J67" s="369"/>
      <c r="K67" s="370"/>
      <c r="L67" s="369"/>
      <c r="M67" s="369"/>
      <c r="N67" s="225"/>
      <c r="O67" s="225"/>
      <c r="P67" s="225"/>
      <c r="Q67" s="225"/>
      <c r="R67" s="225"/>
      <c r="S67" s="337"/>
      <c r="T67" s="224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1"/>
      <c r="H68" s="375"/>
      <c r="I68" s="376"/>
      <c r="J68" s="369"/>
      <c r="K68" s="370"/>
      <c r="L68" s="369"/>
      <c r="M68" s="369"/>
      <c r="N68" s="225"/>
      <c r="O68" s="225"/>
      <c r="P68" s="225"/>
      <c r="Q68" s="225"/>
      <c r="R68" s="225"/>
      <c r="S68" s="337"/>
      <c r="T68" s="224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1"/>
      <c r="H69" s="375"/>
      <c r="I69" s="376"/>
      <c r="J69" s="369"/>
      <c r="K69" s="370"/>
      <c r="L69" s="369"/>
      <c r="M69" s="369"/>
      <c r="N69" s="225"/>
      <c r="O69" s="225"/>
      <c r="P69" s="225"/>
      <c r="Q69" s="225"/>
      <c r="R69" s="225"/>
      <c r="S69" s="337"/>
      <c r="T69" s="224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1"/>
      <c r="H70" s="369"/>
      <c r="I70" s="376"/>
      <c r="J70" s="369"/>
      <c r="K70" s="370"/>
      <c r="L70" s="369"/>
      <c r="M70" s="369"/>
      <c r="N70" s="225"/>
      <c r="O70" s="225"/>
      <c r="P70" s="225"/>
      <c r="Q70" s="225"/>
      <c r="R70" s="225"/>
      <c r="S70" s="337"/>
      <c r="T70" s="224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1"/>
      <c r="H71" s="369"/>
      <c r="I71" s="376"/>
      <c r="J71" s="369"/>
      <c r="K71" s="370"/>
      <c r="L71" s="369"/>
      <c r="M71" s="369"/>
      <c r="N71" s="225"/>
      <c r="O71" s="225"/>
      <c r="P71" s="225"/>
      <c r="Q71" s="225"/>
      <c r="R71" s="225"/>
      <c r="S71" s="337"/>
      <c r="T71" s="224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1"/>
      <c r="H72" s="369"/>
      <c r="I72" s="376"/>
      <c r="J72" s="369"/>
      <c r="K72" s="370"/>
      <c r="L72" s="369"/>
      <c r="M72" s="369"/>
      <c r="N72" s="225"/>
      <c r="O72" s="225"/>
      <c r="P72" s="225"/>
      <c r="Q72" s="225"/>
      <c r="R72" s="225"/>
      <c r="S72" s="337"/>
      <c r="T72" s="224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1"/>
      <c r="H73" s="369"/>
      <c r="I73" s="376"/>
      <c r="J73" s="369"/>
      <c r="K73" s="370"/>
      <c r="L73" s="369"/>
      <c r="M73" s="369"/>
      <c r="N73" s="225"/>
      <c r="O73" s="225"/>
      <c r="P73" s="225"/>
      <c r="Q73" s="225"/>
      <c r="R73" s="225"/>
      <c r="S73" s="337"/>
      <c r="T73" s="224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1"/>
      <c r="H74" s="369"/>
      <c r="I74" s="376"/>
      <c r="J74" s="369"/>
      <c r="K74" s="370"/>
      <c r="L74" s="369"/>
      <c r="M74" s="369"/>
      <c r="N74" s="225"/>
      <c r="O74" s="225"/>
      <c r="P74" s="225"/>
      <c r="Q74" s="225"/>
      <c r="R74" s="225"/>
      <c r="S74" s="337"/>
      <c r="T74" s="224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1"/>
      <c r="H75" s="369"/>
      <c r="I75" s="376"/>
      <c r="J75" s="369"/>
      <c r="K75" s="370"/>
      <c r="L75" s="369"/>
      <c r="M75" s="369"/>
      <c r="N75" s="225"/>
      <c r="O75" s="225"/>
      <c r="P75" s="225"/>
      <c r="Q75" s="225"/>
      <c r="R75" s="225"/>
      <c r="S75" s="337"/>
      <c r="T75" s="224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1"/>
      <c r="H76" s="369"/>
      <c r="I76" s="376"/>
      <c r="J76" s="369"/>
      <c r="K76" s="370"/>
      <c r="L76" s="369"/>
      <c r="M76" s="369"/>
      <c r="N76" s="225"/>
      <c r="O76" s="225"/>
      <c r="P76" s="225"/>
      <c r="Q76" s="225"/>
      <c r="R76" s="225"/>
      <c r="S76" s="337"/>
      <c r="T76" s="224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1"/>
      <c r="H77" s="369"/>
      <c r="I77" s="376"/>
      <c r="J77" s="369"/>
      <c r="K77" s="370"/>
      <c r="L77" s="369"/>
      <c r="M77" s="369"/>
      <c r="N77" s="225"/>
      <c r="O77" s="225"/>
      <c r="P77" s="225"/>
      <c r="Q77" s="225"/>
      <c r="R77" s="225"/>
      <c r="S77" s="337"/>
      <c r="T77" s="224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1"/>
      <c r="H78" s="369"/>
      <c r="I78" s="376"/>
      <c r="J78" s="369"/>
      <c r="K78" s="370"/>
      <c r="L78" s="369"/>
      <c r="M78" s="369"/>
      <c r="N78" s="225"/>
      <c r="O78" s="225"/>
      <c r="P78" s="225"/>
      <c r="Q78" s="225"/>
      <c r="R78" s="225"/>
      <c r="S78" s="337"/>
      <c r="T78" s="224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1"/>
      <c r="H79" s="369"/>
      <c r="I79" s="376"/>
      <c r="J79" s="369"/>
      <c r="K79" s="370"/>
      <c r="L79" s="369"/>
      <c r="M79" s="369"/>
      <c r="N79" s="225"/>
      <c r="O79" s="225"/>
      <c r="P79" s="225"/>
      <c r="Q79" s="225"/>
      <c r="R79" s="225"/>
      <c r="S79" s="337"/>
      <c r="T79" s="224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1"/>
      <c r="H80" s="369"/>
      <c r="I80" s="376"/>
      <c r="J80" s="369"/>
      <c r="K80" s="370"/>
      <c r="L80" s="369"/>
      <c r="M80" s="369"/>
      <c r="N80" s="225"/>
      <c r="O80" s="225"/>
      <c r="P80" s="225"/>
      <c r="Q80" s="225"/>
      <c r="R80" s="225"/>
      <c r="S80" s="337"/>
      <c r="T80" s="224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1"/>
      <c r="H81" s="369"/>
      <c r="I81" s="376"/>
      <c r="J81" s="369"/>
      <c r="K81" s="370"/>
      <c r="L81" s="369"/>
      <c r="M81" s="369"/>
      <c r="N81" s="225"/>
      <c r="O81" s="225"/>
      <c r="P81" s="225"/>
      <c r="Q81" s="225"/>
      <c r="R81" s="225"/>
      <c r="S81" s="337"/>
      <c r="T81" s="224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1"/>
      <c r="H82" s="369"/>
      <c r="I82" s="376"/>
      <c r="J82" s="369"/>
      <c r="K82" s="370"/>
      <c r="L82" s="369"/>
      <c r="M82" s="369"/>
      <c r="N82" s="225"/>
      <c r="O82" s="225"/>
      <c r="P82" s="225"/>
      <c r="Q82" s="225"/>
      <c r="R82" s="225"/>
      <c r="S82" s="337"/>
      <c r="T82" s="224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1"/>
      <c r="H83" s="369"/>
      <c r="I83" s="376"/>
      <c r="J83" s="369"/>
      <c r="K83" s="370"/>
      <c r="L83" s="369"/>
      <c r="M83" s="369"/>
      <c r="N83" s="225"/>
      <c r="O83" s="225"/>
      <c r="P83" s="225"/>
      <c r="Q83" s="225"/>
      <c r="R83" s="225"/>
      <c r="S83" s="337"/>
      <c r="T83" s="224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1"/>
      <c r="H84" s="369"/>
      <c r="I84" s="376"/>
      <c r="J84" s="369"/>
      <c r="K84" s="370"/>
      <c r="L84" s="369"/>
      <c r="M84" s="369"/>
      <c r="N84" s="225"/>
      <c r="O84" s="225"/>
      <c r="P84" s="225"/>
      <c r="Q84" s="225"/>
      <c r="R84" s="225"/>
      <c r="S84" s="337"/>
      <c r="T84" s="224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69"/>
      <c r="H85" s="369"/>
      <c r="I85" s="376"/>
      <c r="J85" s="369"/>
      <c r="K85" s="370"/>
      <c r="L85" s="369"/>
      <c r="M85" s="369"/>
      <c r="N85" s="225"/>
      <c r="O85" s="225"/>
      <c r="P85" s="225"/>
      <c r="Q85" s="225"/>
      <c r="R85" s="225"/>
      <c r="S85" s="337"/>
      <c r="T85" s="224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69"/>
      <c r="H86" s="369"/>
      <c r="I86" s="376"/>
      <c r="J86" s="369"/>
      <c r="K86" s="370"/>
      <c r="L86" s="369"/>
      <c r="M86" s="369"/>
      <c r="N86" s="225"/>
      <c r="O86" s="225"/>
      <c r="P86" s="225"/>
      <c r="Q86" s="225"/>
      <c r="R86" s="225"/>
      <c r="S86" s="337"/>
      <c r="T86" s="224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69"/>
      <c r="H87" s="369"/>
      <c r="I87" s="376"/>
      <c r="J87" s="369"/>
      <c r="K87" s="370"/>
      <c r="L87" s="369"/>
      <c r="M87" s="369"/>
      <c r="N87" s="225"/>
      <c r="O87" s="225"/>
      <c r="P87" s="225"/>
      <c r="Q87" s="225"/>
      <c r="R87" s="225"/>
      <c r="S87" s="337"/>
      <c r="T87" s="224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69"/>
      <c r="H88" s="369"/>
      <c r="I88" s="376"/>
      <c r="J88" s="369"/>
      <c r="K88" s="370"/>
      <c r="L88" s="369"/>
      <c r="M88" s="369"/>
      <c r="N88" s="225"/>
      <c r="O88" s="225"/>
      <c r="P88" s="225"/>
      <c r="Q88" s="225"/>
      <c r="R88" s="225"/>
      <c r="S88" s="337"/>
      <c r="T88" s="224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69"/>
      <c r="H89" s="369"/>
      <c r="I89" s="376"/>
      <c r="J89" s="369"/>
      <c r="K89" s="370"/>
      <c r="L89" s="369"/>
      <c r="M89" s="369"/>
      <c r="N89" s="225"/>
      <c r="O89" s="225"/>
      <c r="P89" s="225"/>
      <c r="Q89" s="225"/>
      <c r="R89" s="225"/>
      <c r="S89" s="337"/>
      <c r="T89" s="224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69"/>
      <c r="H90" s="369"/>
      <c r="I90" s="376"/>
      <c r="J90" s="369"/>
      <c r="K90" s="370"/>
      <c r="L90" s="369"/>
      <c r="M90" s="369"/>
      <c r="N90" s="225"/>
      <c r="O90" s="225"/>
      <c r="P90" s="225"/>
      <c r="Q90" s="225"/>
      <c r="R90" s="225"/>
      <c r="S90" s="337"/>
      <c r="T90" s="224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69"/>
      <c r="H91" s="369"/>
      <c r="I91" s="376"/>
      <c r="J91" s="369"/>
      <c r="K91" s="370"/>
      <c r="L91" s="369"/>
      <c r="M91" s="369"/>
      <c r="N91" s="225"/>
      <c r="O91" s="225"/>
      <c r="P91" s="225"/>
      <c r="Q91" s="225"/>
      <c r="R91" s="225"/>
      <c r="S91" s="337"/>
      <c r="T91" s="224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69"/>
      <c r="H92" s="369"/>
      <c r="I92" s="376"/>
      <c r="J92" s="369"/>
      <c r="K92" s="370"/>
      <c r="L92" s="369"/>
      <c r="M92" s="369"/>
      <c r="N92" s="225"/>
      <c r="O92" s="225"/>
      <c r="P92" s="225"/>
      <c r="Q92" s="225"/>
      <c r="R92" s="225"/>
      <c r="S92" s="337"/>
      <c r="T92" s="224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69"/>
      <c r="H93" s="369"/>
      <c r="I93" s="376"/>
      <c r="J93" s="369"/>
      <c r="K93" s="370"/>
      <c r="L93" s="369"/>
      <c r="M93" s="369"/>
      <c r="N93" s="225"/>
      <c r="O93" s="225"/>
      <c r="P93" s="225"/>
      <c r="Q93" s="225"/>
      <c r="R93" s="225"/>
      <c r="S93" s="337"/>
      <c r="T93" s="224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69"/>
      <c r="H94" s="369"/>
      <c r="I94" s="376"/>
      <c r="J94" s="369"/>
      <c r="K94" s="370"/>
      <c r="L94" s="369"/>
      <c r="M94" s="369"/>
      <c r="N94" s="225"/>
      <c r="O94" s="225"/>
      <c r="P94" s="225"/>
      <c r="Q94" s="225"/>
      <c r="R94" s="225"/>
      <c r="S94" s="337"/>
      <c r="T94" s="224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69"/>
      <c r="H95" s="369"/>
      <c r="I95" s="376"/>
      <c r="J95" s="369"/>
      <c r="K95" s="370"/>
      <c r="L95" s="369"/>
      <c r="M95" s="369"/>
      <c r="N95" s="225"/>
      <c r="O95" s="225"/>
      <c r="P95" s="225"/>
      <c r="Q95" s="225"/>
      <c r="R95" s="225"/>
      <c r="S95" s="337"/>
      <c r="T95" s="224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69"/>
      <c r="H96" s="369"/>
      <c r="I96" s="376"/>
      <c r="J96" s="369"/>
      <c r="K96" s="370"/>
      <c r="L96" s="369"/>
      <c r="M96" s="369"/>
      <c r="N96" s="225"/>
      <c r="O96" s="225"/>
      <c r="P96" s="225"/>
      <c r="Q96" s="225"/>
      <c r="R96" s="225"/>
      <c r="S96" s="337"/>
      <c r="T96" s="224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69"/>
      <c r="H97" s="369"/>
      <c r="I97" s="376"/>
      <c r="J97" s="369"/>
      <c r="K97" s="370"/>
      <c r="L97" s="369"/>
      <c r="M97" s="369"/>
      <c r="N97" s="225"/>
      <c r="O97" s="225"/>
      <c r="P97" s="225"/>
      <c r="Q97" s="225"/>
      <c r="R97" s="225"/>
      <c r="S97" s="337"/>
      <c r="T97" s="224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69"/>
      <c r="H98" s="369"/>
      <c r="I98" s="376"/>
      <c r="J98" s="369"/>
      <c r="K98" s="370"/>
      <c r="L98" s="369"/>
      <c r="M98" s="369"/>
      <c r="N98" s="225"/>
      <c r="O98" s="225"/>
      <c r="P98" s="225"/>
      <c r="Q98" s="225"/>
      <c r="R98" s="225"/>
      <c r="S98" s="337"/>
      <c r="T98" s="224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69"/>
      <c r="H99" s="369"/>
      <c r="I99" s="376"/>
      <c r="J99" s="369"/>
      <c r="K99" s="370"/>
      <c r="L99" s="369"/>
      <c r="M99" s="369"/>
      <c r="N99" s="225"/>
      <c r="O99" s="225"/>
      <c r="P99" s="225"/>
      <c r="Q99" s="225"/>
      <c r="R99" s="225"/>
      <c r="S99" s="337"/>
      <c r="T99" s="224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69"/>
      <c r="H100" s="369"/>
      <c r="I100" s="376"/>
      <c r="J100" s="369"/>
      <c r="K100" s="370"/>
      <c r="L100" s="369"/>
      <c r="M100" s="369"/>
      <c r="N100" s="225"/>
      <c r="O100" s="225"/>
      <c r="P100" s="225"/>
      <c r="Q100" s="225"/>
      <c r="R100" s="225"/>
      <c r="S100" s="337"/>
      <c r="T100" s="224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69"/>
      <c r="H101" s="369"/>
      <c r="I101" s="376"/>
      <c r="J101" s="369"/>
      <c r="K101" s="370"/>
      <c r="L101" s="369"/>
      <c r="M101" s="369"/>
      <c r="N101" s="225"/>
      <c r="O101" s="225"/>
      <c r="P101" s="225"/>
      <c r="Q101" s="225"/>
      <c r="R101" s="225"/>
      <c r="S101" s="337"/>
      <c r="T101" s="224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69"/>
      <c r="H102" s="369"/>
      <c r="I102" s="376"/>
      <c r="J102" s="369"/>
      <c r="K102" s="370"/>
      <c r="L102" s="369"/>
      <c r="M102" s="369"/>
      <c r="N102" s="225"/>
      <c r="O102" s="225"/>
      <c r="P102" s="225"/>
      <c r="Q102" s="225"/>
      <c r="R102" s="225"/>
      <c r="S102" s="337"/>
      <c r="T102" s="224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69"/>
      <c r="H103" s="369"/>
      <c r="I103" s="376"/>
      <c r="J103" s="369"/>
      <c r="K103" s="370"/>
      <c r="L103" s="369"/>
      <c r="M103" s="369"/>
      <c r="N103" s="225"/>
      <c r="O103" s="225"/>
      <c r="P103" s="225"/>
      <c r="Q103" s="225"/>
      <c r="R103" s="225"/>
      <c r="S103" s="337"/>
      <c r="T103" s="224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69"/>
      <c r="H104" s="369"/>
      <c r="I104" s="376"/>
      <c r="J104" s="369"/>
      <c r="K104" s="370"/>
      <c r="L104" s="369"/>
      <c r="M104" s="369"/>
      <c r="N104" s="225"/>
      <c r="O104" s="225"/>
      <c r="P104" s="225"/>
      <c r="Q104" s="225"/>
      <c r="R104" s="225"/>
      <c r="S104" s="337"/>
      <c r="T104" s="224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69"/>
      <c r="H105" s="369"/>
      <c r="I105" s="376"/>
      <c r="J105" s="369"/>
      <c r="K105" s="370"/>
      <c r="L105" s="369"/>
      <c r="M105" s="369"/>
      <c r="N105" s="225"/>
      <c r="O105" s="225"/>
      <c r="P105" s="225"/>
      <c r="Q105" s="225"/>
      <c r="R105" s="225"/>
      <c r="S105" s="337"/>
      <c r="T105" s="224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69"/>
      <c r="H106" s="369"/>
      <c r="I106" s="376"/>
      <c r="J106" s="369"/>
      <c r="K106" s="370"/>
      <c r="L106" s="369"/>
      <c r="M106" s="369"/>
      <c r="N106" s="225"/>
      <c r="O106" s="225"/>
      <c r="P106" s="225"/>
      <c r="Q106" s="225"/>
      <c r="R106" s="225"/>
      <c r="S106" s="337"/>
      <c r="T106" s="224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69"/>
      <c r="H107" s="369"/>
      <c r="I107" s="376"/>
      <c r="J107" s="369"/>
      <c r="K107" s="370"/>
      <c r="L107" s="369"/>
      <c r="M107" s="369"/>
      <c r="N107" s="225"/>
      <c r="O107" s="225"/>
      <c r="P107" s="225"/>
      <c r="Q107" s="225"/>
      <c r="R107" s="225"/>
      <c r="S107" s="337"/>
      <c r="T107" s="224"/>
      <c r="U107" s="53"/>
      <c r="V107" s="53"/>
      <c r="W107" s="53"/>
      <c r="X107" s="53"/>
    </row>
    <row r="108" spans="1:24" ht="15.4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69"/>
      <c r="H108" s="369"/>
      <c r="I108" s="376"/>
      <c r="J108" s="369"/>
      <c r="K108" s="370"/>
      <c r="L108" s="369"/>
      <c r="M108" s="369"/>
      <c r="N108" s="225"/>
      <c r="O108" s="225"/>
      <c r="P108" s="225"/>
      <c r="Q108" s="225"/>
      <c r="R108" s="225"/>
      <c r="S108" s="337"/>
      <c r="T108" s="224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69"/>
      <c r="H109" s="369"/>
      <c r="I109" s="376"/>
      <c r="J109" s="369"/>
      <c r="K109" s="370"/>
      <c r="L109" s="369"/>
      <c r="M109" s="369"/>
      <c r="N109" s="225"/>
      <c r="O109" s="225"/>
      <c r="P109" s="225"/>
      <c r="Q109" s="225"/>
      <c r="R109" s="225"/>
      <c r="S109" s="337"/>
      <c r="T109" s="224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69"/>
      <c r="H110" s="369"/>
      <c r="I110" s="376"/>
      <c r="J110" s="369"/>
      <c r="K110" s="370"/>
      <c r="L110" s="369"/>
      <c r="M110" s="369"/>
      <c r="N110" s="225"/>
      <c r="O110" s="225"/>
      <c r="P110" s="225"/>
      <c r="Q110" s="225"/>
      <c r="R110" s="225"/>
      <c r="S110" s="337"/>
      <c r="T110" s="224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69"/>
      <c r="H111" s="369"/>
      <c r="I111" s="376"/>
      <c r="J111" s="369"/>
      <c r="K111" s="370"/>
      <c r="L111" s="369"/>
      <c r="M111" s="369"/>
      <c r="N111" s="225"/>
      <c r="O111" s="225"/>
      <c r="P111" s="225"/>
      <c r="Q111" s="225"/>
      <c r="R111" s="225"/>
      <c r="S111" s="337"/>
      <c r="T111" s="224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69"/>
      <c r="H112" s="369"/>
      <c r="I112" s="376"/>
      <c r="J112" s="369"/>
      <c r="K112" s="370"/>
      <c r="L112" s="369"/>
      <c r="M112" s="369"/>
      <c r="N112" s="225"/>
      <c r="O112" s="225"/>
      <c r="P112" s="225"/>
      <c r="Q112" s="225"/>
      <c r="R112" s="225"/>
      <c r="S112" s="337"/>
      <c r="T112" s="224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69"/>
      <c r="H113" s="369"/>
      <c r="I113" s="376"/>
      <c r="J113" s="369"/>
      <c r="K113" s="370"/>
      <c r="L113" s="369"/>
      <c r="M113" s="369"/>
      <c r="N113" s="225"/>
      <c r="O113" s="225"/>
      <c r="P113" s="225"/>
      <c r="Q113" s="225"/>
      <c r="R113" s="225"/>
      <c r="S113" s="337"/>
      <c r="T113" s="224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69"/>
      <c r="H114" s="369"/>
      <c r="I114" s="376"/>
      <c r="J114" s="369"/>
      <c r="K114" s="370"/>
      <c r="L114" s="369"/>
      <c r="M114" s="369"/>
      <c r="N114" s="225"/>
      <c r="O114" s="225"/>
      <c r="P114" s="225"/>
      <c r="Q114" s="225"/>
      <c r="R114" s="225"/>
      <c r="S114" s="337"/>
      <c r="T114" s="224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69"/>
      <c r="H115" s="369"/>
      <c r="I115" s="376"/>
      <c r="J115" s="369"/>
      <c r="K115" s="370"/>
      <c r="L115" s="369"/>
      <c r="M115" s="369"/>
      <c r="N115" s="225"/>
      <c r="O115" s="225"/>
      <c r="P115" s="225"/>
      <c r="Q115" s="225"/>
      <c r="R115" s="225"/>
      <c r="S115" s="337"/>
      <c r="T115" s="224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69"/>
      <c r="H116" s="369"/>
      <c r="I116" s="376"/>
      <c r="J116" s="369"/>
      <c r="K116" s="370"/>
      <c r="L116" s="369"/>
      <c r="M116" s="369"/>
      <c r="N116" s="225"/>
      <c r="O116" s="225"/>
      <c r="P116" s="225"/>
      <c r="Q116" s="225"/>
      <c r="R116" s="225"/>
      <c r="S116" s="337"/>
      <c r="T116" s="224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69"/>
      <c r="H117" s="369"/>
      <c r="I117" s="376"/>
      <c r="J117" s="369"/>
      <c r="K117" s="370"/>
      <c r="L117" s="369"/>
      <c r="M117" s="369"/>
      <c r="N117" s="225"/>
      <c r="O117" s="225"/>
      <c r="P117" s="225"/>
      <c r="Q117" s="225"/>
      <c r="R117" s="225"/>
      <c r="S117" s="337"/>
      <c r="T117" s="224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69"/>
      <c r="H118" s="369"/>
      <c r="I118" s="376"/>
      <c r="J118" s="369"/>
      <c r="K118" s="370"/>
      <c r="L118" s="369"/>
      <c r="M118" s="369"/>
      <c r="N118" s="225"/>
      <c r="O118" s="225"/>
      <c r="P118" s="225"/>
      <c r="Q118" s="225"/>
      <c r="R118" s="225"/>
      <c r="S118" s="337"/>
      <c r="T118" s="224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69"/>
      <c r="H119" s="369"/>
      <c r="I119" s="376"/>
      <c r="J119" s="369"/>
      <c r="K119" s="370"/>
      <c r="L119" s="369"/>
      <c r="M119" s="369"/>
      <c r="N119" s="225"/>
      <c r="O119" s="225"/>
      <c r="P119" s="225"/>
      <c r="Q119" s="225"/>
      <c r="R119" s="225"/>
      <c r="S119" s="337"/>
      <c r="T119" s="224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69"/>
      <c r="H120" s="369"/>
      <c r="I120" s="376"/>
      <c r="J120" s="369"/>
      <c r="K120" s="370"/>
      <c r="L120" s="369"/>
      <c r="M120" s="369"/>
      <c r="N120" s="225"/>
      <c r="O120" s="225"/>
      <c r="P120" s="225"/>
      <c r="Q120" s="225"/>
      <c r="R120" s="225"/>
      <c r="S120" s="337"/>
      <c r="T120" s="224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69"/>
      <c r="H121" s="369"/>
      <c r="I121" s="376"/>
      <c r="J121" s="369"/>
      <c r="K121" s="370"/>
      <c r="L121" s="369"/>
      <c r="M121" s="369"/>
      <c r="N121" s="225"/>
      <c r="O121" s="225"/>
      <c r="P121" s="225"/>
      <c r="Q121" s="225"/>
      <c r="R121" s="225"/>
      <c r="S121" s="337"/>
      <c r="T121" s="224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69"/>
      <c r="H122" s="369"/>
      <c r="I122" s="376"/>
      <c r="J122" s="369"/>
      <c r="K122" s="370"/>
      <c r="L122" s="369"/>
      <c r="M122" s="369"/>
      <c r="N122" s="225"/>
      <c r="O122" s="225"/>
      <c r="P122" s="225"/>
      <c r="Q122" s="225"/>
      <c r="R122" s="225"/>
      <c r="S122" s="337"/>
      <c r="T122" s="224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69"/>
      <c r="H123" s="369"/>
      <c r="I123" s="376"/>
      <c r="J123" s="369"/>
      <c r="K123" s="370"/>
      <c r="L123" s="369"/>
      <c r="M123" s="369"/>
      <c r="N123" s="225"/>
      <c r="O123" s="225"/>
      <c r="P123" s="225"/>
      <c r="Q123" s="225"/>
      <c r="R123" s="225"/>
      <c r="S123" s="337"/>
      <c r="T123" s="224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69"/>
      <c r="H124" s="369"/>
      <c r="I124" s="376"/>
      <c r="J124" s="369"/>
      <c r="K124" s="370"/>
      <c r="L124" s="369"/>
      <c r="M124" s="369"/>
      <c r="N124" s="225"/>
      <c r="O124" s="225"/>
      <c r="P124" s="225"/>
      <c r="Q124" s="225"/>
      <c r="R124" s="225"/>
      <c r="S124" s="337"/>
      <c r="T124" s="224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69"/>
      <c r="H125" s="369"/>
      <c r="I125" s="376"/>
      <c r="J125" s="369"/>
      <c r="K125" s="370"/>
      <c r="L125" s="369"/>
      <c r="M125" s="369"/>
      <c r="N125" s="225"/>
      <c r="O125" s="225"/>
      <c r="P125" s="225"/>
      <c r="Q125" s="225"/>
      <c r="R125" s="225"/>
      <c r="S125" s="337"/>
      <c r="T125" s="224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69"/>
      <c r="H126" s="369"/>
      <c r="I126" s="376"/>
      <c r="J126" s="369"/>
      <c r="K126" s="370"/>
      <c r="L126" s="369"/>
      <c r="M126" s="369"/>
      <c r="N126" s="225"/>
      <c r="O126" s="225"/>
      <c r="P126" s="225"/>
      <c r="Q126" s="225"/>
      <c r="R126" s="225"/>
      <c r="S126" s="337"/>
      <c r="T126" s="224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69"/>
      <c r="H127" s="369"/>
      <c r="I127" s="376"/>
      <c r="J127" s="369"/>
      <c r="K127" s="370"/>
      <c r="L127" s="369"/>
      <c r="M127" s="369"/>
      <c r="N127" s="225"/>
      <c r="O127" s="225"/>
      <c r="P127" s="225"/>
      <c r="Q127" s="225"/>
      <c r="R127" s="225"/>
      <c r="S127" s="337"/>
      <c r="T127" s="224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69"/>
      <c r="H128" s="369"/>
      <c r="I128" s="376"/>
      <c r="J128" s="369"/>
      <c r="K128" s="370"/>
      <c r="L128" s="369"/>
      <c r="M128" s="369"/>
      <c r="N128" s="225"/>
      <c r="O128" s="225"/>
      <c r="P128" s="225"/>
      <c r="Q128" s="225"/>
      <c r="R128" s="225"/>
      <c r="S128" s="337"/>
      <c r="T128" s="224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69"/>
      <c r="H129" s="369"/>
      <c r="I129" s="376"/>
      <c r="J129" s="369"/>
      <c r="K129" s="370"/>
      <c r="L129" s="369"/>
      <c r="M129" s="369"/>
      <c r="N129" s="225"/>
      <c r="O129" s="225"/>
      <c r="P129" s="225"/>
      <c r="Q129" s="225"/>
      <c r="R129" s="225"/>
      <c r="S129" s="337"/>
      <c r="T129" s="224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69"/>
      <c r="H130" s="369"/>
      <c r="I130" s="376"/>
      <c r="J130" s="369"/>
      <c r="K130" s="370"/>
      <c r="L130" s="369"/>
      <c r="M130" s="369"/>
      <c r="N130" s="225"/>
      <c r="O130" s="225"/>
      <c r="P130" s="225"/>
      <c r="Q130" s="225"/>
      <c r="R130" s="225"/>
      <c r="S130" s="337"/>
      <c r="T130" s="224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69"/>
      <c r="H131" s="369"/>
      <c r="I131" s="376"/>
      <c r="J131" s="369"/>
      <c r="K131" s="370"/>
      <c r="L131" s="369"/>
      <c r="M131" s="369"/>
      <c r="N131" s="225"/>
      <c r="O131" s="225"/>
      <c r="P131" s="225"/>
      <c r="Q131" s="225"/>
      <c r="R131" s="225"/>
      <c r="S131" s="337"/>
      <c r="T131" s="224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69"/>
      <c r="H132" s="369"/>
      <c r="I132" s="376"/>
      <c r="J132" s="369"/>
      <c r="K132" s="370"/>
      <c r="L132" s="369"/>
      <c r="M132" s="369"/>
      <c r="N132" s="225"/>
      <c r="O132" s="225"/>
      <c r="P132" s="225"/>
      <c r="Q132" s="225"/>
      <c r="R132" s="225"/>
      <c r="S132" s="337"/>
      <c r="T132" s="224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69"/>
      <c r="H133" s="369"/>
      <c r="I133" s="376"/>
      <c r="J133" s="369"/>
      <c r="K133" s="370"/>
      <c r="L133" s="369"/>
      <c r="M133" s="369"/>
      <c r="N133" s="225"/>
      <c r="O133" s="225"/>
      <c r="P133" s="225"/>
      <c r="Q133" s="225"/>
      <c r="R133" s="225"/>
      <c r="S133" s="337"/>
      <c r="T133" s="224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69"/>
      <c r="H134" s="369"/>
      <c r="I134" s="376"/>
      <c r="J134" s="369"/>
      <c r="K134" s="370"/>
      <c r="L134" s="369"/>
      <c r="M134" s="369"/>
      <c r="N134" s="225"/>
      <c r="O134" s="225"/>
      <c r="P134" s="225"/>
      <c r="Q134" s="225"/>
      <c r="R134" s="225"/>
      <c r="S134" s="337"/>
      <c r="T134" s="224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69"/>
      <c r="H135" s="369"/>
      <c r="I135" s="376"/>
      <c r="J135" s="369"/>
      <c r="K135" s="370"/>
      <c r="L135" s="369"/>
      <c r="M135" s="369"/>
      <c r="N135" s="225"/>
      <c r="O135" s="225"/>
      <c r="P135" s="225"/>
      <c r="Q135" s="225"/>
      <c r="R135" s="225"/>
      <c r="S135" s="337"/>
      <c r="T135" s="224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69"/>
      <c r="H136" s="369"/>
      <c r="I136" s="376"/>
      <c r="J136" s="369"/>
      <c r="K136" s="370"/>
      <c r="L136" s="369"/>
      <c r="M136" s="369"/>
      <c r="N136" s="225"/>
      <c r="O136" s="225"/>
      <c r="P136" s="225"/>
      <c r="Q136" s="225"/>
      <c r="R136" s="225"/>
      <c r="S136" s="337"/>
      <c r="T136" s="224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69"/>
      <c r="H137" s="369"/>
      <c r="I137" s="376"/>
      <c r="J137" s="369"/>
      <c r="K137" s="370"/>
      <c r="L137" s="369"/>
      <c r="M137" s="369"/>
      <c r="N137" s="225"/>
      <c r="O137" s="225"/>
      <c r="P137" s="225"/>
      <c r="Q137" s="225"/>
      <c r="R137" s="225"/>
      <c r="S137" s="337"/>
      <c r="T137" s="224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69"/>
      <c r="H138" s="369"/>
      <c r="I138" s="376"/>
      <c r="J138" s="369"/>
      <c r="K138" s="370"/>
      <c r="L138" s="369"/>
      <c r="M138" s="369"/>
      <c r="N138" s="225"/>
      <c r="O138" s="225"/>
      <c r="P138" s="225"/>
      <c r="Q138" s="225"/>
      <c r="R138" s="225"/>
      <c r="S138" s="337"/>
      <c r="T138" s="224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69"/>
      <c r="H139" s="369"/>
      <c r="I139" s="376"/>
      <c r="J139" s="369"/>
      <c r="K139" s="370"/>
      <c r="L139" s="369"/>
      <c r="M139" s="369"/>
      <c r="N139" s="225"/>
      <c r="O139" s="225"/>
      <c r="P139" s="225"/>
      <c r="Q139" s="225"/>
      <c r="R139" s="225"/>
      <c r="S139" s="337"/>
      <c r="T139" s="224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69"/>
      <c r="H140" s="369"/>
      <c r="I140" s="376"/>
      <c r="J140" s="369"/>
      <c r="K140" s="370"/>
      <c r="L140" s="369"/>
      <c r="M140" s="369"/>
      <c r="N140" s="225"/>
      <c r="O140" s="225"/>
      <c r="P140" s="225"/>
      <c r="Q140" s="225"/>
      <c r="R140" s="225"/>
      <c r="S140" s="337"/>
      <c r="T140" s="224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69"/>
      <c r="H141" s="369"/>
      <c r="I141" s="376"/>
      <c r="J141" s="369"/>
      <c r="K141" s="370"/>
      <c r="L141" s="369"/>
      <c r="M141" s="369"/>
      <c r="N141" s="225"/>
      <c r="O141" s="225"/>
      <c r="P141" s="225"/>
      <c r="Q141" s="225"/>
      <c r="R141" s="225"/>
      <c r="S141" s="337"/>
      <c r="T141" s="224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69"/>
      <c r="H142" s="369"/>
      <c r="I142" s="376"/>
      <c r="J142" s="369"/>
      <c r="K142" s="370"/>
      <c r="L142" s="369"/>
      <c r="M142" s="369"/>
      <c r="N142" s="225"/>
      <c r="O142" s="225"/>
      <c r="P142" s="225"/>
      <c r="Q142" s="225"/>
      <c r="R142" s="225"/>
      <c r="S142" s="337"/>
      <c r="T142" s="224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69"/>
      <c r="H143" s="369"/>
      <c r="I143" s="376"/>
      <c r="J143" s="369"/>
      <c r="K143" s="370"/>
      <c r="L143" s="369"/>
      <c r="M143" s="369"/>
      <c r="N143" s="225"/>
      <c r="O143" s="225"/>
      <c r="P143" s="225"/>
      <c r="Q143" s="225"/>
      <c r="R143" s="225"/>
      <c r="S143" s="337"/>
      <c r="T143" s="224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69"/>
      <c r="H144" s="369"/>
      <c r="I144" s="376"/>
      <c r="J144" s="369"/>
      <c r="K144" s="370"/>
      <c r="L144" s="369"/>
      <c r="M144" s="369"/>
      <c r="N144" s="225"/>
      <c r="O144" s="225"/>
      <c r="P144" s="225"/>
      <c r="Q144" s="225"/>
      <c r="R144" s="225"/>
      <c r="S144" s="337"/>
      <c r="T144" s="224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69"/>
      <c r="H145" s="369"/>
      <c r="I145" s="376"/>
      <c r="J145" s="369"/>
      <c r="K145" s="370"/>
      <c r="L145" s="369"/>
      <c r="M145" s="369"/>
      <c r="N145" s="225"/>
      <c r="O145" s="225"/>
      <c r="P145" s="225"/>
      <c r="Q145" s="225"/>
      <c r="R145" s="225"/>
      <c r="S145" s="337"/>
      <c r="T145" s="224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69"/>
      <c r="H146" s="369"/>
      <c r="I146" s="376"/>
      <c r="J146" s="369"/>
      <c r="K146" s="370"/>
      <c r="L146" s="369"/>
      <c r="M146" s="369"/>
      <c r="N146" s="225"/>
      <c r="O146" s="225"/>
      <c r="P146" s="225"/>
      <c r="Q146" s="225"/>
      <c r="R146" s="225"/>
      <c r="S146" s="337"/>
      <c r="T146" s="224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69"/>
      <c r="H147" s="369"/>
      <c r="I147" s="376"/>
      <c r="J147" s="369"/>
      <c r="K147" s="370"/>
      <c r="L147" s="369"/>
      <c r="M147" s="369"/>
      <c r="N147" s="225"/>
      <c r="O147" s="225"/>
      <c r="P147" s="225"/>
      <c r="Q147" s="225"/>
      <c r="R147" s="225"/>
      <c r="S147" s="337"/>
      <c r="T147" s="224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69"/>
      <c r="H148" s="369"/>
      <c r="I148" s="376"/>
      <c r="J148" s="369"/>
      <c r="K148" s="370"/>
      <c r="L148" s="369"/>
      <c r="M148" s="369"/>
      <c r="N148" s="225"/>
      <c r="O148" s="225"/>
      <c r="P148" s="225"/>
      <c r="Q148" s="225"/>
      <c r="R148" s="225"/>
      <c r="S148" s="337"/>
      <c r="T148" s="224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69"/>
      <c r="H149" s="369"/>
      <c r="I149" s="376"/>
      <c r="J149" s="369"/>
      <c r="K149" s="370"/>
      <c r="L149" s="369"/>
      <c r="M149" s="369"/>
      <c r="N149" s="225"/>
      <c r="O149" s="225"/>
      <c r="P149" s="225"/>
      <c r="Q149" s="225"/>
      <c r="R149" s="225"/>
      <c r="S149" s="337"/>
      <c r="T149" s="224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69"/>
      <c r="H150" s="369"/>
      <c r="I150" s="376"/>
      <c r="J150" s="369"/>
      <c r="K150" s="370"/>
      <c r="L150" s="369"/>
      <c r="M150" s="369"/>
      <c r="N150" s="225"/>
      <c r="O150" s="225"/>
      <c r="P150" s="225"/>
      <c r="Q150" s="225"/>
      <c r="R150" s="225"/>
      <c r="S150" s="337"/>
      <c r="T150" s="224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69"/>
      <c r="H151" s="369"/>
      <c r="I151" s="376"/>
      <c r="J151" s="369"/>
      <c r="K151" s="370"/>
      <c r="L151" s="369"/>
      <c r="M151" s="369"/>
      <c r="N151" s="225"/>
      <c r="O151" s="225"/>
      <c r="P151" s="225"/>
      <c r="Q151" s="225"/>
      <c r="R151" s="225"/>
      <c r="S151" s="337"/>
      <c r="T151" s="224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69"/>
      <c r="H152" s="369"/>
      <c r="I152" s="376"/>
      <c r="J152" s="369"/>
      <c r="K152" s="370"/>
      <c r="L152" s="369"/>
      <c r="M152" s="369"/>
      <c r="N152" s="225"/>
      <c r="O152" s="225"/>
      <c r="P152" s="225"/>
      <c r="Q152" s="225"/>
      <c r="R152" s="225"/>
      <c r="S152" s="337"/>
      <c r="T152" s="224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69"/>
      <c r="H153" s="369"/>
      <c r="I153" s="376"/>
      <c r="J153" s="369"/>
      <c r="K153" s="370"/>
      <c r="L153" s="369"/>
      <c r="M153" s="369"/>
      <c r="N153" s="225"/>
      <c r="O153" s="225"/>
      <c r="P153" s="225"/>
      <c r="Q153" s="225"/>
      <c r="R153" s="225"/>
      <c r="S153" s="337"/>
      <c r="T153" s="224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69"/>
      <c r="H154" s="369"/>
      <c r="I154" s="376"/>
      <c r="J154" s="369"/>
      <c r="K154" s="370"/>
      <c r="L154" s="369"/>
      <c r="M154" s="369"/>
      <c r="N154" s="225"/>
      <c r="O154" s="225"/>
      <c r="P154" s="225"/>
      <c r="Q154" s="225"/>
      <c r="R154" s="225"/>
      <c r="S154" s="337"/>
      <c r="T154" s="224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69"/>
      <c r="H155" s="369"/>
      <c r="I155" s="376"/>
      <c r="J155" s="369"/>
      <c r="K155" s="370"/>
      <c r="L155" s="369"/>
      <c r="M155" s="369"/>
      <c r="N155" s="225"/>
      <c r="O155" s="225"/>
      <c r="P155" s="225"/>
      <c r="Q155" s="225"/>
      <c r="R155" s="225"/>
      <c r="S155" s="337"/>
      <c r="T155" s="224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69"/>
      <c r="H156" s="369"/>
      <c r="I156" s="376"/>
      <c r="J156" s="369"/>
      <c r="K156" s="370"/>
      <c r="L156" s="369"/>
      <c r="M156" s="369"/>
      <c r="N156" s="225"/>
      <c r="O156" s="225"/>
      <c r="P156" s="225"/>
      <c r="Q156" s="225"/>
      <c r="R156" s="225"/>
      <c r="S156" s="337"/>
      <c r="T156" s="224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69"/>
      <c r="H157" s="369"/>
      <c r="I157" s="376"/>
      <c r="J157" s="369"/>
      <c r="K157" s="370"/>
      <c r="L157" s="369"/>
      <c r="M157" s="369"/>
      <c r="N157" s="225"/>
      <c r="O157" s="225"/>
      <c r="P157" s="225"/>
      <c r="Q157" s="225"/>
      <c r="R157" s="225"/>
      <c r="S157" s="337"/>
      <c r="T157" s="224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69"/>
      <c r="H158" s="369"/>
      <c r="I158" s="376"/>
      <c r="J158" s="369"/>
      <c r="K158" s="370"/>
      <c r="L158" s="369"/>
      <c r="M158" s="369"/>
      <c r="N158" s="225"/>
      <c r="O158" s="225"/>
      <c r="P158" s="225"/>
      <c r="Q158" s="225"/>
      <c r="R158" s="225"/>
      <c r="S158" s="337"/>
      <c r="T158" s="224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69"/>
      <c r="H159" s="369"/>
      <c r="I159" s="376"/>
      <c r="J159" s="369"/>
      <c r="K159" s="370"/>
      <c r="L159" s="369"/>
      <c r="M159" s="369"/>
      <c r="N159" s="225"/>
      <c r="O159" s="225"/>
      <c r="P159" s="225"/>
      <c r="Q159" s="225"/>
      <c r="R159" s="225"/>
      <c r="S159" s="337"/>
      <c r="T159" s="224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69"/>
      <c r="H160" s="369"/>
      <c r="I160" s="376"/>
      <c r="J160" s="369"/>
      <c r="K160" s="370"/>
      <c r="L160" s="369"/>
      <c r="M160" s="369"/>
      <c r="N160" s="225"/>
      <c r="O160" s="225"/>
      <c r="P160" s="225"/>
      <c r="Q160" s="225"/>
      <c r="R160" s="225"/>
      <c r="S160" s="337"/>
      <c r="T160" s="224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69"/>
      <c r="H161" s="369"/>
      <c r="I161" s="376"/>
      <c r="J161" s="369"/>
      <c r="K161" s="370"/>
      <c r="L161" s="369"/>
      <c r="M161" s="369"/>
      <c r="N161" s="225"/>
      <c r="O161" s="225"/>
      <c r="P161" s="225"/>
      <c r="Q161" s="225"/>
      <c r="R161" s="225"/>
      <c r="S161" s="337"/>
      <c r="T161" s="224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69"/>
      <c r="H162" s="369"/>
      <c r="I162" s="376"/>
      <c r="J162" s="369"/>
      <c r="K162" s="370"/>
      <c r="L162" s="369"/>
      <c r="M162" s="369"/>
      <c r="N162" s="225"/>
      <c r="O162" s="225"/>
      <c r="P162" s="225"/>
      <c r="Q162" s="225"/>
      <c r="R162" s="225"/>
      <c r="S162" s="337"/>
      <c r="T162" s="224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69"/>
      <c r="H163" s="369"/>
      <c r="I163" s="376"/>
      <c r="J163" s="369"/>
      <c r="K163" s="370"/>
      <c r="L163" s="369"/>
      <c r="M163" s="369"/>
      <c r="N163" s="225"/>
      <c r="O163" s="225"/>
      <c r="P163" s="225"/>
      <c r="Q163" s="225"/>
      <c r="R163" s="225"/>
      <c r="S163" s="337"/>
      <c r="T163" s="224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69"/>
      <c r="H164" s="369"/>
      <c r="I164" s="376"/>
      <c r="J164" s="369"/>
      <c r="K164" s="370"/>
      <c r="L164" s="369"/>
      <c r="M164" s="369"/>
      <c r="N164" s="225"/>
      <c r="O164" s="225"/>
      <c r="P164" s="225"/>
      <c r="Q164" s="225"/>
      <c r="R164" s="225"/>
      <c r="S164" s="337"/>
      <c r="T164" s="224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69"/>
      <c r="H165" s="369"/>
      <c r="I165" s="376"/>
      <c r="J165" s="369"/>
      <c r="K165" s="370"/>
      <c r="L165" s="369"/>
      <c r="M165" s="369"/>
      <c r="N165" s="225"/>
      <c r="O165" s="225"/>
      <c r="P165" s="225"/>
      <c r="Q165" s="225"/>
      <c r="R165" s="225"/>
      <c r="S165" s="337"/>
      <c r="T165" s="224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69"/>
      <c r="H166" s="369"/>
      <c r="I166" s="376"/>
      <c r="J166" s="369"/>
      <c r="K166" s="370"/>
      <c r="L166" s="369"/>
      <c r="M166" s="369"/>
      <c r="N166" s="225"/>
      <c r="O166" s="225"/>
      <c r="P166" s="225"/>
      <c r="Q166" s="225"/>
      <c r="R166" s="225"/>
      <c r="S166" s="337"/>
      <c r="T166" s="224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69"/>
      <c r="H167" s="369"/>
      <c r="I167" s="376"/>
      <c r="J167" s="369"/>
      <c r="K167" s="370"/>
      <c r="L167" s="369"/>
      <c r="M167" s="369"/>
      <c r="N167" s="225"/>
      <c r="O167" s="225"/>
      <c r="P167" s="225"/>
      <c r="Q167" s="225"/>
      <c r="R167" s="225"/>
      <c r="S167" s="337"/>
      <c r="T167" s="224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69"/>
      <c r="H168" s="369"/>
      <c r="I168" s="376"/>
      <c r="J168" s="369"/>
      <c r="K168" s="370"/>
      <c r="L168" s="369"/>
      <c r="M168" s="369"/>
      <c r="N168" s="225"/>
      <c r="O168" s="225"/>
      <c r="P168" s="225"/>
      <c r="Q168" s="225"/>
      <c r="R168" s="225"/>
      <c r="S168" s="337"/>
      <c r="T168" s="224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69"/>
      <c r="H169" s="369"/>
      <c r="I169" s="376"/>
      <c r="J169" s="369"/>
      <c r="K169" s="370"/>
      <c r="L169" s="369"/>
      <c r="M169" s="369"/>
      <c r="N169" s="225"/>
      <c r="O169" s="225"/>
      <c r="P169" s="225"/>
      <c r="Q169" s="225"/>
      <c r="R169" s="225"/>
      <c r="S169" s="337"/>
      <c r="T169" s="224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69"/>
      <c r="H170" s="369"/>
      <c r="I170" s="376"/>
      <c r="J170" s="369"/>
      <c r="K170" s="370"/>
      <c r="L170" s="369"/>
      <c r="M170" s="369"/>
      <c r="N170" s="225"/>
      <c r="O170" s="225"/>
      <c r="P170" s="225"/>
      <c r="Q170" s="225"/>
      <c r="R170" s="225"/>
      <c r="S170" s="337"/>
      <c r="T170" s="224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69"/>
      <c r="H171" s="369"/>
      <c r="I171" s="376"/>
      <c r="J171" s="369"/>
      <c r="K171" s="370"/>
      <c r="L171" s="369"/>
      <c r="M171" s="369"/>
      <c r="N171" s="225"/>
      <c r="O171" s="225"/>
      <c r="P171" s="225"/>
      <c r="Q171" s="225"/>
      <c r="R171" s="225"/>
      <c r="S171" s="337"/>
      <c r="T171" s="224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69"/>
      <c r="H172" s="369"/>
      <c r="I172" s="376"/>
      <c r="J172" s="369"/>
      <c r="K172" s="370"/>
      <c r="L172" s="369"/>
      <c r="M172" s="369"/>
      <c r="N172" s="225"/>
      <c r="O172" s="225"/>
      <c r="P172" s="225"/>
      <c r="Q172" s="225"/>
      <c r="R172" s="225"/>
      <c r="S172" s="337"/>
      <c r="T172" s="224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69"/>
      <c r="H173" s="369"/>
      <c r="I173" s="376"/>
      <c r="J173" s="369"/>
      <c r="K173" s="370"/>
      <c r="L173" s="369"/>
      <c r="M173" s="369"/>
      <c r="N173" s="225"/>
      <c r="O173" s="225"/>
      <c r="P173" s="225"/>
      <c r="Q173" s="225"/>
      <c r="R173" s="225"/>
      <c r="S173" s="337"/>
      <c r="T173" s="224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69"/>
      <c r="H174" s="369"/>
      <c r="I174" s="376"/>
      <c r="J174" s="369"/>
      <c r="K174" s="370"/>
      <c r="L174" s="369"/>
      <c r="M174" s="369"/>
      <c r="N174" s="225"/>
      <c r="O174" s="225"/>
      <c r="P174" s="225"/>
      <c r="Q174" s="225"/>
      <c r="R174" s="225"/>
      <c r="S174" s="337"/>
      <c r="T174" s="224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69"/>
      <c r="H175" s="369"/>
      <c r="I175" s="376"/>
      <c r="J175" s="369"/>
      <c r="K175" s="370"/>
      <c r="L175" s="369"/>
      <c r="M175" s="369"/>
      <c r="N175" s="225"/>
      <c r="O175" s="225"/>
      <c r="P175" s="225"/>
      <c r="Q175" s="225"/>
      <c r="R175" s="225"/>
      <c r="S175" s="337"/>
      <c r="T175" s="224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69"/>
      <c r="H176" s="369"/>
      <c r="I176" s="376"/>
      <c r="J176" s="369"/>
      <c r="K176" s="370"/>
      <c r="L176" s="369"/>
      <c r="M176" s="369"/>
      <c r="N176" s="225"/>
      <c r="O176" s="225"/>
      <c r="P176" s="225"/>
      <c r="Q176" s="225"/>
      <c r="R176" s="225"/>
      <c r="S176" s="337"/>
      <c r="T176" s="224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69"/>
      <c r="H177" s="369"/>
      <c r="I177" s="376"/>
      <c r="J177" s="369"/>
      <c r="K177" s="370"/>
      <c r="L177" s="369"/>
      <c r="M177" s="369"/>
      <c r="N177" s="225"/>
      <c r="O177" s="225"/>
      <c r="P177" s="225"/>
      <c r="Q177" s="225"/>
      <c r="R177" s="225"/>
      <c r="S177" s="337"/>
      <c r="T177" s="224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69"/>
      <c r="H178" s="369"/>
      <c r="I178" s="376"/>
      <c r="J178" s="369"/>
      <c r="K178" s="370"/>
      <c r="L178" s="369"/>
      <c r="M178" s="369"/>
      <c r="N178" s="225"/>
      <c r="O178" s="225"/>
      <c r="P178" s="225"/>
      <c r="Q178" s="225"/>
      <c r="R178" s="225"/>
      <c r="S178" s="337"/>
      <c r="T178" s="224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69"/>
      <c r="H179" s="369"/>
      <c r="I179" s="376"/>
      <c r="J179" s="369"/>
      <c r="K179" s="370"/>
      <c r="L179" s="369"/>
      <c r="M179" s="369"/>
      <c r="N179" s="225"/>
      <c r="O179" s="225"/>
      <c r="P179" s="225"/>
      <c r="Q179" s="225"/>
      <c r="R179" s="225"/>
      <c r="S179" s="337"/>
      <c r="T179" s="224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69"/>
      <c r="H180" s="369"/>
      <c r="I180" s="376"/>
      <c r="J180" s="369"/>
      <c r="K180" s="370"/>
      <c r="L180" s="369"/>
      <c r="M180" s="369"/>
      <c r="N180" s="225"/>
      <c r="O180" s="225"/>
      <c r="P180" s="225"/>
      <c r="Q180" s="225"/>
      <c r="R180" s="225"/>
      <c r="S180" s="337"/>
      <c r="T180" s="224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69"/>
      <c r="H181" s="369"/>
      <c r="I181" s="376"/>
      <c r="J181" s="369"/>
      <c r="K181" s="370"/>
      <c r="L181" s="369"/>
      <c r="M181" s="369"/>
      <c r="N181" s="225"/>
      <c r="O181" s="225"/>
      <c r="P181" s="225"/>
      <c r="Q181" s="225"/>
      <c r="R181" s="225"/>
      <c r="S181" s="337"/>
      <c r="T181" s="224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69"/>
      <c r="H182" s="369"/>
      <c r="I182" s="376"/>
      <c r="J182" s="369"/>
      <c r="K182" s="370"/>
      <c r="L182" s="369"/>
      <c r="M182" s="369"/>
      <c r="N182" s="225"/>
      <c r="O182" s="225"/>
      <c r="P182" s="225"/>
      <c r="Q182" s="225"/>
      <c r="R182" s="225"/>
      <c r="S182" s="337"/>
      <c r="T182" s="224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69"/>
      <c r="H183" s="369"/>
      <c r="I183" s="376"/>
      <c r="J183" s="369"/>
      <c r="K183" s="370"/>
      <c r="L183" s="369"/>
      <c r="M183" s="369"/>
      <c r="N183" s="225"/>
      <c r="O183" s="225"/>
      <c r="P183" s="225"/>
      <c r="Q183" s="225"/>
      <c r="R183" s="225"/>
      <c r="S183" s="337"/>
      <c r="T183" s="224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69"/>
      <c r="H184" s="369"/>
      <c r="I184" s="376"/>
      <c r="J184" s="369"/>
      <c r="K184" s="370"/>
      <c r="L184" s="369"/>
      <c r="M184" s="369"/>
      <c r="N184" s="225"/>
      <c r="O184" s="225"/>
      <c r="P184" s="225"/>
      <c r="Q184" s="225"/>
      <c r="R184" s="225"/>
      <c r="S184" s="337"/>
      <c r="T184" s="224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69"/>
      <c r="H185" s="369"/>
      <c r="I185" s="376"/>
      <c r="J185" s="369"/>
      <c r="K185" s="370"/>
      <c r="L185" s="369"/>
      <c r="M185" s="369"/>
      <c r="N185" s="225"/>
      <c r="O185" s="225"/>
      <c r="P185" s="225"/>
      <c r="Q185" s="225"/>
      <c r="R185" s="225"/>
      <c r="S185" s="337"/>
      <c r="T185" s="224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69"/>
      <c r="H186" s="369"/>
      <c r="I186" s="376"/>
      <c r="J186" s="369"/>
      <c r="K186" s="370"/>
      <c r="L186" s="369"/>
      <c r="M186" s="369"/>
      <c r="N186" s="225"/>
      <c r="O186" s="225"/>
      <c r="P186" s="225"/>
      <c r="Q186" s="225"/>
      <c r="R186" s="225"/>
      <c r="S186" s="337"/>
      <c r="T186" s="224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69"/>
      <c r="H187" s="369"/>
      <c r="I187" s="376"/>
      <c r="J187" s="369"/>
      <c r="K187" s="370"/>
      <c r="L187" s="369"/>
      <c r="M187" s="369"/>
      <c r="N187" s="225"/>
      <c r="O187" s="225"/>
      <c r="P187" s="225"/>
      <c r="Q187" s="225"/>
      <c r="R187" s="225"/>
      <c r="S187" s="337"/>
      <c r="T187" s="224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69"/>
      <c r="H188" s="369"/>
      <c r="I188" s="376"/>
      <c r="J188" s="369"/>
      <c r="K188" s="370"/>
      <c r="L188" s="369"/>
      <c r="M188" s="369"/>
      <c r="N188" s="225"/>
      <c r="O188" s="225"/>
      <c r="P188" s="225"/>
      <c r="Q188" s="225"/>
      <c r="R188" s="225"/>
      <c r="S188" s="337"/>
      <c r="T188" s="224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69"/>
      <c r="H189" s="369"/>
      <c r="I189" s="376"/>
      <c r="J189" s="369"/>
      <c r="K189" s="370"/>
      <c r="L189" s="369"/>
      <c r="M189" s="369"/>
      <c r="N189" s="225"/>
      <c r="O189" s="225"/>
      <c r="P189" s="225"/>
      <c r="Q189" s="225"/>
      <c r="R189" s="225"/>
      <c r="S189" s="337"/>
      <c r="T189" s="224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69"/>
      <c r="H190" s="369"/>
      <c r="I190" s="376"/>
      <c r="J190" s="369"/>
      <c r="K190" s="370"/>
      <c r="L190" s="369"/>
      <c r="M190" s="369"/>
      <c r="N190" s="225"/>
      <c r="O190" s="225"/>
      <c r="P190" s="225"/>
      <c r="Q190" s="225"/>
      <c r="R190" s="225"/>
      <c r="S190" s="337"/>
      <c r="T190" s="224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69"/>
      <c r="H191" s="369"/>
      <c r="I191" s="376"/>
      <c r="J191" s="369"/>
      <c r="K191" s="370"/>
      <c r="L191" s="369"/>
      <c r="M191" s="369"/>
      <c r="N191" s="225"/>
      <c r="O191" s="225"/>
      <c r="P191" s="225"/>
      <c r="Q191" s="225"/>
      <c r="R191" s="225"/>
      <c r="S191" s="337"/>
      <c r="T191" s="224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69"/>
      <c r="H192" s="369"/>
      <c r="I192" s="376"/>
      <c r="J192" s="369"/>
      <c r="K192" s="370"/>
      <c r="L192" s="369"/>
      <c r="M192" s="369"/>
      <c r="N192" s="225"/>
      <c r="O192" s="225"/>
      <c r="P192" s="225"/>
      <c r="Q192" s="225"/>
      <c r="R192" s="225"/>
      <c r="S192" s="337"/>
      <c r="T192" s="224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69"/>
      <c r="H193" s="369"/>
      <c r="I193" s="376"/>
      <c r="J193" s="369"/>
      <c r="K193" s="370"/>
      <c r="L193" s="369"/>
      <c r="M193" s="369"/>
      <c r="N193" s="225"/>
      <c r="O193" s="225"/>
      <c r="P193" s="225"/>
      <c r="Q193" s="225"/>
      <c r="R193" s="225"/>
      <c r="S193" s="337"/>
      <c r="T193" s="224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69"/>
      <c r="H194" s="369"/>
      <c r="I194" s="376"/>
      <c r="J194" s="369"/>
      <c r="K194" s="370"/>
      <c r="L194" s="369"/>
      <c r="M194" s="369"/>
      <c r="N194" s="225"/>
      <c r="O194" s="225"/>
      <c r="P194" s="225"/>
      <c r="Q194" s="225"/>
      <c r="R194" s="225"/>
      <c r="S194" s="337"/>
      <c r="T194" s="224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69"/>
      <c r="H195" s="369"/>
      <c r="I195" s="376"/>
      <c r="J195" s="369"/>
      <c r="K195" s="370"/>
      <c r="L195" s="369"/>
      <c r="M195" s="369"/>
      <c r="N195" s="225"/>
      <c r="O195" s="225"/>
      <c r="P195" s="225"/>
      <c r="Q195" s="225"/>
      <c r="R195" s="225"/>
      <c r="S195" s="337"/>
      <c r="T195" s="224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69"/>
      <c r="H196" s="369"/>
      <c r="I196" s="376"/>
      <c r="J196" s="369"/>
      <c r="K196" s="370"/>
      <c r="L196" s="369"/>
      <c r="M196" s="369"/>
      <c r="N196" s="225"/>
      <c r="O196" s="225"/>
      <c r="P196" s="225"/>
      <c r="Q196" s="225"/>
      <c r="R196" s="225"/>
      <c r="S196" s="337"/>
      <c r="T196" s="224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69"/>
      <c r="H197" s="369"/>
      <c r="I197" s="376"/>
      <c r="J197" s="369"/>
      <c r="K197" s="370"/>
      <c r="L197" s="369"/>
      <c r="M197" s="369"/>
      <c r="N197" s="225"/>
      <c r="O197" s="225"/>
      <c r="P197" s="225"/>
      <c r="Q197" s="225"/>
      <c r="R197" s="225"/>
      <c r="S197" s="337"/>
      <c r="T197" s="224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69"/>
      <c r="H198" s="369"/>
      <c r="I198" s="376"/>
      <c r="J198" s="369"/>
      <c r="K198" s="370"/>
      <c r="L198" s="369"/>
      <c r="M198" s="369"/>
      <c r="N198" s="225"/>
      <c r="O198" s="225"/>
      <c r="P198" s="225"/>
      <c r="Q198" s="225"/>
      <c r="R198" s="225"/>
      <c r="S198" s="337"/>
      <c r="T198" s="224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69"/>
      <c r="H199" s="369"/>
      <c r="I199" s="376"/>
      <c r="J199" s="369"/>
      <c r="K199" s="370"/>
      <c r="L199" s="369"/>
      <c r="M199" s="369"/>
      <c r="N199" s="225"/>
      <c r="O199" s="225"/>
      <c r="P199" s="225"/>
      <c r="Q199" s="225"/>
      <c r="R199" s="225"/>
      <c r="S199" s="337"/>
      <c r="T199" s="224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69"/>
      <c r="H200" s="369"/>
      <c r="I200" s="376"/>
      <c r="J200" s="369"/>
      <c r="K200" s="370"/>
      <c r="L200" s="369"/>
      <c r="M200" s="369"/>
      <c r="N200" s="225"/>
      <c r="O200" s="225"/>
      <c r="P200" s="225"/>
      <c r="Q200" s="225"/>
      <c r="R200" s="225"/>
      <c r="S200" s="337"/>
      <c r="T200" s="224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69"/>
      <c r="H201" s="369"/>
      <c r="I201" s="376"/>
      <c r="J201" s="369"/>
      <c r="K201" s="370"/>
      <c r="L201" s="369"/>
      <c r="M201" s="369"/>
      <c r="N201" s="225"/>
      <c r="O201" s="225"/>
      <c r="P201" s="225"/>
      <c r="Q201" s="225"/>
      <c r="R201" s="225"/>
      <c r="S201" s="337"/>
      <c r="T201" s="224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69"/>
      <c r="H202" s="369"/>
      <c r="I202" s="376"/>
      <c r="J202" s="369"/>
      <c r="K202" s="370"/>
      <c r="L202" s="369"/>
      <c r="M202" s="369"/>
      <c r="N202" s="225"/>
      <c r="O202" s="225"/>
      <c r="P202" s="225"/>
      <c r="Q202" s="225"/>
      <c r="R202" s="225"/>
      <c r="S202" s="337"/>
      <c r="T202" s="224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69"/>
      <c r="H203" s="369"/>
      <c r="I203" s="376"/>
      <c r="J203" s="369"/>
      <c r="K203" s="370"/>
      <c r="L203" s="369"/>
      <c r="M203" s="369"/>
      <c r="N203" s="225"/>
      <c r="O203" s="225"/>
      <c r="P203" s="225"/>
      <c r="Q203" s="225"/>
      <c r="R203" s="225"/>
      <c r="S203" s="337"/>
      <c r="T203" s="224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69"/>
      <c r="H204" s="369"/>
      <c r="I204" s="376"/>
      <c r="J204" s="369"/>
      <c r="K204" s="370"/>
      <c r="L204" s="369"/>
      <c r="M204" s="369"/>
      <c r="N204" s="225"/>
      <c r="O204" s="225"/>
      <c r="P204" s="225"/>
      <c r="Q204" s="225"/>
      <c r="R204" s="225"/>
      <c r="S204" s="337"/>
      <c r="T204" s="224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69"/>
      <c r="H205" s="369"/>
      <c r="I205" s="376"/>
      <c r="J205" s="369"/>
      <c r="K205" s="370"/>
      <c r="L205" s="369"/>
      <c r="M205" s="369"/>
      <c r="N205" s="225"/>
      <c r="O205" s="225"/>
      <c r="P205" s="225"/>
      <c r="Q205" s="225"/>
      <c r="R205" s="225"/>
      <c r="S205" s="337"/>
      <c r="T205" s="224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69"/>
      <c r="H206" s="369"/>
      <c r="I206" s="376"/>
      <c r="J206" s="369"/>
      <c r="K206" s="370"/>
      <c r="L206" s="369"/>
      <c r="M206" s="369"/>
      <c r="N206" s="225"/>
      <c r="O206" s="225"/>
      <c r="P206" s="225"/>
      <c r="Q206" s="225"/>
      <c r="R206" s="225"/>
      <c r="S206" s="337"/>
      <c r="T206" s="224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69"/>
      <c r="H207" s="369"/>
      <c r="I207" s="376"/>
      <c r="J207" s="369"/>
      <c r="K207" s="370"/>
      <c r="L207" s="369"/>
      <c r="M207" s="369"/>
      <c r="N207" s="225"/>
      <c r="O207" s="225"/>
      <c r="P207" s="225"/>
      <c r="Q207" s="225"/>
      <c r="R207" s="225"/>
      <c r="S207" s="337"/>
      <c r="T207" s="224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69"/>
      <c r="H208" s="369"/>
      <c r="I208" s="376"/>
      <c r="J208" s="369"/>
      <c r="K208" s="370"/>
      <c r="L208" s="369"/>
      <c r="M208" s="369"/>
      <c r="N208" s="225"/>
      <c r="O208" s="225"/>
      <c r="P208" s="225"/>
      <c r="Q208" s="225"/>
      <c r="R208" s="225"/>
      <c r="S208" s="337"/>
      <c r="T208" s="224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69"/>
      <c r="H209" s="369"/>
      <c r="I209" s="376"/>
      <c r="J209" s="369"/>
      <c r="K209" s="370"/>
      <c r="L209" s="369"/>
      <c r="M209" s="369"/>
      <c r="N209" s="225"/>
      <c r="O209" s="225"/>
      <c r="P209" s="225"/>
      <c r="Q209" s="225"/>
      <c r="R209" s="225"/>
      <c r="S209" s="337"/>
      <c r="T209" s="224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69"/>
      <c r="H210" s="369"/>
      <c r="I210" s="376"/>
      <c r="J210" s="369"/>
      <c r="K210" s="370"/>
      <c r="L210" s="369"/>
      <c r="M210" s="369"/>
      <c r="N210" s="225"/>
      <c r="O210" s="225"/>
      <c r="P210" s="225"/>
      <c r="Q210" s="225"/>
      <c r="R210" s="225"/>
      <c r="S210" s="337"/>
      <c r="T210" s="224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69"/>
      <c r="H211" s="369"/>
      <c r="I211" s="376"/>
      <c r="J211" s="369"/>
      <c r="K211" s="370"/>
      <c r="L211" s="369"/>
      <c r="M211" s="369"/>
      <c r="N211" s="225"/>
      <c r="O211" s="225"/>
      <c r="P211" s="225"/>
      <c r="Q211" s="225"/>
      <c r="R211" s="225"/>
      <c r="S211" s="337"/>
      <c r="T211" s="224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69"/>
      <c r="H212" s="369"/>
      <c r="I212" s="376"/>
      <c r="J212" s="369"/>
      <c r="K212" s="370"/>
      <c r="L212" s="369"/>
      <c r="M212" s="369"/>
      <c r="N212" s="225"/>
      <c r="O212" s="225"/>
      <c r="P212" s="225"/>
      <c r="Q212" s="225"/>
      <c r="R212" s="225"/>
      <c r="S212" s="337"/>
      <c r="T212" s="224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69"/>
      <c r="H213" s="369"/>
      <c r="I213" s="376"/>
      <c r="J213" s="369"/>
      <c r="K213" s="370"/>
      <c r="L213" s="369"/>
      <c r="M213" s="369"/>
      <c r="N213" s="225"/>
      <c r="O213" s="225"/>
      <c r="P213" s="225"/>
      <c r="Q213" s="225"/>
      <c r="R213" s="225"/>
      <c r="S213" s="337"/>
      <c r="T213" s="224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69"/>
      <c r="H214" s="369"/>
      <c r="I214" s="376"/>
      <c r="J214" s="369"/>
      <c r="K214" s="370"/>
      <c r="L214" s="369"/>
      <c r="M214" s="369"/>
      <c r="N214" s="225"/>
      <c r="O214" s="225"/>
      <c r="P214" s="225"/>
      <c r="Q214" s="225"/>
      <c r="R214" s="225"/>
      <c r="S214" s="337"/>
      <c r="T214" s="224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69"/>
      <c r="H215" s="369"/>
      <c r="I215" s="376"/>
      <c r="J215" s="369"/>
      <c r="K215" s="370"/>
      <c r="L215" s="369"/>
      <c r="M215" s="369"/>
      <c r="N215" s="225"/>
      <c r="O215" s="225"/>
      <c r="P215" s="225"/>
      <c r="Q215" s="225"/>
      <c r="R215" s="225"/>
      <c r="S215" s="337"/>
      <c r="T215" s="224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69"/>
      <c r="H216" s="369"/>
      <c r="I216" s="376"/>
      <c r="J216" s="369"/>
      <c r="K216" s="370"/>
      <c r="L216" s="369"/>
      <c r="M216" s="369"/>
      <c r="N216" s="225"/>
      <c r="O216" s="225"/>
      <c r="P216" s="225"/>
      <c r="Q216" s="225"/>
      <c r="R216" s="225"/>
      <c r="S216" s="337"/>
      <c r="T216" s="224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69"/>
      <c r="H217" s="369"/>
      <c r="I217" s="376"/>
      <c r="J217" s="369"/>
      <c r="K217" s="370"/>
      <c r="L217" s="369"/>
      <c r="M217" s="369"/>
      <c r="N217" s="225"/>
      <c r="O217" s="225"/>
      <c r="P217" s="225"/>
      <c r="Q217" s="225"/>
      <c r="R217" s="225"/>
      <c r="S217" s="337"/>
      <c r="T217" s="224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69"/>
      <c r="H218" s="369"/>
      <c r="I218" s="376"/>
      <c r="J218" s="369"/>
      <c r="K218" s="370"/>
      <c r="L218" s="369"/>
      <c r="M218" s="369"/>
      <c r="N218" s="225"/>
      <c r="O218" s="225"/>
      <c r="P218" s="225"/>
      <c r="Q218" s="225"/>
      <c r="R218" s="225"/>
      <c r="S218" s="337"/>
      <c r="T218" s="224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69"/>
      <c r="H219" s="369"/>
      <c r="I219" s="376"/>
      <c r="J219" s="369"/>
      <c r="K219" s="370"/>
      <c r="L219" s="369"/>
      <c r="M219" s="369"/>
      <c r="N219" s="225"/>
      <c r="O219" s="225"/>
      <c r="P219" s="225"/>
      <c r="Q219" s="225"/>
      <c r="R219" s="225"/>
      <c r="S219" s="337"/>
      <c r="T219" s="224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69"/>
      <c r="H220" s="369"/>
      <c r="I220" s="376"/>
      <c r="J220" s="369"/>
      <c r="K220" s="370"/>
      <c r="L220" s="369"/>
      <c r="M220" s="369"/>
      <c r="N220" s="225"/>
      <c r="O220" s="225"/>
      <c r="P220" s="225"/>
      <c r="Q220" s="225"/>
      <c r="R220" s="225"/>
      <c r="S220" s="337"/>
      <c r="T220" s="224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69"/>
      <c r="H221" s="369"/>
      <c r="I221" s="376"/>
      <c r="J221" s="369"/>
      <c r="K221" s="370"/>
      <c r="L221" s="369"/>
      <c r="M221" s="369"/>
      <c r="N221" s="225"/>
      <c r="O221" s="225"/>
      <c r="P221" s="225"/>
      <c r="Q221" s="225"/>
      <c r="R221" s="225"/>
      <c r="S221" s="337"/>
      <c r="T221" s="224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69"/>
      <c r="H222" s="369"/>
      <c r="I222" s="376"/>
      <c r="J222" s="369"/>
      <c r="K222" s="370"/>
      <c r="L222" s="369"/>
      <c r="M222" s="369"/>
      <c r="N222" s="225"/>
      <c r="O222" s="225"/>
      <c r="P222" s="225"/>
      <c r="Q222" s="225"/>
      <c r="R222" s="225"/>
      <c r="S222" s="337"/>
      <c r="T222" s="224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69"/>
      <c r="H223" s="369"/>
      <c r="I223" s="376"/>
      <c r="J223" s="369"/>
      <c r="K223" s="370"/>
      <c r="L223" s="369"/>
      <c r="M223" s="369"/>
      <c r="N223" s="225"/>
      <c r="O223" s="225"/>
      <c r="P223" s="225"/>
      <c r="Q223" s="225"/>
      <c r="R223" s="225"/>
      <c r="S223" s="337"/>
      <c r="T223" s="224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69"/>
      <c r="H224" s="369"/>
      <c r="I224" s="376"/>
      <c r="J224" s="369"/>
      <c r="K224" s="370"/>
      <c r="L224" s="369"/>
      <c r="M224" s="369"/>
      <c r="N224" s="225"/>
      <c r="O224" s="225"/>
      <c r="P224" s="225"/>
      <c r="Q224" s="225"/>
      <c r="R224" s="225"/>
      <c r="S224" s="337"/>
      <c r="T224" s="224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69"/>
      <c r="H225" s="369"/>
      <c r="I225" s="376"/>
      <c r="J225" s="369"/>
      <c r="K225" s="370"/>
      <c r="L225" s="369"/>
      <c r="M225" s="369"/>
      <c r="N225" s="225"/>
      <c r="O225" s="225"/>
      <c r="P225" s="225"/>
      <c r="Q225" s="225"/>
      <c r="R225" s="225"/>
      <c r="S225" s="337"/>
      <c r="T225" s="224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69"/>
      <c r="H226" s="369"/>
      <c r="I226" s="376"/>
      <c r="J226" s="369"/>
      <c r="K226" s="370"/>
      <c r="L226" s="369"/>
      <c r="M226" s="369"/>
      <c r="N226" s="225"/>
      <c r="O226" s="225"/>
      <c r="P226" s="225"/>
      <c r="Q226" s="225"/>
      <c r="R226" s="225"/>
      <c r="S226" s="337"/>
      <c r="T226" s="224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69"/>
      <c r="H227" s="369"/>
      <c r="I227" s="376"/>
      <c r="J227" s="369"/>
      <c r="K227" s="370"/>
      <c r="L227" s="369"/>
      <c r="M227" s="369"/>
      <c r="N227" s="225"/>
      <c r="O227" s="225"/>
      <c r="P227" s="225"/>
      <c r="Q227" s="225"/>
      <c r="R227" s="225"/>
      <c r="S227" s="337"/>
      <c r="T227" s="224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69"/>
      <c r="H228" s="369"/>
      <c r="I228" s="376"/>
      <c r="J228" s="369"/>
      <c r="K228" s="370"/>
      <c r="L228" s="369"/>
      <c r="M228" s="369"/>
      <c r="N228" s="225"/>
      <c r="O228" s="225"/>
      <c r="P228" s="226"/>
      <c r="Q228" s="226"/>
      <c r="R228" s="226"/>
      <c r="S228" s="338"/>
      <c r="T228" s="306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69"/>
      <c r="H229" s="369"/>
      <c r="I229" s="376"/>
      <c r="J229" s="369"/>
      <c r="K229" s="370"/>
      <c r="L229" s="369"/>
      <c r="M229" s="369"/>
      <c r="N229" s="225"/>
      <c r="O229" s="225"/>
      <c r="P229" s="227"/>
      <c r="Q229" s="226"/>
      <c r="R229" s="227"/>
      <c r="S229" s="338"/>
      <c r="T229" s="306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69"/>
      <c r="H230" s="369"/>
      <c r="I230" s="376"/>
      <c r="J230" s="369"/>
      <c r="K230" s="370"/>
      <c r="L230" s="369"/>
      <c r="M230" s="369"/>
      <c r="N230" s="225"/>
      <c r="O230" s="225"/>
      <c r="P230" s="227"/>
      <c r="Q230" s="226"/>
      <c r="R230" s="227"/>
      <c r="S230" s="338"/>
      <c r="T230" s="306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69"/>
      <c r="H231" s="369"/>
      <c r="I231" s="376"/>
      <c r="J231" s="369"/>
      <c r="K231" s="370"/>
      <c r="L231" s="369"/>
      <c r="M231" s="369"/>
      <c r="N231" s="225"/>
      <c r="O231" s="225"/>
      <c r="P231" s="227"/>
      <c r="Q231" s="226"/>
      <c r="R231" s="227"/>
      <c r="S231" s="338"/>
      <c r="T231" s="306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69"/>
      <c r="H232" s="369"/>
      <c r="I232" s="376"/>
      <c r="J232" s="369"/>
      <c r="K232" s="370"/>
      <c r="L232" s="369"/>
      <c r="M232" s="369"/>
      <c r="N232" s="225"/>
      <c r="O232" s="225"/>
      <c r="P232" s="227"/>
      <c r="Q232" s="226"/>
      <c r="R232" s="227"/>
      <c r="S232" s="338"/>
      <c r="T232" s="306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69"/>
      <c r="H233" s="369"/>
      <c r="I233" s="376"/>
      <c r="J233" s="369"/>
      <c r="K233" s="370"/>
      <c r="L233" s="369"/>
      <c r="M233" s="369"/>
      <c r="N233" s="225"/>
      <c r="O233" s="225"/>
      <c r="P233" s="227"/>
      <c r="Q233" s="226"/>
      <c r="R233" s="227"/>
      <c r="S233" s="338"/>
      <c r="T233" s="306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69"/>
      <c r="H234" s="369"/>
      <c r="I234" s="376"/>
      <c r="J234" s="369"/>
      <c r="K234" s="370"/>
      <c r="L234" s="369"/>
      <c r="M234" s="369"/>
      <c r="N234" s="225"/>
      <c r="O234" s="225"/>
      <c r="P234" s="227"/>
      <c r="Q234" s="226"/>
      <c r="R234" s="227"/>
      <c r="S234" s="338"/>
      <c r="T234" s="306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69"/>
      <c r="H235" s="369"/>
      <c r="I235" s="376"/>
      <c r="J235" s="369"/>
      <c r="K235" s="370"/>
      <c r="L235" s="369"/>
      <c r="M235" s="369"/>
      <c r="N235" s="225"/>
      <c r="O235" s="225"/>
      <c r="P235" s="227"/>
      <c r="Q235" s="226"/>
      <c r="R235" s="227"/>
      <c r="S235" s="338"/>
      <c r="T235" s="306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69"/>
      <c r="H236" s="369"/>
      <c r="I236" s="376"/>
      <c r="J236" s="369"/>
      <c r="K236" s="370"/>
      <c r="L236" s="369"/>
      <c r="M236" s="369"/>
      <c r="N236" s="225"/>
      <c r="O236" s="225"/>
      <c r="P236" s="227"/>
      <c r="Q236" s="226"/>
      <c r="R236" s="227"/>
      <c r="S236" s="338"/>
      <c r="T236" s="306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69"/>
      <c r="H237" s="369"/>
      <c r="I237" s="376"/>
      <c r="J237" s="369"/>
      <c r="K237" s="370"/>
      <c r="L237" s="369"/>
      <c r="M237" s="369"/>
      <c r="N237" s="225"/>
      <c r="O237" s="225"/>
      <c r="P237" s="228"/>
      <c r="Q237" s="228"/>
      <c r="R237" s="228"/>
      <c r="S237" s="338"/>
      <c r="T237" s="306"/>
      <c r="U237" s="229"/>
      <c r="V237" s="229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69"/>
      <c r="H238" s="369"/>
      <c r="I238" s="376"/>
      <c r="J238" s="369"/>
      <c r="K238" s="370"/>
      <c r="L238" s="369"/>
      <c r="M238" s="369"/>
      <c r="N238" s="225"/>
      <c r="O238" s="225"/>
      <c r="P238" s="227"/>
      <c r="Q238" s="225"/>
      <c r="R238" s="225"/>
      <c r="S238" s="337"/>
      <c r="T238" s="224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69"/>
      <c r="H239" s="369"/>
      <c r="I239" s="376"/>
      <c r="J239" s="369"/>
      <c r="K239" s="370"/>
      <c r="L239" s="369"/>
      <c r="M239" s="369"/>
      <c r="N239" s="225"/>
      <c r="O239" s="225"/>
      <c r="P239" s="227"/>
      <c r="Q239" s="225"/>
      <c r="R239" s="225"/>
      <c r="S239" s="337"/>
      <c r="T239" s="224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69"/>
      <c r="H240" s="369"/>
      <c r="I240" s="376"/>
      <c r="J240" s="369"/>
      <c r="K240" s="370"/>
      <c r="L240" s="369"/>
      <c r="M240" s="369"/>
      <c r="N240" s="225"/>
      <c r="O240" s="225"/>
      <c r="P240" s="227"/>
      <c r="Q240" s="225"/>
      <c r="R240" s="225"/>
      <c r="S240" s="337"/>
      <c r="T240" s="224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69"/>
      <c r="H241" s="369"/>
      <c r="I241" s="376"/>
      <c r="J241" s="369"/>
      <c r="K241" s="370"/>
      <c r="L241" s="369"/>
      <c r="M241" s="369"/>
      <c r="N241" s="225"/>
      <c r="O241" s="225"/>
      <c r="P241" s="227"/>
      <c r="Q241" s="225"/>
      <c r="R241" s="225"/>
      <c r="S241" s="337"/>
      <c r="T241" s="224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69"/>
      <c r="H242" s="369"/>
      <c r="I242" s="376"/>
      <c r="J242" s="369"/>
      <c r="K242" s="370"/>
      <c r="L242" s="369"/>
      <c r="M242" s="369"/>
      <c r="N242" s="225"/>
      <c r="O242" s="225"/>
      <c r="P242" s="227"/>
      <c r="Q242" s="225"/>
      <c r="R242" s="225"/>
      <c r="S242" s="337"/>
      <c r="T242" s="224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69"/>
      <c r="H243" s="369"/>
      <c r="I243" s="376"/>
      <c r="J243" s="369"/>
      <c r="K243" s="370"/>
      <c r="L243" s="369"/>
      <c r="M243" s="369"/>
      <c r="N243" s="225"/>
      <c r="O243" s="225"/>
      <c r="P243" s="227"/>
      <c r="Q243" s="225"/>
      <c r="R243" s="225"/>
      <c r="S243" s="337"/>
      <c r="T243" s="224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69"/>
      <c r="H244" s="369"/>
      <c r="I244" s="376"/>
      <c r="J244" s="369"/>
      <c r="K244" s="370"/>
      <c r="L244" s="369"/>
      <c r="M244" s="369"/>
      <c r="N244" s="225"/>
      <c r="O244" s="225"/>
      <c r="P244" s="227"/>
      <c r="Q244" s="225"/>
      <c r="R244" s="225"/>
      <c r="S244" s="337"/>
      <c r="T244" s="224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69"/>
      <c r="H245" s="369"/>
      <c r="I245" s="376"/>
      <c r="J245" s="369"/>
      <c r="K245" s="370"/>
      <c r="L245" s="369"/>
      <c r="M245" s="369"/>
      <c r="N245" s="225"/>
      <c r="O245" s="225"/>
      <c r="P245" s="227"/>
      <c r="Q245" s="225"/>
      <c r="R245" s="225"/>
      <c r="S245" s="337"/>
      <c r="T245" s="224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69"/>
      <c r="H246" s="369"/>
      <c r="I246" s="376"/>
      <c r="J246" s="369"/>
      <c r="K246" s="370"/>
      <c r="L246" s="369"/>
      <c r="M246" s="369"/>
      <c r="N246" s="225"/>
      <c r="O246" s="225"/>
      <c r="P246" s="225"/>
      <c r="Q246" s="225"/>
      <c r="R246" s="225"/>
      <c r="S246" s="337"/>
      <c r="T246" s="224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69"/>
      <c r="H247" s="369"/>
      <c r="I247" s="376"/>
      <c r="J247" s="369"/>
      <c r="K247" s="370"/>
      <c r="L247" s="369"/>
      <c r="M247" s="369"/>
      <c r="N247" s="225"/>
      <c r="O247" s="225"/>
      <c r="P247" s="225"/>
      <c r="Q247" s="225"/>
      <c r="R247" s="225"/>
      <c r="S247" s="337"/>
      <c r="T247" s="224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69"/>
      <c r="H248" s="369"/>
      <c r="I248" s="376"/>
      <c r="J248" s="369"/>
      <c r="K248" s="370"/>
      <c r="L248" s="369"/>
      <c r="M248" s="369"/>
      <c r="N248" s="225"/>
      <c r="O248" s="225"/>
      <c r="P248" s="225"/>
      <c r="Q248" s="225"/>
      <c r="R248" s="225"/>
      <c r="S248" s="337"/>
      <c r="T248" s="224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69"/>
      <c r="H249" s="369"/>
      <c r="I249" s="376"/>
      <c r="J249" s="369"/>
      <c r="K249" s="370"/>
      <c r="L249" s="369"/>
      <c r="M249" s="369"/>
      <c r="N249" s="225"/>
      <c r="O249" s="225"/>
      <c r="P249" s="225"/>
      <c r="Q249" s="225"/>
      <c r="R249" s="225"/>
      <c r="S249" s="337"/>
      <c r="T249" s="224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69"/>
      <c r="H250" s="369"/>
      <c r="I250" s="376"/>
      <c r="J250" s="369"/>
      <c r="K250" s="370"/>
      <c r="L250" s="369"/>
      <c r="M250" s="369"/>
      <c r="N250" s="225"/>
      <c r="O250" s="225"/>
      <c r="P250" s="225"/>
      <c r="Q250" s="225"/>
      <c r="R250" s="225"/>
      <c r="S250" s="337"/>
      <c r="T250" s="224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69"/>
      <c r="H251" s="369"/>
      <c r="I251" s="376"/>
      <c r="J251" s="369"/>
      <c r="K251" s="370"/>
      <c r="L251" s="369"/>
      <c r="M251" s="369"/>
      <c r="N251" s="225"/>
      <c r="O251" s="225"/>
      <c r="P251" s="225"/>
      <c r="Q251" s="225"/>
      <c r="R251" s="225"/>
      <c r="S251" s="337"/>
      <c r="T251" s="224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69"/>
      <c r="H252" s="369"/>
      <c r="I252" s="376"/>
      <c r="J252" s="369"/>
      <c r="K252" s="370"/>
      <c r="L252" s="369"/>
      <c r="M252" s="369"/>
      <c r="N252" s="225"/>
      <c r="O252" s="225"/>
      <c r="P252" s="225"/>
      <c r="Q252" s="225"/>
      <c r="R252" s="225"/>
      <c r="S252" s="337"/>
      <c r="T252" s="224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69"/>
      <c r="H253" s="369"/>
      <c r="I253" s="376"/>
      <c r="J253" s="369"/>
      <c r="K253" s="370"/>
      <c r="L253" s="369"/>
      <c r="M253" s="369"/>
      <c r="N253" s="225"/>
      <c r="O253" s="225"/>
      <c r="P253" s="225"/>
      <c r="Q253" s="225"/>
      <c r="R253" s="225"/>
      <c r="S253" s="337"/>
      <c r="T253" s="224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69"/>
      <c r="H254" s="369"/>
      <c r="I254" s="376"/>
      <c r="J254" s="369"/>
      <c r="K254" s="370"/>
      <c r="L254" s="369"/>
      <c r="M254" s="369"/>
      <c r="N254" s="225"/>
      <c r="O254" s="225"/>
      <c r="P254" s="225"/>
      <c r="Q254" s="225"/>
      <c r="R254" s="225"/>
      <c r="S254" s="337"/>
      <c r="T254" s="224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69"/>
      <c r="H255" s="369"/>
      <c r="I255" s="376"/>
      <c r="J255" s="369"/>
      <c r="K255" s="370"/>
      <c r="L255" s="369"/>
      <c r="M255" s="369"/>
      <c r="N255" s="225"/>
      <c r="O255" s="225"/>
      <c r="P255" s="225"/>
      <c r="Q255" s="225"/>
      <c r="R255" s="225"/>
      <c r="S255" s="337"/>
      <c r="T255" s="224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69"/>
      <c r="H256" s="369"/>
      <c r="I256" s="376"/>
      <c r="J256" s="369"/>
      <c r="K256" s="370"/>
      <c r="L256" s="369"/>
      <c r="M256" s="369"/>
      <c r="N256" s="225"/>
      <c r="O256" s="225"/>
      <c r="P256" s="225"/>
      <c r="Q256" s="225"/>
      <c r="R256" s="225"/>
      <c r="S256" s="337"/>
      <c r="T256" s="224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69"/>
      <c r="H257" s="369"/>
      <c r="I257" s="376"/>
      <c r="J257" s="369"/>
      <c r="K257" s="370"/>
      <c r="L257" s="369"/>
      <c r="M257" s="369"/>
      <c r="N257" s="225"/>
      <c r="O257" s="225"/>
      <c r="P257" s="225"/>
      <c r="Q257" s="225"/>
      <c r="R257" s="225"/>
      <c r="S257" s="337"/>
      <c r="T257" s="224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69"/>
      <c r="H258" s="369"/>
      <c r="I258" s="376"/>
      <c r="J258" s="369"/>
      <c r="K258" s="370"/>
      <c r="L258" s="369"/>
      <c r="M258" s="369"/>
      <c r="N258" s="225"/>
      <c r="O258" s="225"/>
      <c r="P258" s="225"/>
      <c r="Q258" s="225"/>
      <c r="R258" s="225"/>
      <c r="S258" s="337"/>
      <c r="T258" s="224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69"/>
      <c r="H259" s="369"/>
      <c r="I259" s="376"/>
      <c r="J259" s="369"/>
      <c r="K259" s="370"/>
      <c r="L259" s="369"/>
      <c r="M259" s="369"/>
      <c r="N259" s="225"/>
      <c r="O259" s="225"/>
      <c r="P259" s="225"/>
      <c r="Q259" s="225"/>
      <c r="R259" s="225"/>
      <c r="S259" s="337"/>
      <c r="T259" s="224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69"/>
      <c r="H260" s="369"/>
      <c r="I260" s="376"/>
      <c r="J260" s="369"/>
      <c r="K260" s="370"/>
      <c r="L260" s="369"/>
      <c r="M260" s="369"/>
      <c r="N260" s="225"/>
      <c r="O260" s="225"/>
      <c r="P260" s="225"/>
      <c r="Q260" s="225"/>
      <c r="R260" s="225"/>
      <c r="S260" s="337"/>
      <c r="T260" s="224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69"/>
      <c r="H261" s="369"/>
      <c r="I261" s="376"/>
      <c r="J261" s="369"/>
      <c r="K261" s="370"/>
      <c r="L261" s="369"/>
      <c r="M261" s="369"/>
      <c r="N261" s="225"/>
      <c r="O261" s="225"/>
      <c r="P261" s="225"/>
      <c r="Q261" s="225"/>
      <c r="R261" s="225"/>
      <c r="S261" s="337"/>
      <c r="T261" s="224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69"/>
      <c r="H262" s="369"/>
      <c r="I262" s="376"/>
      <c r="J262" s="369"/>
      <c r="K262" s="370"/>
      <c r="L262" s="369"/>
      <c r="M262" s="369"/>
      <c r="N262" s="225"/>
      <c r="O262" s="225"/>
      <c r="P262" s="225"/>
      <c r="Q262" s="225"/>
      <c r="R262" s="225"/>
      <c r="S262" s="337"/>
      <c r="T262" s="224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69"/>
      <c r="H263" s="369"/>
      <c r="I263" s="376"/>
      <c r="J263" s="369"/>
      <c r="K263" s="370"/>
      <c r="L263" s="369"/>
      <c r="M263" s="369"/>
      <c r="N263" s="225"/>
      <c r="O263" s="225"/>
      <c r="P263" s="225"/>
      <c r="Q263" s="225"/>
      <c r="R263" s="225"/>
      <c r="S263" s="337"/>
      <c r="T263" s="224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69"/>
      <c r="H264" s="369"/>
      <c r="I264" s="376"/>
      <c r="J264" s="369"/>
      <c r="K264" s="370"/>
      <c r="L264" s="369"/>
      <c r="M264" s="369"/>
      <c r="N264" s="225"/>
      <c r="O264" s="225"/>
      <c r="P264" s="225"/>
      <c r="Q264" s="225"/>
      <c r="R264" s="225"/>
      <c r="S264" s="337"/>
      <c r="T264" s="224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69"/>
      <c r="H265" s="369"/>
      <c r="I265" s="376"/>
      <c r="J265" s="369"/>
      <c r="K265" s="370"/>
      <c r="L265" s="369"/>
      <c r="M265" s="369"/>
      <c r="N265" s="225"/>
      <c r="O265" s="225"/>
      <c r="P265" s="225"/>
      <c r="Q265" s="225"/>
      <c r="R265" s="225"/>
      <c r="S265" s="337"/>
      <c r="T265" s="224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69"/>
      <c r="H266" s="369"/>
      <c r="I266" s="376"/>
      <c r="J266" s="369"/>
      <c r="K266" s="370"/>
      <c r="L266" s="369"/>
      <c r="M266" s="369"/>
      <c r="N266" s="225"/>
      <c r="O266" s="225"/>
      <c r="P266" s="225"/>
      <c r="Q266" s="225"/>
      <c r="R266" s="225"/>
      <c r="S266" s="337"/>
      <c r="T266" s="224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69"/>
      <c r="H267" s="369"/>
      <c r="I267" s="376"/>
      <c r="J267" s="369"/>
      <c r="K267" s="370"/>
      <c r="L267" s="369"/>
      <c r="M267" s="369"/>
      <c r="N267" s="225"/>
      <c r="O267" s="225"/>
      <c r="P267" s="225"/>
      <c r="Q267" s="225"/>
      <c r="R267" s="225"/>
      <c r="S267" s="337"/>
      <c r="T267" s="224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69"/>
      <c r="H268" s="369"/>
      <c r="I268" s="376"/>
      <c r="J268" s="369"/>
      <c r="K268" s="370"/>
      <c r="L268" s="369"/>
      <c r="M268" s="369"/>
      <c r="N268" s="225"/>
      <c r="O268" s="225"/>
      <c r="P268" s="225"/>
      <c r="Q268" s="225"/>
      <c r="R268" s="225"/>
      <c r="S268" s="337"/>
      <c r="T268" s="224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69"/>
      <c r="H269" s="369"/>
      <c r="I269" s="376"/>
      <c r="J269" s="369"/>
      <c r="K269" s="370"/>
      <c r="L269" s="369"/>
      <c r="M269" s="369"/>
      <c r="N269" s="225"/>
      <c r="O269" s="225"/>
      <c r="P269" s="225"/>
      <c r="Q269" s="225"/>
      <c r="R269" s="225"/>
      <c r="S269" s="337"/>
      <c r="T269" s="224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69"/>
      <c r="H270" s="369"/>
      <c r="I270" s="376"/>
      <c r="J270" s="369"/>
      <c r="K270" s="370"/>
      <c r="L270" s="369"/>
      <c r="M270" s="369"/>
      <c r="N270" s="225"/>
      <c r="O270" s="225"/>
      <c r="P270" s="225"/>
      <c r="Q270" s="225"/>
      <c r="R270" s="225"/>
      <c r="S270" s="337"/>
      <c r="T270" s="224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69"/>
      <c r="H271" s="369"/>
      <c r="I271" s="376"/>
      <c r="J271" s="369"/>
      <c r="K271" s="370"/>
      <c r="L271" s="369"/>
      <c r="M271" s="369"/>
      <c r="N271" s="225"/>
      <c r="O271" s="225"/>
      <c r="P271" s="225"/>
      <c r="Q271" s="225"/>
      <c r="R271" s="225"/>
      <c r="S271" s="337"/>
      <c r="T271" s="224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69"/>
      <c r="H272" s="369"/>
      <c r="I272" s="376"/>
      <c r="J272" s="369"/>
      <c r="K272" s="370"/>
      <c r="L272" s="369"/>
      <c r="M272" s="369"/>
      <c r="N272" s="225"/>
      <c r="O272" s="225"/>
      <c r="P272" s="225"/>
      <c r="Q272" s="225"/>
      <c r="R272" s="225"/>
      <c r="S272" s="337"/>
      <c r="T272" s="224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69"/>
      <c r="H273" s="369"/>
      <c r="I273" s="376"/>
      <c r="J273" s="369"/>
      <c r="K273" s="370"/>
      <c r="L273" s="369"/>
      <c r="M273" s="369"/>
      <c r="N273" s="225"/>
      <c r="O273" s="225"/>
      <c r="P273" s="225"/>
      <c r="Q273" s="225"/>
      <c r="R273" s="225"/>
      <c r="S273" s="337"/>
      <c r="T273" s="224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69"/>
      <c r="H274" s="369"/>
      <c r="I274" s="376"/>
      <c r="J274" s="369"/>
      <c r="K274" s="370"/>
      <c r="L274" s="369"/>
      <c r="M274" s="369"/>
      <c r="N274" s="225"/>
      <c r="O274" s="225"/>
      <c r="P274" s="225"/>
      <c r="Q274" s="225"/>
      <c r="R274" s="225"/>
      <c r="S274" s="337"/>
      <c r="T274" s="224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69"/>
      <c r="H275" s="369"/>
      <c r="I275" s="376"/>
      <c r="J275" s="369"/>
      <c r="K275" s="370"/>
      <c r="L275" s="369"/>
      <c r="M275" s="369"/>
      <c r="N275" s="225"/>
      <c r="O275" s="225"/>
      <c r="P275" s="225"/>
      <c r="Q275" s="225"/>
      <c r="R275" s="225"/>
      <c r="S275" s="337"/>
      <c r="T275" s="224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69"/>
      <c r="H276" s="369"/>
      <c r="I276" s="376"/>
      <c r="J276" s="369"/>
      <c r="K276" s="370"/>
      <c r="L276" s="369"/>
      <c r="M276" s="369"/>
      <c r="N276" s="225"/>
      <c r="O276" s="225"/>
      <c r="P276" s="225"/>
      <c r="Q276" s="225"/>
      <c r="R276" s="225"/>
      <c r="S276" s="337"/>
      <c r="T276" s="224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69"/>
      <c r="H277" s="369"/>
      <c r="I277" s="376"/>
      <c r="J277" s="369"/>
      <c r="K277" s="370"/>
      <c r="L277" s="369"/>
      <c r="M277" s="369"/>
      <c r="N277" s="225"/>
      <c r="O277" s="225"/>
      <c r="P277" s="225"/>
      <c r="Q277" s="225"/>
      <c r="R277" s="225"/>
      <c r="S277" s="337"/>
      <c r="T277" s="224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69"/>
      <c r="H278" s="369"/>
      <c r="I278" s="376"/>
      <c r="J278" s="369"/>
      <c r="K278" s="370"/>
      <c r="L278" s="369"/>
      <c r="M278" s="369"/>
      <c r="N278" s="225"/>
      <c r="O278" s="225"/>
      <c r="P278" s="225"/>
      <c r="Q278" s="225"/>
      <c r="R278" s="225"/>
      <c r="S278" s="337"/>
      <c r="T278" s="224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69"/>
      <c r="H279" s="369"/>
      <c r="I279" s="376"/>
      <c r="J279" s="369"/>
      <c r="K279" s="370"/>
      <c r="L279" s="369"/>
      <c r="M279" s="369"/>
      <c r="N279" s="225"/>
      <c r="O279" s="225"/>
      <c r="P279" s="225"/>
      <c r="Q279" s="225"/>
      <c r="R279" s="225"/>
      <c r="S279" s="337"/>
      <c r="T279" s="224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69"/>
      <c r="H280" s="369"/>
      <c r="I280" s="376"/>
      <c r="J280" s="369"/>
      <c r="K280" s="370"/>
      <c r="L280" s="369"/>
      <c r="M280" s="369"/>
      <c r="N280" s="225"/>
      <c r="O280" s="225"/>
      <c r="P280" s="225"/>
      <c r="Q280" s="225"/>
      <c r="R280" s="225"/>
      <c r="S280" s="337"/>
      <c r="T280" s="224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69"/>
      <c r="H281" s="369"/>
      <c r="I281" s="376"/>
      <c r="J281" s="369"/>
      <c r="K281" s="370"/>
      <c r="L281" s="369"/>
      <c r="M281" s="369"/>
      <c r="N281" s="225"/>
      <c r="O281" s="225"/>
      <c r="P281" s="225"/>
      <c r="Q281" s="225"/>
      <c r="R281" s="225"/>
      <c r="S281" s="337"/>
      <c r="T281" s="224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69"/>
      <c r="H282" s="369"/>
      <c r="I282" s="376"/>
      <c r="J282" s="369"/>
      <c r="K282" s="370"/>
      <c r="L282" s="369"/>
      <c r="M282" s="369"/>
      <c r="N282" s="225"/>
      <c r="O282" s="225"/>
      <c r="P282" s="225"/>
      <c r="Q282" s="225"/>
      <c r="R282" s="225"/>
      <c r="S282" s="337"/>
      <c r="T282" s="224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69"/>
      <c r="H283" s="369"/>
      <c r="I283" s="376"/>
      <c r="J283" s="369"/>
      <c r="K283" s="370"/>
      <c r="L283" s="369"/>
      <c r="M283" s="369"/>
      <c r="N283" s="225"/>
      <c r="O283" s="225"/>
      <c r="P283" s="225"/>
      <c r="Q283" s="225"/>
      <c r="R283" s="225"/>
      <c r="S283" s="337"/>
      <c r="T283" s="224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69"/>
      <c r="H284" s="369"/>
      <c r="I284" s="376"/>
      <c r="J284" s="369"/>
      <c r="K284" s="370"/>
      <c r="L284" s="369"/>
      <c r="M284" s="369"/>
      <c r="N284" s="225"/>
      <c r="O284" s="225"/>
      <c r="P284" s="225"/>
      <c r="Q284" s="225"/>
      <c r="R284" s="225"/>
      <c r="S284" s="337"/>
      <c r="T284" s="224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69"/>
      <c r="H285" s="369"/>
      <c r="I285" s="376"/>
      <c r="J285" s="369"/>
      <c r="K285" s="370"/>
      <c r="L285" s="369"/>
      <c r="M285" s="369"/>
      <c r="N285" s="225"/>
      <c r="O285" s="225"/>
      <c r="P285" s="225"/>
      <c r="Q285" s="225"/>
      <c r="R285" s="225"/>
      <c r="S285" s="337"/>
      <c r="T285" s="224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69"/>
      <c r="H286" s="369"/>
      <c r="I286" s="376"/>
      <c r="J286" s="369"/>
      <c r="K286" s="370"/>
      <c r="L286" s="369"/>
      <c r="M286" s="369"/>
      <c r="N286" s="225"/>
      <c r="O286" s="225"/>
      <c r="P286" s="225"/>
      <c r="Q286" s="225"/>
      <c r="R286" s="225"/>
      <c r="S286" s="337"/>
      <c r="T286" s="224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69"/>
      <c r="H287" s="369"/>
      <c r="I287" s="376"/>
      <c r="J287" s="369"/>
      <c r="K287" s="370"/>
      <c r="L287" s="369"/>
      <c r="M287" s="369"/>
      <c r="N287" s="225"/>
      <c r="O287" s="225"/>
      <c r="P287" s="225"/>
      <c r="Q287" s="225"/>
      <c r="R287" s="225"/>
      <c r="S287" s="337"/>
      <c r="T287" s="224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69"/>
      <c r="H288" s="369"/>
      <c r="I288" s="376"/>
      <c r="J288" s="369"/>
      <c r="K288" s="370"/>
      <c r="L288" s="369"/>
      <c r="M288" s="369"/>
      <c r="N288" s="225"/>
      <c r="O288" s="225"/>
      <c r="P288" s="225"/>
      <c r="Q288" s="225"/>
      <c r="R288" s="225"/>
      <c r="S288" s="337"/>
      <c r="T288" s="224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69"/>
      <c r="H289" s="369"/>
      <c r="I289" s="376"/>
      <c r="J289" s="369"/>
      <c r="K289" s="370"/>
      <c r="L289" s="369"/>
      <c r="M289" s="369"/>
      <c r="N289" s="225"/>
      <c r="O289" s="225"/>
      <c r="P289" s="225"/>
      <c r="Q289" s="225"/>
      <c r="R289" s="225"/>
      <c r="S289" s="337"/>
      <c r="T289" s="224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69"/>
      <c r="H290" s="369"/>
      <c r="I290" s="376"/>
      <c r="J290" s="369"/>
      <c r="K290" s="370"/>
      <c r="L290" s="369"/>
      <c r="M290" s="369"/>
      <c r="N290" s="225"/>
      <c r="O290" s="225"/>
      <c r="P290" s="225"/>
      <c r="Q290" s="225"/>
      <c r="R290" s="225"/>
      <c r="S290" s="337"/>
      <c r="T290" s="224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69"/>
      <c r="H291" s="369"/>
      <c r="I291" s="376"/>
      <c r="J291" s="369"/>
      <c r="K291" s="370"/>
      <c r="L291" s="369"/>
      <c r="M291" s="369"/>
      <c r="N291" s="225"/>
      <c r="O291" s="225"/>
      <c r="P291" s="225"/>
      <c r="Q291" s="225"/>
      <c r="R291" s="225"/>
      <c r="S291" s="337"/>
      <c r="T291" s="224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69"/>
      <c r="H292" s="369"/>
      <c r="I292" s="376"/>
      <c r="J292" s="369"/>
      <c r="K292" s="370"/>
      <c r="L292" s="369"/>
      <c r="M292" s="369"/>
      <c r="N292" s="225"/>
      <c r="O292" s="225"/>
      <c r="P292" s="225"/>
      <c r="Q292" s="225"/>
      <c r="R292" s="225"/>
      <c r="S292" s="337"/>
      <c r="T292" s="224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69"/>
      <c r="H293" s="369"/>
      <c r="I293" s="376"/>
      <c r="J293" s="369"/>
      <c r="K293" s="370"/>
      <c r="L293" s="369"/>
      <c r="M293" s="369"/>
      <c r="N293" s="225"/>
      <c r="O293" s="225"/>
      <c r="P293" s="225"/>
      <c r="Q293" s="225"/>
      <c r="R293" s="225"/>
      <c r="S293" s="337"/>
      <c r="T293" s="224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69"/>
      <c r="H294" s="369"/>
      <c r="I294" s="376"/>
      <c r="J294" s="369"/>
      <c r="K294" s="370"/>
      <c r="L294" s="369"/>
      <c r="M294" s="369"/>
      <c r="N294" s="225"/>
      <c r="O294" s="225"/>
      <c r="P294" s="225"/>
      <c r="Q294" s="225"/>
      <c r="R294" s="225"/>
      <c r="S294" s="337"/>
      <c r="T294" s="224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69"/>
      <c r="H295" s="369"/>
      <c r="I295" s="376"/>
      <c r="J295" s="369"/>
      <c r="K295" s="370"/>
      <c r="L295" s="369"/>
      <c r="M295" s="369"/>
      <c r="N295" s="225"/>
      <c r="O295" s="225"/>
      <c r="P295" s="225"/>
      <c r="Q295" s="225"/>
      <c r="R295" s="225"/>
      <c r="S295" s="337"/>
      <c r="T295" s="224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69"/>
      <c r="H296" s="369"/>
      <c r="I296" s="376"/>
      <c r="J296" s="369"/>
      <c r="K296" s="370"/>
      <c r="L296" s="369"/>
      <c r="M296" s="369"/>
      <c r="N296" s="225"/>
      <c r="O296" s="225"/>
      <c r="P296" s="225"/>
      <c r="Q296" s="225"/>
      <c r="R296" s="225"/>
      <c r="S296" s="337"/>
      <c r="T296" s="224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69"/>
      <c r="H297" s="369"/>
      <c r="I297" s="376"/>
      <c r="J297" s="369"/>
      <c r="K297" s="370"/>
      <c r="L297" s="369"/>
      <c r="M297" s="369"/>
      <c r="N297" s="225"/>
      <c r="O297" s="225"/>
      <c r="P297" s="225"/>
      <c r="Q297" s="225"/>
      <c r="R297" s="225"/>
      <c r="S297" s="337"/>
      <c r="T297" s="224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69"/>
      <c r="H298" s="369"/>
      <c r="I298" s="376"/>
      <c r="J298" s="369"/>
      <c r="K298" s="370"/>
      <c r="L298" s="369"/>
      <c r="M298" s="369"/>
      <c r="N298" s="225"/>
      <c r="O298" s="225"/>
      <c r="P298" s="225"/>
      <c r="Q298" s="225"/>
      <c r="R298" s="225"/>
      <c r="S298" s="337"/>
      <c r="T298" s="224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69"/>
      <c r="H299" s="369"/>
      <c r="I299" s="376"/>
      <c r="J299" s="369"/>
      <c r="K299" s="370"/>
      <c r="L299" s="369"/>
      <c r="M299" s="369"/>
      <c r="N299" s="225"/>
      <c r="O299" s="225"/>
      <c r="P299" s="225"/>
      <c r="Q299" s="225"/>
      <c r="R299" s="225"/>
      <c r="S299" s="337"/>
      <c r="T299" s="224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69"/>
      <c r="H300" s="369"/>
      <c r="I300" s="376"/>
      <c r="J300" s="369"/>
      <c r="K300" s="370"/>
      <c r="L300" s="369"/>
      <c r="M300" s="369"/>
      <c r="N300" s="225"/>
      <c r="O300" s="225"/>
      <c r="P300" s="225"/>
      <c r="Q300" s="225"/>
      <c r="R300" s="225"/>
      <c r="S300" s="337"/>
      <c r="T300" s="224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69"/>
      <c r="H301" s="369"/>
      <c r="I301" s="376"/>
      <c r="J301" s="369"/>
      <c r="K301" s="370"/>
      <c r="L301" s="369"/>
      <c r="M301" s="369"/>
      <c r="N301" s="225"/>
      <c r="O301" s="225"/>
      <c r="P301" s="225"/>
      <c r="Q301" s="225"/>
      <c r="R301" s="225"/>
      <c r="S301" s="337"/>
      <c r="T301" s="224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69"/>
      <c r="H302" s="369"/>
      <c r="I302" s="376"/>
      <c r="J302" s="369"/>
      <c r="K302" s="370"/>
      <c r="L302" s="369"/>
      <c r="M302" s="369"/>
      <c r="N302" s="225"/>
      <c r="O302" s="225"/>
      <c r="P302" s="225"/>
      <c r="Q302" s="225"/>
      <c r="R302" s="225"/>
      <c r="S302" s="337"/>
      <c r="T302" s="224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69"/>
      <c r="H303" s="369"/>
      <c r="I303" s="376"/>
      <c r="J303" s="369"/>
      <c r="K303" s="370"/>
      <c r="L303" s="369"/>
      <c r="M303" s="369"/>
      <c r="N303" s="225"/>
      <c r="O303" s="225"/>
      <c r="P303" s="225"/>
      <c r="Q303" s="225"/>
      <c r="R303" s="225"/>
      <c r="S303" s="337"/>
      <c r="T303" s="224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69"/>
      <c r="H304" s="369"/>
      <c r="I304" s="376"/>
      <c r="J304" s="369"/>
      <c r="K304" s="370"/>
      <c r="L304" s="369"/>
      <c r="M304" s="369"/>
      <c r="N304" s="225"/>
      <c r="O304" s="225"/>
      <c r="P304" s="225"/>
      <c r="Q304" s="225"/>
      <c r="R304" s="225"/>
      <c r="S304" s="337"/>
      <c r="T304" s="224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69"/>
      <c r="H305" s="369"/>
      <c r="I305" s="376"/>
      <c r="J305" s="369"/>
      <c r="K305" s="370"/>
      <c r="L305" s="369"/>
      <c r="M305" s="369"/>
      <c r="N305" s="225"/>
      <c r="O305" s="225"/>
      <c r="P305" s="225"/>
      <c r="Q305" s="225"/>
      <c r="R305" s="225"/>
      <c r="S305" s="337"/>
      <c r="T305" s="224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69"/>
      <c r="H306" s="369"/>
      <c r="I306" s="376"/>
      <c r="J306" s="369"/>
      <c r="K306" s="370"/>
      <c r="L306" s="369"/>
      <c r="M306" s="369"/>
      <c r="N306" s="225"/>
      <c r="O306" s="225"/>
      <c r="P306" s="225"/>
      <c r="Q306" s="225"/>
      <c r="R306" s="225"/>
      <c r="S306" s="337"/>
      <c r="T306" s="224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69"/>
      <c r="H307" s="369"/>
      <c r="I307" s="376"/>
      <c r="J307" s="369"/>
      <c r="K307" s="370"/>
      <c r="L307" s="369"/>
      <c r="M307" s="369"/>
      <c r="N307" s="225"/>
      <c r="O307" s="225"/>
      <c r="P307" s="225"/>
      <c r="Q307" s="225"/>
      <c r="R307" s="225"/>
      <c r="S307" s="337"/>
      <c r="T307" s="224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69"/>
      <c r="H308" s="369"/>
      <c r="I308" s="376"/>
      <c r="J308" s="369"/>
      <c r="K308" s="370"/>
      <c r="L308" s="369"/>
      <c r="M308" s="369"/>
      <c r="N308" s="225"/>
      <c r="O308" s="225"/>
      <c r="P308" s="225"/>
      <c r="Q308" s="225"/>
      <c r="R308" s="225"/>
      <c r="S308" s="337"/>
      <c r="T308" s="224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69"/>
      <c r="H309" s="369"/>
      <c r="I309" s="376"/>
      <c r="J309" s="369"/>
      <c r="K309" s="370"/>
      <c r="L309" s="369"/>
      <c r="M309" s="369"/>
      <c r="N309" s="225"/>
      <c r="O309" s="225"/>
      <c r="P309" s="225"/>
      <c r="Q309" s="225"/>
      <c r="R309" s="225"/>
      <c r="S309" s="337"/>
      <c r="T309" s="224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69"/>
      <c r="H310" s="369"/>
      <c r="I310" s="376"/>
      <c r="J310" s="369"/>
      <c r="K310" s="370"/>
      <c r="L310" s="369"/>
      <c r="M310" s="369"/>
      <c r="N310" s="225"/>
      <c r="O310" s="225"/>
      <c r="P310" s="225"/>
      <c r="Q310" s="225"/>
      <c r="R310" s="225"/>
      <c r="S310" s="337"/>
      <c r="T310" s="224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69"/>
      <c r="H311" s="369"/>
      <c r="I311" s="376"/>
      <c r="J311" s="369"/>
      <c r="K311" s="370"/>
      <c r="L311" s="369"/>
      <c r="M311" s="369"/>
      <c r="N311" s="225"/>
      <c r="O311" s="225"/>
      <c r="P311" s="225"/>
      <c r="Q311" s="225"/>
      <c r="R311" s="225"/>
      <c r="S311" s="337"/>
      <c r="T311" s="224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69"/>
      <c r="H312" s="369"/>
      <c r="I312" s="376"/>
      <c r="J312" s="369"/>
      <c r="K312" s="370"/>
      <c r="L312" s="369"/>
      <c r="M312" s="369"/>
      <c r="N312" s="225"/>
      <c r="O312" s="225"/>
      <c r="P312" s="225"/>
      <c r="Q312" s="225"/>
      <c r="R312" s="225"/>
      <c r="S312" s="337"/>
      <c r="T312" s="224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69"/>
      <c r="H313" s="369"/>
      <c r="I313" s="376"/>
      <c r="J313" s="369"/>
      <c r="K313" s="370"/>
      <c r="L313" s="369"/>
      <c r="M313" s="369"/>
      <c r="N313" s="225"/>
      <c r="O313" s="225"/>
      <c r="P313" s="225"/>
      <c r="Q313" s="225"/>
      <c r="R313" s="225"/>
      <c r="S313" s="337"/>
      <c r="T313" s="224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69"/>
      <c r="H314" s="369"/>
      <c r="I314" s="376"/>
      <c r="J314" s="369"/>
      <c r="K314" s="370"/>
      <c r="L314" s="369"/>
      <c r="M314" s="369"/>
      <c r="N314" s="225"/>
      <c r="O314" s="225"/>
      <c r="P314" s="225"/>
      <c r="Q314" s="225"/>
      <c r="R314" s="225"/>
      <c r="S314" s="337"/>
      <c r="T314" s="224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69"/>
      <c r="H315" s="369"/>
      <c r="I315" s="376"/>
      <c r="J315" s="369"/>
      <c r="K315" s="370"/>
      <c r="L315" s="369"/>
      <c r="M315" s="369"/>
      <c r="N315" s="225"/>
      <c r="O315" s="225"/>
      <c r="P315" s="225"/>
      <c r="Q315" s="225"/>
      <c r="R315" s="225"/>
      <c r="S315" s="337"/>
      <c r="T315" s="224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69"/>
      <c r="H316" s="369"/>
      <c r="I316" s="376"/>
      <c r="J316" s="369"/>
      <c r="K316" s="370"/>
      <c r="L316" s="369"/>
      <c r="M316" s="369"/>
      <c r="N316" s="225"/>
      <c r="O316" s="225"/>
      <c r="P316" s="225"/>
      <c r="Q316" s="225"/>
      <c r="R316" s="225"/>
      <c r="S316" s="337"/>
      <c r="T316" s="224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69"/>
      <c r="H317" s="369"/>
      <c r="I317" s="376"/>
      <c r="J317" s="369"/>
      <c r="K317" s="370"/>
      <c r="L317" s="369"/>
      <c r="M317" s="369"/>
      <c r="N317" s="225"/>
      <c r="O317" s="225"/>
      <c r="P317" s="225"/>
      <c r="Q317" s="225"/>
      <c r="R317" s="225"/>
      <c r="S317" s="337"/>
      <c r="T317" s="224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69"/>
      <c r="H318" s="369"/>
      <c r="I318" s="376"/>
      <c r="J318" s="369"/>
      <c r="K318" s="370"/>
      <c r="L318" s="369"/>
      <c r="M318" s="369"/>
      <c r="N318" s="225"/>
      <c r="O318" s="225"/>
      <c r="P318" s="225"/>
      <c r="Q318" s="225"/>
      <c r="R318" s="225"/>
      <c r="S318" s="337"/>
      <c r="T318" s="224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69"/>
      <c r="H319" s="369"/>
      <c r="I319" s="376"/>
      <c r="J319" s="369"/>
      <c r="K319" s="370"/>
      <c r="L319" s="369"/>
      <c r="M319" s="369"/>
      <c r="N319" s="225"/>
      <c r="O319" s="225"/>
      <c r="P319" s="225"/>
      <c r="Q319" s="225"/>
      <c r="R319" s="225"/>
      <c r="S319" s="337"/>
      <c r="T319" s="224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69"/>
      <c r="H320" s="369"/>
      <c r="I320" s="376"/>
      <c r="J320" s="369"/>
      <c r="K320" s="370"/>
      <c r="L320" s="369"/>
      <c r="M320" s="369"/>
      <c r="N320" s="225"/>
      <c r="O320" s="225"/>
      <c r="P320" s="225"/>
      <c r="Q320" s="225"/>
      <c r="R320" s="225"/>
      <c r="S320" s="337"/>
      <c r="T320" s="224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69"/>
      <c r="H321" s="369"/>
      <c r="I321" s="376"/>
      <c r="J321" s="369"/>
      <c r="K321" s="370"/>
      <c r="L321" s="369"/>
      <c r="M321" s="369"/>
      <c r="N321" s="225"/>
      <c r="O321" s="225"/>
      <c r="P321" s="225"/>
      <c r="Q321" s="225"/>
      <c r="R321" s="225"/>
      <c r="S321" s="337"/>
      <c r="T321" s="224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69"/>
      <c r="H322" s="369"/>
      <c r="I322" s="376"/>
      <c r="J322" s="369"/>
      <c r="K322" s="370"/>
      <c r="L322" s="369"/>
      <c r="M322" s="369"/>
      <c r="N322" s="225"/>
      <c r="O322" s="225"/>
      <c r="P322" s="225"/>
      <c r="Q322" s="225"/>
      <c r="R322" s="225"/>
      <c r="S322" s="337"/>
      <c r="T322" s="224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69"/>
      <c r="H323" s="369"/>
      <c r="I323" s="376"/>
      <c r="J323" s="369"/>
      <c r="K323" s="370"/>
      <c r="L323" s="369"/>
      <c r="M323" s="369"/>
      <c r="N323" s="225"/>
      <c r="O323" s="225"/>
      <c r="P323" s="225"/>
      <c r="Q323" s="225"/>
      <c r="R323" s="225"/>
      <c r="S323" s="337"/>
      <c r="T323" s="224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0</v>
      </c>
      <c r="E324" s="53"/>
      <c r="F324" s="53"/>
      <c r="G324" s="369"/>
      <c r="H324" s="369"/>
      <c r="I324" s="376"/>
      <c r="J324" s="369"/>
      <c r="K324" s="370"/>
      <c r="L324" s="369"/>
      <c r="M324" s="369"/>
      <c r="N324" s="225"/>
      <c r="O324" s="225"/>
      <c r="P324" s="225"/>
      <c r="Q324" s="225"/>
      <c r="R324" s="225"/>
      <c r="S324" s="337"/>
      <c r="T324" s="224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69"/>
      <c r="H325" s="369"/>
      <c r="I325" s="376"/>
      <c r="J325" s="369"/>
      <c r="K325" s="370"/>
      <c r="L325" s="369"/>
      <c r="M325" s="369"/>
      <c r="N325" s="225"/>
      <c r="O325" s="225"/>
      <c r="P325" s="225"/>
      <c r="Q325" s="225"/>
      <c r="R325" s="225"/>
      <c r="S325" s="337"/>
      <c r="T325" s="224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69"/>
      <c r="H326" s="369"/>
      <c r="I326" s="376"/>
      <c r="J326" s="369"/>
      <c r="K326" s="370"/>
      <c r="L326" s="369"/>
      <c r="M326" s="369"/>
      <c r="N326" s="225"/>
      <c r="O326" s="225"/>
      <c r="P326" s="225"/>
      <c r="Q326" s="225"/>
      <c r="R326" s="225"/>
      <c r="S326" s="337"/>
      <c r="T326" s="224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69"/>
      <c r="H327" s="369"/>
      <c r="I327" s="376"/>
      <c r="J327" s="369"/>
      <c r="K327" s="370"/>
      <c r="L327" s="369"/>
      <c r="M327" s="369"/>
      <c r="N327" s="225"/>
      <c r="O327" s="225"/>
      <c r="P327" s="225"/>
      <c r="Q327" s="225"/>
      <c r="R327" s="225"/>
      <c r="S327" s="337"/>
      <c r="T327" s="224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69"/>
      <c r="H328" s="369"/>
      <c r="I328" s="376"/>
      <c r="J328" s="369"/>
      <c r="K328" s="370"/>
      <c r="L328" s="369"/>
      <c r="M328" s="369"/>
      <c r="N328" s="225"/>
      <c r="O328" s="225"/>
      <c r="P328" s="225"/>
      <c r="Q328" s="225"/>
      <c r="R328" s="225"/>
      <c r="S328" s="337"/>
      <c r="T328" s="224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69"/>
      <c r="H329" s="369"/>
      <c r="I329" s="376"/>
      <c r="J329" s="369"/>
      <c r="K329" s="370"/>
      <c r="L329" s="369"/>
      <c r="M329" s="369"/>
      <c r="N329" s="225"/>
      <c r="O329" s="225"/>
      <c r="P329" s="225"/>
      <c r="Q329" s="225"/>
      <c r="R329" s="225"/>
      <c r="S329" s="337"/>
      <c r="T329" s="224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69"/>
      <c r="H330" s="369"/>
      <c r="I330" s="376"/>
      <c r="J330" s="369"/>
      <c r="K330" s="370"/>
      <c r="L330" s="369"/>
      <c r="M330" s="369"/>
      <c r="N330" s="225"/>
      <c r="O330" s="225"/>
      <c r="P330" s="225"/>
      <c r="Q330" s="225"/>
      <c r="R330" s="225"/>
      <c r="S330" s="337"/>
      <c r="T330" s="224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69"/>
      <c r="H331" s="369"/>
      <c r="I331" s="376"/>
      <c r="J331" s="369"/>
      <c r="K331" s="370"/>
      <c r="L331" s="369"/>
      <c r="M331" s="369"/>
      <c r="N331" s="225"/>
      <c r="O331" s="225"/>
      <c r="P331" s="225"/>
      <c r="Q331" s="225"/>
      <c r="R331" s="225"/>
      <c r="S331" s="337"/>
      <c r="T331" s="224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69"/>
      <c r="H332" s="369"/>
      <c r="I332" s="376"/>
      <c r="J332" s="369"/>
      <c r="K332" s="370"/>
      <c r="L332" s="369"/>
      <c r="M332" s="369"/>
      <c r="N332" s="225"/>
      <c r="O332" s="225"/>
      <c r="P332" s="225"/>
      <c r="Q332" s="225"/>
      <c r="R332" s="225"/>
      <c r="S332" s="337"/>
      <c r="T332" s="224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69"/>
      <c r="H333" s="369"/>
      <c r="I333" s="376"/>
      <c r="J333" s="369"/>
      <c r="K333" s="370"/>
      <c r="L333" s="369"/>
      <c r="M333" s="369"/>
      <c r="N333" s="225"/>
      <c r="O333" s="225"/>
      <c r="P333" s="225"/>
      <c r="Q333" s="225"/>
      <c r="R333" s="225"/>
      <c r="S333" s="337"/>
      <c r="T333" s="224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69"/>
      <c r="H334" s="369"/>
      <c r="I334" s="376"/>
      <c r="J334" s="369"/>
      <c r="K334" s="370"/>
      <c r="L334" s="369"/>
      <c r="M334" s="369"/>
      <c r="N334" s="225"/>
      <c r="O334" s="225"/>
      <c r="P334" s="225"/>
      <c r="Q334" s="225"/>
      <c r="R334" s="225"/>
      <c r="S334" s="337"/>
      <c r="T334" s="224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69"/>
      <c r="H335" s="369"/>
      <c r="I335" s="376"/>
      <c r="J335" s="369"/>
      <c r="K335" s="370"/>
      <c r="L335" s="369"/>
      <c r="M335" s="369"/>
      <c r="N335" s="225"/>
      <c r="O335" s="225"/>
      <c r="P335" s="225"/>
      <c r="Q335" s="225"/>
      <c r="R335" s="225"/>
      <c r="S335" s="337"/>
      <c r="T335" s="224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69"/>
      <c r="H336" s="369"/>
      <c r="I336" s="376"/>
      <c r="J336" s="369"/>
      <c r="K336" s="370"/>
      <c r="L336" s="369"/>
      <c r="M336" s="369"/>
      <c r="N336" s="225"/>
      <c r="O336" s="225"/>
      <c r="P336" s="225"/>
      <c r="Q336" s="225"/>
      <c r="R336" s="225"/>
      <c r="S336" s="337"/>
      <c r="T336" s="224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69"/>
      <c r="H337" s="369"/>
      <c r="I337" s="376"/>
      <c r="J337" s="369"/>
      <c r="K337" s="370"/>
      <c r="L337" s="369"/>
      <c r="M337" s="369"/>
      <c r="N337" s="225"/>
      <c r="O337" s="225"/>
      <c r="P337" s="225"/>
      <c r="Q337" s="225"/>
      <c r="R337" s="225"/>
      <c r="S337" s="337"/>
      <c r="T337" s="224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69"/>
      <c r="H338" s="369"/>
      <c r="I338" s="376"/>
      <c r="J338" s="369"/>
      <c r="K338" s="370"/>
      <c r="L338" s="369"/>
      <c r="M338" s="369"/>
      <c r="N338" s="225"/>
      <c r="O338" s="225"/>
      <c r="P338" s="225"/>
      <c r="Q338" s="225"/>
      <c r="R338" s="225"/>
      <c r="S338" s="337"/>
      <c r="T338" s="224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69"/>
      <c r="H339" s="369"/>
      <c r="I339" s="376"/>
      <c r="J339" s="369"/>
      <c r="K339" s="370"/>
      <c r="L339" s="369"/>
      <c r="M339" s="369"/>
      <c r="N339" s="225"/>
      <c r="O339" s="225"/>
      <c r="P339" s="225"/>
      <c r="Q339" s="225"/>
      <c r="R339" s="225"/>
      <c r="S339" s="337"/>
      <c r="T339" s="224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69"/>
      <c r="H340" s="369"/>
      <c r="I340" s="376"/>
      <c r="J340" s="369"/>
      <c r="K340" s="370"/>
      <c r="L340" s="369"/>
      <c r="M340" s="369"/>
      <c r="N340" s="225"/>
      <c r="O340" s="225"/>
      <c r="P340" s="225"/>
      <c r="Q340" s="225"/>
      <c r="R340" s="225"/>
      <c r="S340" s="337"/>
      <c r="T340" s="224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69"/>
      <c r="H341" s="369"/>
      <c r="I341" s="376"/>
      <c r="J341" s="369"/>
      <c r="K341" s="370"/>
      <c r="L341" s="369"/>
      <c r="M341" s="369"/>
      <c r="N341" s="225"/>
      <c r="O341" s="225"/>
      <c r="P341" s="225"/>
      <c r="Q341" s="225"/>
      <c r="R341" s="225"/>
      <c r="S341" s="337"/>
      <c r="T341" s="224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69"/>
      <c r="H342" s="369"/>
      <c r="I342" s="376"/>
      <c r="J342" s="369"/>
      <c r="K342" s="370"/>
      <c r="L342" s="369"/>
      <c r="M342" s="369"/>
      <c r="N342" s="225"/>
      <c r="O342" s="225"/>
      <c r="P342" s="225"/>
      <c r="Q342" s="225"/>
      <c r="R342" s="225"/>
      <c r="S342" s="337"/>
      <c r="T342" s="224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69"/>
      <c r="H343" s="369"/>
      <c r="I343" s="376"/>
      <c r="J343" s="369"/>
      <c r="K343" s="370"/>
      <c r="L343" s="369"/>
      <c r="M343" s="369"/>
      <c r="N343" s="225"/>
      <c r="O343" s="225"/>
      <c r="P343" s="225"/>
      <c r="Q343" s="225"/>
      <c r="R343" s="225"/>
      <c r="S343" s="337"/>
      <c r="T343" s="224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69"/>
      <c r="H344" s="369"/>
      <c r="I344" s="376"/>
      <c r="J344" s="369"/>
      <c r="K344" s="370"/>
      <c r="L344" s="369"/>
      <c r="M344" s="369"/>
      <c r="N344" s="225"/>
      <c r="O344" s="225"/>
      <c r="P344" s="225"/>
      <c r="Q344" s="225"/>
      <c r="R344" s="225"/>
      <c r="S344" s="337"/>
      <c r="T344" s="224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69"/>
      <c r="H345" s="369"/>
      <c r="I345" s="376"/>
      <c r="J345" s="369"/>
      <c r="K345" s="370"/>
      <c r="L345" s="369"/>
      <c r="M345" s="369"/>
      <c r="N345" s="225"/>
      <c r="O345" s="225"/>
      <c r="P345" s="225"/>
      <c r="Q345" s="225"/>
      <c r="R345" s="225"/>
      <c r="S345" s="337"/>
      <c r="T345" s="224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69"/>
      <c r="H346" s="369"/>
      <c r="I346" s="376"/>
      <c r="J346" s="369"/>
      <c r="K346" s="370"/>
      <c r="L346" s="369"/>
      <c r="M346" s="369"/>
      <c r="N346" s="225"/>
      <c r="O346" s="225"/>
      <c r="P346" s="225"/>
      <c r="Q346" s="225"/>
      <c r="R346" s="225"/>
      <c r="S346" s="337"/>
      <c r="T346" s="224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69"/>
      <c r="H347" s="369"/>
      <c r="I347" s="376"/>
      <c r="J347" s="369"/>
      <c r="K347" s="370"/>
      <c r="L347" s="369"/>
      <c r="M347" s="369"/>
      <c r="N347" s="225"/>
      <c r="O347" s="225"/>
      <c r="P347" s="225"/>
      <c r="Q347" s="225"/>
      <c r="R347" s="225"/>
      <c r="S347" s="337"/>
      <c r="T347" s="224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69"/>
      <c r="H348" s="369"/>
      <c r="I348" s="376"/>
      <c r="J348" s="369"/>
      <c r="K348" s="370"/>
      <c r="L348" s="369"/>
      <c r="M348" s="369"/>
      <c r="N348" s="225"/>
      <c r="O348" s="225"/>
      <c r="P348" s="225"/>
      <c r="Q348" s="225"/>
      <c r="R348" s="225"/>
      <c r="S348" s="337"/>
      <c r="T348" s="224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0</v>
      </c>
      <c r="E349" s="53"/>
      <c r="F349" s="53"/>
      <c r="G349" s="369"/>
      <c r="H349" s="369"/>
      <c r="I349" s="376"/>
      <c r="J349" s="369"/>
      <c r="K349" s="370"/>
      <c r="L349" s="369"/>
      <c r="M349" s="369"/>
      <c r="N349" s="225"/>
      <c r="O349" s="225"/>
      <c r="P349" s="225"/>
      <c r="Q349" s="225"/>
      <c r="R349" s="225"/>
      <c r="S349" s="337"/>
      <c r="T349" s="224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69"/>
      <c r="H350" s="369"/>
      <c r="I350" s="376"/>
      <c r="J350" s="369"/>
      <c r="K350" s="370"/>
      <c r="L350" s="369"/>
      <c r="M350" s="369"/>
      <c r="N350" s="225"/>
      <c r="O350" s="225"/>
      <c r="P350" s="225"/>
      <c r="Q350" s="225"/>
      <c r="R350" s="225"/>
      <c r="S350" s="337"/>
      <c r="T350" s="224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69"/>
      <c r="H351" s="369"/>
      <c r="I351" s="376"/>
      <c r="J351" s="369"/>
      <c r="K351" s="370"/>
      <c r="L351" s="369"/>
      <c r="M351" s="369"/>
      <c r="N351" s="225"/>
      <c r="O351" s="225"/>
      <c r="P351" s="225"/>
      <c r="Q351" s="225"/>
      <c r="R351" s="225"/>
      <c r="S351" s="337"/>
      <c r="T351" s="224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69"/>
      <c r="H352" s="369"/>
      <c r="I352" s="376"/>
      <c r="J352" s="369"/>
      <c r="K352" s="370"/>
      <c r="L352" s="369"/>
      <c r="M352" s="369"/>
      <c r="N352" s="225"/>
      <c r="O352" s="225"/>
      <c r="P352" s="225"/>
      <c r="Q352" s="225"/>
      <c r="R352" s="225"/>
      <c r="S352" s="337"/>
      <c r="T352" s="224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69"/>
      <c r="H353" s="369"/>
      <c r="I353" s="376"/>
      <c r="J353" s="369"/>
      <c r="K353" s="370"/>
      <c r="L353" s="369"/>
      <c r="M353" s="369"/>
      <c r="N353" s="225"/>
      <c r="O353" s="225"/>
      <c r="P353" s="225"/>
      <c r="Q353" s="225"/>
      <c r="R353" s="225"/>
      <c r="S353" s="337"/>
      <c r="T353" s="224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0</v>
      </c>
      <c r="E354" s="53"/>
      <c r="F354" s="53"/>
      <c r="G354" s="369"/>
      <c r="H354" s="369"/>
      <c r="I354" s="376"/>
      <c r="J354" s="369"/>
      <c r="K354" s="370"/>
      <c r="L354" s="369"/>
      <c r="M354" s="369"/>
      <c r="N354" s="225"/>
      <c r="O354" s="225"/>
      <c r="P354" s="225"/>
      <c r="Q354" s="225"/>
      <c r="R354" s="225"/>
      <c r="S354" s="337"/>
      <c r="T354" s="224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69"/>
      <c r="H355" s="369"/>
      <c r="I355" s="376"/>
      <c r="J355" s="369"/>
      <c r="K355" s="370"/>
      <c r="L355" s="369"/>
      <c r="M355" s="369"/>
      <c r="N355" s="225"/>
      <c r="O355" s="225"/>
      <c r="P355" s="225"/>
      <c r="Q355" s="225"/>
      <c r="R355" s="225"/>
      <c r="S355" s="337"/>
      <c r="T355" s="224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69"/>
      <c r="H356" s="369"/>
      <c r="I356" s="376"/>
      <c r="J356" s="369"/>
      <c r="K356" s="370"/>
      <c r="L356" s="369"/>
      <c r="M356" s="369"/>
      <c r="N356" s="225"/>
      <c r="O356" s="225"/>
      <c r="P356" s="225"/>
      <c r="Q356" s="225"/>
      <c r="R356" s="225"/>
      <c r="S356" s="337"/>
      <c r="T356" s="224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69"/>
      <c r="H357" s="369"/>
      <c r="I357" s="376"/>
      <c r="J357" s="369"/>
      <c r="K357" s="370"/>
      <c r="L357" s="369"/>
      <c r="M357" s="369"/>
      <c r="N357" s="225"/>
      <c r="O357" s="225"/>
      <c r="P357" s="225"/>
      <c r="Q357" s="225"/>
      <c r="R357" s="225"/>
      <c r="S357" s="337"/>
      <c r="T357" s="224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69"/>
      <c r="H358" s="369"/>
      <c r="I358" s="376"/>
      <c r="J358" s="369"/>
      <c r="K358" s="370"/>
      <c r="L358" s="369"/>
      <c r="M358" s="369"/>
      <c r="N358" s="225"/>
      <c r="O358" s="225"/>
      <c r="P358" s="225"/>
      <c r="Q358" s="225"/>
      <c r="R358" s="225"/>
      <c r="S358" s="337"/>
      <c r="T358" s="224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0</v>
      </c>
      <c r="E359" s="53"/>
      <c r="F359" s="53"/>
      <c r="G359" s="369"/>
      <c r="H359" s="369"/>
      <c r="I359" s="376"/>
      <c r="J359" s="369"/>
      <c r="K359" s="370"/>
      <c r="L359" s="369"/>
      <c r="M359" s="369"/>
      <c r="N359" s="225"/>
      <c r="O359" s="225"/>
      <c r="P359" s="225"/>
      <c r="Q359" s="225"/>
      <c r="R359" s="225"/>
      <c r="S359" s="337"/>
      <c r="T359" s="224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69"/>
      <c r="H360" s="369"/>
      <c r="I360" s="376"/>
      <c r="J360" s="369"/>
      <c r="K360" s="370"/>
      <c r="L360" s="369"/>
      <c r="M360" s="369"/>
      <c r="N360" s="225"/>
      <c r="O360" s="225"/>
      <c r="P360" s="225"/>
      <c r="Q360" s="225"/>
      <c r="R360" s="225"/>
      <c r="S360" s="337"/>
      <c r="T360" s="224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69"/>
      <c r="H361" s="369"/>
      <c r="I361" s="376"/>
      <c r="J361" s="369"/>
      <c r="K361" s="370"/>
      <c r="L361" s="369"/>
      <c r="M361" s="369"/>
      <c r="N361" s="225"/>
      <c r="O361" s="225"/>
      <c r="P361" s="225"/>
      <c r="Q361" s="225"/>
      <c r="R361" s="225"/>
      <c r="S361" s="337"/>
      <c r="T361" s="224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69"/>
      <c r="H362" s="369"/>
      <c r="I362" s="376"/>
      <c r="J362" s="369"/>
      <c r="K362" s="370"/>
      <c r="L362" s="369"/>
      <c r="M362" s="369"/>
      <c r="N362" s="225"/>
      <c r="O362" s="225"/>
      <c r="P362" s="225"/>
      <c r="Q362" s="225"/>
      <c r="R362" s="225"/>
      <c r="S362" s="337"/>
      <c r="T362" s="224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69"/>
      <c r="H363" s="369"/>
      <c r="I363" s="376"/>
      <c r="J363" s="369"/>
      <c r="K363" s="370"/>
      <c r="L363" s="369"/>
      <c r="M363" s="369"/>
      <c r="N363" s="225"/>
      <c r="O363" s="225"/>
      <c r="P363" s="225"/>
      <c r="Q363" s="225"/>
      <c r="R363" s="225"/>
      <c r="S363" s="337"/>
      <c r="T363" s="224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69"/>
      <c r="H364" s="369"/>
      <c r="I364" s="376"/>
      <c r="J364" s="369"/>
      <c r="K364" s="370"/>
      <c r="L364" s="369"/>
      <c r="M364" s="369"/>
      <c r="N364" s="225"/>
      <c r="O364" s="225"/>
      <c r="P364" s="225"/>
      <c r="Q364" s="225"/>
      <c r="R364" s="225"/>
      <c r="S364" s="337"/>
      <c r="T364" s="224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69"/>
      <c r="H365" s="369"/>
      <c r="I365" s="376"/>
      <c r="J365" s="369"/>
      <c r="K365" s="370"/>
      <c r="L365" s="369"/>
      <c r="M365" s="369"/>
      <c r="N365" s="225"/>
      <c r="O365" s="225"/>
      <c r="P365" s="225"/>
      <c r="Q365" s="225"/>
      <c r="R365" s="225"/>
      <c r="S365" s="337"/>
      <c r="T365" s="224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69"/>
      <c r="H366" s="369"/>
      <c r="I366" s="376"/>
      <c r="J366" s="369"/>
      <c r="K366" s="370"/>
      <c r="L366" s="369"/>
      <c r="M366" s="369"/>
      <c r="N366" s="225"/>
      <c r="O366" s="225"/>
      <c r="P366" s="225"/>
      <c r="Q366" s="225"/>
      <c r="R366" s="225"/>
      <c r="S366" s="337"/>
      <c r="T366" s="224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69"/>
      <c r="H367" s="369"/>
      <c r="I367" s="376"/>
      <c r="J367" s="369"/>
      <c r="K367" s="370"/>
      <c r="L367" s="369"/>
      <c r="M367" s="369"/>
      <c r="N367" s="225"/>
      <c r="O367" s="225"/>
      <c r="P367" s="225"/>
      <c r="Q367" s="225"/>
      <c r="R367" s="225"/>
      <c r="S367" s="337"/>
      <c r="T367" s="224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69"/>
      <c r="H368" s="369"/>
      <c r="I368" s="376"/>
      <c r="J368" s="369"/>
      <c r="K368" s="370"/>
      <c r="L368" s="369"/>
      <c r="M368" s="369"/>
      <c r="N368" s="225"/>
      <c r="O368" s="225"/>
      <c r="P368" s="225"/>
      <c r="Q368" s="225"/>
      <c r="R368" s="225"/>
      <c r="S368" s="337"/>
      <c r="T368" s="224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0</v>
      </c>
      <c r="E369" s="53"/>
      <c r="F369" s="53"/>
      <c r="G369" s="369"/>
      <c r="H369" s="369"/>
      <c r="I369" s="376"/>
      <c r="J369" s="369"/>
      <c r="K369" s="370"/>
      <c r="L369" s="369"/>
      <c r="M369" s="369"/>
      <c r="N369" s="225"/>
      <c r="O369" s="225"/>
      <c r="P369" s="225"/>
      <c r="Q369" s="225"/>
      <c r="R369" s="225"/>
      <c r="S369" s="337"/>
      <c r="T369" s="224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69"/>
      <c r="H370" s="369"/>
      <c r="I370" s="376"/>
      <c r="J370" s="369"/>
      <c r="K370" s="370"/>
      <c r="L370" s="369"/>
      <c r="M370" s="369"/>
      <c r="N370" s="225"/>
      <c r="O370" s="225"/>
      <c r="P370" s="225"/>
      <c r="Q370" s="225"/>
      <c r="R370" s="225"/>
      <c r="S370" s="337"/>
      <c r="T370" s="224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69"/>
      <c r="H371" s="369"/>
      <c r="I371" s="376"/>
      <c r="J371" s="369"/>
      <c r="K371" s="370"/>
      <c r="L371" s="369"/>
      <c r="M371" s="369"/>
      <c r="N371" s="225"/>
      <c r="O371" s="225"/>
      <c r="P371" s="225"/>
      <c r="Q371" s="225"/>
      <c r="R371" s="225"/>
      <c r="S371" s="337"/>
      <c r="T371" s="224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69"/>
      <c r="H372" s="369"/>
      <c r="I372" s="376"/>
      <c r="J372" s="369"/>
      <c r="K372" s="370"/>
      <c r="L372" s="369"/>
      <c r="M372" s="369"/>
      <c r="N372" s="225"/>
      <c r="O372" s="225"/>
      <c r="P372" s="225"/>
      <c r="Q372" s="225"/>
      <c r="R372" s="225"/>
      <c r="S372" s="337"/>
      <c r="T372" s="224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69"/>
      <c r="H373" s="369"/>
      <c r="I373" s="376"/>
      <c r="J373" s="369"/>
      <c r="K373" s="370"/>
      <c r="L373" s="369"/>
      <c r="M373" s="369"/>
      <c r="N373" s="225"/>
      <c r="O373" s="225"/>
      <c r="P373" s="225"/>
      <c r="Q373" s="225"/>
      <c r="R373" s="225"/>
      <c r="S373" s="337"/>
      <c r="T373" s="224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69"/>
      <c r="H374" s="369"/>
      <c r="I374" s="376"/>
      <c r="J374" s="369"/>
      <c r="K374" s="370"/>
      <c r="L374" s="369"/>
      <c r="M374" s="369"/>
      <c r="N374" s="225"/>
      <c r="O374" s="225"/>
      <c r="P374" s="225"/>
      <c r="Q374" s="225"/>
      <c r="R374" s="225"/>
      <c r="S374" s="337"/>
      <c r="T374" s="224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69"/>
      <c r="H375" s="369"/>
      <c r="I375" s="376"/>
      <c r="J375" s="369"/>
      <c r="K375" s="370"/>
      <c r="L375" s="369"/>
      <c r="M375" s="369"/>
      <c r="N375" s="225"/>
      <c r="O375" s="225"/>
      <c r="P375" s="225"/>
      <c r="Q375" s="225"/>
      <c r="R375" s="225"/>
      <c r="S375" s="337"/>
      <c r="T375" s="224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69"/>
      <c r="H376" s="369"/>
      <c r="I376" s="376"/>
      <c r="J376" s="369"/>
      <c r="K376" s="370"/>
      <c r="L376" s="369"/>
      <c r="M376" s="369"/>
      <c r="N376" s="225"/>
      <c r="O376" s="225"/>
      <c r="P376" s="225"/>
      <c r="Q376" s="225"/>
      <c r="R376" s="225"/>
      <c r="S376" s="337"/>
      <c r="T376" s="224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69"/>
      <c r="H377" s="369"/>
      <c r="I377" s="376"/>
      <c r="J377" s="369"/>
      <c r="K377" s="370"/>
      <c r="L377" s="369"/>
      <c r="M377" s="369"/>
      <c r="N377" s="225"/>
      <c r="O377" s="225"/>
      <c r="P377" s="225"/>
      <c r="Q377" s="225"/>
      <c r="R377" s="225"/>
      <c r="S377" s="337"/>
      <c r="T377" s="224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69"/>
      <c r="H378" s="369"/>
      <c r="I378" s="376"/>
      <c r="J378" s="369"/>
      <c r="K378" s="370"/>
      <c r="L378" s="369"/>
      <c r="M378" s="369"/>
      <c r="N378" s="225"/>
      <c r="O378" s="225"/>
      <c r="P378" s="225"/>
      <c r="Q378" s="225"/>
      <c r="R378" s="225"/>
      <c r="S378" s="337"/>
      <c r="T378" s="224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69"/>
      <c r="H379" s="369"/>
      <c r="I379" s="376"/>
      <c r="J379" s="369"/>
      <c r="K379" s="370"/>
      <c r="L379" s="369"/>
      <c r="M379" s="369"/>
      <c r="N379" s="225"/>
      <c r="O379" s="225"/>
      <c r="P379" s="225"/>
      <c r="Q379" s="225"/>
      <c r="R379" s="225"/>
      <c r="S379" s="337"/>
      <c r="T379" s="224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69"/>
      <c r="H380" s="369"/>
      <c r="I380" s="376"/>
      <c r="J380" s="369"/>
      <c r="K380" s="370"/>
      <c r="L380" s="369"/>
      <c r="M380" s="369"/>
      <c r="N380" s="225"/>
      <c r="O380" s="225"/>
      <c r="P380" s="225"/>
      <c r="Q380" s="225"/>
      <c r="R380" s="225"/>
      <c r="S380" s="337"/>
      <c r="T380" s="224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69"/>
      <c r="H381" s="369"/>
      <c r="I381" s="376"/>
      <c r="J381" s="369"/>
      <c r="K381" s="370"/>
      <c r="L381" s="369"/>
      <c r="M381" s="369"/>
      <c r="N381" s="225"/>
      <c r="O381" s="225"/>
      <c r="P381" s="225"/>
      <c r="Q381" s="225"/>
      <c r="R381" s="225"/>
      <c r="S381" s="337"/>
      <c r="T381" s="224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69"/>
      <c r="H382" s="369"/>
      <c r="I382" s="376"/>
      <c r="J382" s="369"/>
      <c r="K382" s="370"/>
      <c r="L382" s="369"/>
      <c r="M382" s="369"/>
      <c r="N382" s="225"/>
      <c r="O382" s="225"/>
      <c r="P382" s="225"/>
      <c r="Q382" s="225"/>
      <c r="R382" s="225"/>
      <c r="S382" s="337"/>
      <c r="T382" s="224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69"/>
      <c r="H383" s="369"/>
      <c r="I383" s="376"/>
      <c r="J383" s="369"/>
      <c r="K383" s="370"/>
      <c r="L383" s="369"/>
      <c r="M383" s="369"/>
      <c r="N383" s="225"/>
      <c r="O383" s="225"/>
      <c r="P383" s="225"/>
      <c r="Q383" s="225"/>
      <c r="R383" s="225"/>
      <c r="S383" s="337"/>
      <c r="T383" s="224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69"/>
      <c r="H384" s="369"/>
      <c r="I384" s="376"/>
      <c r="J384" s="369"/>
      <c r="K384" s="370"/>
      <c r="L384" s="369"/>
      <c r="M384" s="369"/>
      <c r="N384" s="225"/>
      <c r="O384" s="225"/>
      <c r="P384" s="225"/>
      <c r="Q384" s="225"/>
      <c r="R384" s="225"/>
      <c r="S384" s="337"/>
      <c r="T384" s="224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69"/>
      <c r="H385" s="369"/>
      <c r="I385" s="376"/>
      <c r="J385" s="369"/>
      <c r="K385" s="370"/>
      <c r="L385" s="369"/>
      <c r="M385" s="369"/>
      <c r="N385" s="225"/>
      <c r="O385" s="225"/>
      <c r="P385" s="225"/>
      <c r="Q385" s="225"/>
      <c r="R385" s="225"/>
      <c r="S385" s="337"/>
      <c r="T385" s="224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69"/>
      <c r="H386" s="369"/>
      <c r="I386" s="376"/>
      <c r="J386" s="369"/>
      <c r="K386" s="370"/>
      <c r="L386" s="369"/>
      <c r="M386" s="369"/>
      <c r="N386" s="225"/>
      <c r="O386" s="225"/>
      <c r="P386" s="225"/>
      <c r="Q386" s="225"/>
      <c r="R386" s="225"/>
      <c r="S386" s="337"/>
      <c r="T386" s="224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69"/>
      <c r="H387" s="369"/>
      <c r="I387" s="376"/>
      <c r="J387" s="369"/>
      <c r="K387" s="370"/>
      <c r="L387" s="369"/>
      <c r="M387" s="369"/>
      <c r="N387" s="225"/>
      <c r="O387" s="225"/>
      <c r="P387" s="225"/>
      <c r="Q387" s="225"/>
      <c r="R387" s="225"/>
      <c r="S387" s="337"/>
      <c r="T387" s="224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69"/>
      <c r="H388" s="369"/>
      <c r="I388" s="376"/>
      <c r="J388" s="369"/>
      <c r="K388" s="370"/>
      <c r="L388" s="369"/>
      <c r="M388" s="369"/>
      <c r="N388" s="225"/>
      <c r="O388" s="225"/>
      <c r="P388" s="225"/>
      <c r="Q388" s="225"/>
      <c r="R388" s="225"/>
      <c r="S388" s="337"/>
      <c r="T388" s="224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69"/>
      <c r="H389" s="369"/>
      <c r="I389" s="376"/>
      <c r="J389" s="369"/>
      <c r="K389" s="370"/>
      <c r="L389" s="369"/>
      <c r="M389" s="369"/>
      <c r="N389" s="225"/>
      <c r="O389" s="225"/>
      <c r="P389" s="225"/>
      <c r="Q389" s="225"/>
      <c r="R389" s="225"/>
      <c r="S389" s="337"/>
      <c r="T389" s="224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69"/>
      <c r="H390" s="369"/>
      <c r="I390" s="376"/>
      <c r="J390" s="369"/>
      <c r="K390" s="370"/>
      <c r="L390" s="369"/>
      <c r="M390" s="369"/>
      <c r="N390" s="225"/>
      <c r="O390" s="225"/>
      <c r="P390" s="225"/>
      <c r="Q390" s="225"/>
      <c r="R390" s="225"/>
      <c r="S390" s="337"/>
      <c r="T390" s="224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69"/>
      <c r="H391" s="369"/>
      <c r="I391" s="376"/>
      <c r="J391" s="369"/>
      <c r="K391" s="370"/>
      <c r="L391" s="369"/>
      <c r="M391" s="369"/>
      <c r="N391" s="225"/>
      <c r="O391" s="225"/>
      <c r="P391" s="225"/>
      <c r="Q391" s="225"/>
      <c r="R391" s="225"/>
      <c r="S391" s="337"/>
      <c r="T391" s="224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69"/>
      <c r="H392" s="369"/>
      <c r="I392" s="376"/>
      <c r="J392" s="369"/>
      <c r="K392" s="370"/>
      <c r="L392" s="369"/>
      <c r="M392" s="369"/>
      <c r="N392" s="225"/>
      <c r="O392" s="225"/>
      <c r="P392" s="225"/>
      <c r="Q392" s="225"/>
      <c r="R392" s="225"/>
      <c r="S392" s="337"/>
      <c r="T392" s="224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69"/>
      <c r="H393" s="369"/>
      <c r="I393" s="376"/>
      <c r="J393" s="369"/>
      <c r="K393" s="370"/>
      <c r="L393" s="369"/>
      <c r="M393" s="369"/>
      <c r="N393" s="225"/>
      <c r="O393" s="225"/>
      <c r="P393" s="225"/>
      <c r="Q393" s="225"/>
      <c r="R393" s="225"/>
      <c r="S393" s="337"/>
      <c r="T393" s="224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69"/>
      <c r="H394" s="369"/>
      <c r="I394" s="376"/>
      <c r="J394" s="369"/>
      <c r="K394" s="370"/>
      <c r="L394" s="369"/>
      <c r="M394" s="369"/>
      <c r="N394" s="225"/>
      <c r="O394" s="225"/>
      <c r="P394" s="225"/>
      <c r="Q394" s="225"/>
      <c r="R394" s="225"/>
      <c r="S394" s="337"/>
      <c r="T394" s="224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69"/>
      <c r="H395" s="369"/>
      <c r="I395" s="376"/>
      <c r="J395" s="369"/>
      <c r="K395" s="370"/>
      <c r="L395" s="369"/>
      <c r="M395" s="369"/>
      <c r="N395" s="225"/>
      <c r="O395" s="225"/>
      <c r="P395" s="225"/>
      <c r="Q395" s="225"/>
      <c r="R395" s="225"/>
      <c r="S395" s="337"/>
      <c r="T395" s="224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69"/>
      <c r="H396" s="369"/>
      <c r="I396" s="376"/>
      <c r="J396" s="369"/>
      <c r="K396" s="370"/>
      <c r="L396" s="369"/>
      <c r="M396" s="369"/>
      <c r="N396" s="225"/>
      <c r="O396" s="225"/>
      <c r="P396" s="225"/>
      <c r="Q396" s="225"/>
      <c r="R396" s="225"/>
      <c r="S396" s="337"/>
      <c r="T396" s="224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69"/>
      <c r="H397" s="369"/>
      <c r="I397" s="376"/>
      <c r="J397" s="369"/>
      <c r="K397" s="370"/>
      <c r="L397" s="369"/>
      <c r="M397" s="369"/>
      <c r="N397" s="225"/>
      <c r="O397" s="225"/>
      <c r="P397" s="225"/>
      <c r="Q397" s="225"/>
      <c r="R397" s="225"/>
      <c r="S397" s="337"/>
      <c r="T397" s="224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69"/>
      <c r="H398" s="369"/>
      <c r="I398" s="376"/>
      <c r="J398" s="369"/>
      <c r="K398" s="370"/>
      <c r="L398" s="369"/>
      <c r="M398" s="369"/>
      <c r="N398" s="225"/>
      <c r="O398" s="225"/>
      <c r="P398" s="225"/>
      <c r="Q398" s="225"/>
      <c r="R398" s="225"/>
      <c r="S398" s="337"/>
      <c r="T398" s="224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69"/>
      <c r="H399" s="369"/>
      <c r="I399" s="376"/>
      <c r="J399" s="369"/>
      <c r="K399" s="370"/>
      <c r="L399" s="369"/>
      <c r="M399" s="369"/>
      <c r="N399" s="225"/>
      <c r="O399" s="225"/>
      <c r="P399" s="225"/>
      <c r="Q399" s="225"/>
      <c r="R399" s="225"/>
      <c r="S399" s="337"/>
      <c r="T399" s="224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69"/>
      <c r="H400" s="369"/>
      <c r="I400" s="376"/>
      <c r="J400" s="369"/>
      <c r="K400" s="370"/>
      <c r="L400" s="369"/>
      <c r="M400" s="369"/>
      <c r="N400" s="225"/>
      <c r="O400" s="225"/>
      <c r="P400" s="225"/>
      <c r="Q400" s="225"/>
      <c r="R400" s="225"/>
      <c r="S400" s="337"/>
      <c r="T400" s="224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69"/>
      <c r="H401" s="369"/>
      <c r="I401" s="376"/>
      <c r="J401" s="369"/>
      <c r="K401" s="370"/>
      <c r="L401" s="369"/>
      <c r="M401" s="369"/>
      <c r="N401" s="225"/>
      <c r="O401" s="225"/>
      <c r="P401" s="225"/>
      <c r="Q401" s="225"/>
      <c r="R401" s="225"/>
      <c r="S401" s="337"/>
      <c r="T401" s="224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69"/>
      <c r="H402" s="369"/>
      <c r="I402" s="376"/>
      <c r="J402" s="369"/>
      <c r="K402" s="370"/>
      <c r="L402" s="369"/>
      <c r="M402" s="369"/>
      <c r="N402" s="225"/>
      <c r="O402" s="225"/>
      <c r="P402" s="225"/>
      <c r="Q402" s="225"/>
      <c r="R402" s="225"/>
      <c r="S402" s="337"/>
      <c r="T402" s="224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69"/>
      <c r="H403" s="369"/>
      <c r="I403" s="376"/>
      <c r="J403" s="369"/>
      <c r="K403" s="370"/>
      <c r="L403" s="369"/>
      <c r="M403" s="369"/>
      <c r="N403" s="225"/>
      <c r="O403" s="225"/>
      <c r="P403" s="225"/>
      <c r="Q403" s="225"/>
      <c r="R403" s="225"/>
      <c r="S403" s="337"/>
      <c r="T403" s="224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69"/>
      <c r="H404" s="369"/>
      <c r="I404" s="376"/>
      <c r="J404" s="369"/>
      <c r="K404" s="370"/>
      <c r="L404" s="369"/>
      <c r="M404" s="369"/>
      <c r="N404" s="225"/>
      <c r="O404" s="225"/>
      <c r="P404" s="225"/>
      <c r="Q404" s="225"/>
      <c r="R404" s="225"/>
      <c r="S404" s="337"/>
      <c r="T404" s="224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69"/>
      <c r="H405" s="369"/>
      <c r="I405" s="376"/>
      <c r="J405" s="369"/>
      <c r="K405" s="370"/>
      <c r="L405" s="369"/>
      <c r="M405" s="369"/>
      <c r="N405" s="225"/>
      <c r="O405" s="225"/>
      <c r="P405" s="225"/>
      <c r="Q405" s="225"/>
      <c r="R405" s="225"/>
      <c r="S405" s="337"/>
      <c r="T405" s="224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69"/>
      <c r="H406" s="369"/>
      <c r="I406" s="376"/>
      <c r="J406" s="369"/>
      <c r="K406" s="370"/>
      <c r="L406" s="369"/>
      <c r="M406" s="369"/>
      <c r="N406" s="225"/>
      <c r="O406" s="225"/>
      <c r="P406" s="225"/>
      <c r="Q406" s="225"/>
      <c r="R406" s="225"/>
      <c r="S406" s="337"/>
      <c r="T406" s="224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69"/>
      <c r="H407" s="369"/>
      <c r="I407" s="376"/>
      <c r="J407" s="369"/>
      <c r="K407" s="370"/>
      <c r="L407" s="369"/>
      <c r="M407" s="369"/>
      <c r="N407" s="225"/>
      <c r="O407" s="225"/>
      <c r="P407" s="225"/>
      <c r="Q407" s="225"/>
      <c r="R407" s="225"/>
      <c r="S407" s="337"/>
      <c r="T407" s="224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69"/>
      <c r="H408" s="369"/>
      <c r="I408" s="376"/>
      <c r="J408" s="369"/>
      <c r="K408" s="370"/>
      <c r="L408" s="369"/>
      <c r="M408" s="369"/>
      <c r="N408" s="225"/>
      <c r="O408" s="225"/>
      <c r="P408" s="225"/>
      <c r="Q408" s="225"/>
      <c r="R408" s="225"/>
      <c r="S408" s="337"/>
      <c r="T408" s="224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69"/>
      <c r="H409" s="369"/>
      <c r="I409" s="376"/>
      <c r="J409" s="369"/>
      <c r="K409" s="370"/>
      <c r="L409" s="369"/>
      <c r="M409" s="369"/>
      <c r="N409" s="225"/>
      <c r="O409" s="225"/>
      <c r="P409" s="225"/>
      <c r="Q409" s="225"/>
      <c r="R409" s="225"/>
      <c r="S409" s="337"/>
      <c r="T409" s="224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69"/>
      <c r="H410" s="369"/>
      <c r="I410" s="376"/>
      <c r="J410" s="369"/>
      <c r="K410" s="370"/>
      <c r="L410" s="369"/>
      <c r="M410" s="369"/>
      <c r="N410" s="225"/>
      <c r="O410" s="225"/>
      <c r="P410" s="225"/>
      <c r="Q410" s="225"/>
      <c r="R410" s="225"/>
      <c r="S410" s="337"/>
      <c r="T410" s="224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69"/>
      <c r="H411" s="369"/>
      <c r="I411" s="376"/>
      <c r="J411" s="369"/>
      <c r="K411" s="370"/>
      <c r="L411" s="369"/>
      <c r="M411" s="369"/>
      <c r="N411" s="225"/>
      <c r="O411" s="225"/>
      <c r="P411" s="225"/>
      <c r="Q411" s="225"/>
      <c r="R411" s="225"/>
      <c r="S411" s="337"/>
      <c r="T411" s="224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69"/>
      <c r="H412" s="369"/>
      <c r="I412" s="376"/>
      <c r="J412" s="369"/>
      <c r="K412" s="370"/>
      <c r="L412" s="369"/>
      <c r="M412" s="369"/>
      <c r="N412" s="225"/>
      <c r="O412" s="225"/>
      <c r="P412" s="225"/>
      <c r="Q412" s="225"/>
      <c r="R412" s="225"/>
      <c r="S412" s="337"/>
      <c r="T412" s="224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69"/>
      <c r="H413" s="369"/>
      <c r="I413" s="376"/>
      <c r="J413" s="369"/>
      <c r="K413" s="370"/>
      <c r="L413" s="369"/>
      <c r="M413" s="369"/>
      <c r="N413" s="225"/>
      <c r="O413" s="225"/>
      <c r="P413" s="225"/>
      <c r="Q413" s="225"/>
      <c r="R413" s="225"/>
      <c r="S413" s="337"/>
      <c r="T413" s="224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69"/>
      <c r="H414" s="369"/>
      <c r="I414" s="376"/>
      <c r="J414" s="369"/>
      <c r="K414" s="370"/>
      <c r="L414" s="369"/>
      <c r="M414" s="369"/>
      <c r="N414" s="225"/>
      <c r="O414" s="225"/>
      <c r="P414" s="225"/>
      <c r="Q414" s="225"/>
      <c r="R414" s="225"/>
      <c r="S414" s="337"/>
      <c r="T414" s="224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69"/>
      <c r="H415" s="369"/>
      <c r="I415" s="376"/>
      <c r="J415" s="369"/>
      <c r="K415" s="370"/>
      <c r="L415" s="369"/>
      <c r="M415" s="369"/>
      <c r="N415" s="225"/>
      <c r="O415" s="225"/>
      <c r="P415" s="225"/>
      <c r="Q415" s="225"/>
      <c r="R415" s="225"/>
      <c r="S415" s="337"/>
      <c r="T415" s="224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69"/>
      <c r="H416" s="369"/>
      <c r="I416" s="376"/>
      <c r="J416" s="369"/>
      <c r="K416" s="370"/>
      <c r="L416" s="369"/>
      <c r="M416" s="369"/>
      <c r="N416" s="225"/>
      <c r="O416" s="225"/>
      <c r="P416" s="225"/>
      <c r="Q416" s="225"/>
      <c r="R416" s="225"/>
      <c r="S416" s="337"/>
      <c r="T416" s="224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69"/>
      <c r="H417" s="369"/>
      <c r="I417" s="376"/>
      <c r="J417" s="369"/>
      <c r="K417" s="370"/>
      <c r="L417" s="369"/>
      <c r="M417" s="369"/>
      <c r="N417" s="225"/>
      <c r="O417" s="225"/>
      <c r="P417" s="225"/>
      <c r="Q417" s="225"/>
      <c r="R417" s="225"/>
      <c r="S417" s="337"/>
      <c r="T417" s="224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69"/>
      <c r="H418" s="369"/>
      <c r="I418" s="376"/>
      <c r="J418" s="369"/>
      <c r="K418" s="370"/>
      <c r="L418" s="369"/>
      <c r="M418" s="369"/>
      <c r="N418" s="225"/>
      <c r="O418" s="225"/>
      <c r="P418" s="225"/>
      <c r="Q418" s="225"/>
      <c r="R418" s="225"/>
      <c r="S418" s="337"/>
      <c r="T418" s="224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69"/>
      <c r="H419" s="369"/>
      <c r="I419" s="376"/>
      <c r="J419" s="369"/>
      <c r="K419" s="370"/>
      <c r="L419" s="369"/>
      <c r="M419" s="369"/>
      <c r="N419" s="225"/>
      <c r="O419" s="225"/>
      <c r="P419" s="225"/>
      <c r="Q419" s="225"/>
      <c r="R419" s="225"/>
      <c r="S419" s="337"/>
      <c r="T419" s="224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69"/>
      <c r="H420" s="369"/>
      <c r="I420" s="376"/>
      <c r="J420" s="369"/>
      <c r="K420" s="370"/>
      <c r="L420" s="369"/>
      <c r="M420" s="369"/>
      <c r="N420" s="225"/>
      <c r="O420" s="225"/>
      <c r="P420" s="225"/>
      <c r="Q420" s="225"/>
      <c r="R420" s="225"/>
      <c r="S420" s="337"/>
      <c r="T420" s="224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69"/>
      <c r="H421" s="369"/>
      <c r="I421" s="376"/>
      <c r="J421" s="369"/>
      <c r="K421" s="370"/>
      <c r="L421" s="369"/>
      <c r="M421" s="369"/>
      <c r="N421" s="225"/>
      <c r="O421" s="225"/>
      <c r="P421" s="225"/>
      <c r="Q421" s="225"/>
      <c r="R421" s="225"/>
      <c r="S421" s="337"/>
      <c r="T421" s="224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69"/>
      <c r="H422" s="369"/>
      <c r="I422" s="376"/>
      <c r="J422" s="369"/>
      <c r="K422" s="370"/>
      <c r="L422" s="369"/>
      <c r="M422" s="369"/>
      <c r="N422" s="225"/>
      <c r="O422" s="225"/>
      <c r="P422" s="225"/>
      <c r="Q422" s="225"/>
      <c r="R422" s="225"/>
      <c r="S422" s="337"/>
      <c r="T422" s="224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69"/>
      <c r="H423" s="369"/>
      <c r="I423" s="376"/>
      <c r="J423" s="369"/>
      <c r="K423" s="370"/>
      <c r="L423" s="369"/>
      <c r="M423" s="369"/>
      <c r="N423" s="225"/>
      <c r="O423" s="225"/>
      <c r="P423" s="225"/>
      <c r="Q423" s="225"/>
      <c r="R423" s="225"/>
      <c r="S423" s="337"/>
      <c r="T423" s="224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69"/>
      <c r="H424" s="369"/>
      <c r="I424" s="376"/>
      <c r="J424" s="369"/>
      <c r="K424" s="370"/>
      <c r="L424" s="369"/>
      <c r="M424" s="369"/>
      <c r="N424" s="225"/>
      <c r="O424" s="225"/>
      <c r="P424" s="225"/>
      <c r="Q424" s="225"/>
      <c r="R424" s="225"/>
      <c r="S424" s="337"/>
      <c r="T424" s="224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69"/>
      <c r="H425" s="369"/>
      <c r="I425" s="376"/>
      <c r="J425" s="369"/>
      <c r="K425" s="370"/>
      <c r="L425" s="369"/>
      <c r="M425" s="369"/>
      <c r="N425" s="225"/>
      <c r="O425" s="225"/>
      <c r="P425" s="225"/>
      <c r="Q425" s="225"/>
      <c r="R425" s="225"/>
      <c r="S425" s="337"/>
      <c r="T425" s="224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69"/>
      <c r="H426" s="369"/>
      <c r="I426" s="376"/>
      <c r="J426" s="369"/>
      <c r="K426" s="370"/>
      <c r="L426" s="369"/>
      <c r="M426" s="369"/>
      <c r="N426" s="225"/>
      <c r="O426" s="225"/>
      <c r="P426" s="225"/>
      <c r="Q426" s="225"/>
      <c r="R426" s="225"/>
      <c r="S426" s="337"/>
      <c r="T426" s="224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69"/>
      <c r="H427" s="369"/>
      <c r="I427" s="376"/>
      <c r="J427" s="369"/>
      <c r="K427" s="370"/>
      <c r="L427" s="369"/>
      <c r="M427" s="369"/>
      <c r="N427" s="225"/>
      <c r="O427" s="225"/>
      <c r="P427" s="225"/>
      <c r="Q427" s="225"/>
      <c r="R427" s="225"/>
      <c r="S427" s="337"/>
      <c r="T427" s="224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69"/>
      <c r="H428" s="369"/>
      <c r="I428" s="376"/>
      <c r="J428" s="369"/>
      <c r="K428" s="370"/>
      <c r="L428" s="369"/>
      <c r="M428" s="369"/>
      <c r="N428" s="225"/>
      <c r="O428" s="225"/>
      <c r="P428" s="225"/>
      <c r="Q428" s="225"/>
      <c r="R428" s="225"/>
      <c r="S428" s="337"/>
      <c r="T428" s="224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69"/>
      <c r="H429" s="369"/>
      <c r="I429" s="376"/>
      <c r="J429" s="369"/>
      <c r="K429" s="370"/>
      <c r="L429" s="369"/>
      <c r="M429" s="369"/>
      <c r="N429" s="225"/>
      <c r="O429" s="225"/>
      <c r="P429" s="225"/>
      <c r="Q429" s="225"/>
      <c r="R429" s="225"/>
      <c r="S429" s="337"/>
      <c r="T429" s="224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69"/>
      <c r="H430" s="369"/>
      <c r="I430" s="376"/>
      <c r="J430" s="369"/>
      <c r="K430" s="370"/>
      <c r="L430" s="369"/>
      <c r="M430" s="369"/>
      <c r="N430" s="225"/>
      <c r="O430" s="225"/>
      <c r="P430" s="225"/>
      <c r="Q430" s="225"/>
      <c r="R430" s="225"/>
      <c r="S430" s="337"/>
      <c r="T430" s="224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69"/>
      <c r="H431" s="369"/>
      <c r="I431" s="376"/>
      <c r="J431" s="369"/>
      <c r="K431" s="370"/>
      <c r="L431" s="369"/>
      <c r="M431" s="369"/>
      <c r="N431" s="225"/>
      <c r="O431" s="225"/>
      <c r="P431" s="225"/>
      <c r="Q431" s="225"/>
      <c r="R431" s="225"/>
      <c r="S431" s="337"/>
      <c r="T431" s="224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69"/>
      <c r="H432" s="369"/>
      <c r="I432" s="376"/>
      <c r="J432" s="369"/>
      <c r="K432" s="370"/>
      <c r="L432" s="369"/>
      <c r="M432" s="369"/>
      <c r="N432" s="225"/>
      <c r="O432" s="225"/>
      <c r="P432" s="225"/>
      <c r="Q432" s="225"/>
      <c r="R432" s="225"/>
      <c r="S432" s="337"/>
      <c r="T432" s="224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69"/>
      <c r="H433" s="369"/>
      <c r="I433" s="376"/>
      <c r="J433" s="369"/>
      <c r="K433" s="370"/>
      <c r="L433" s="369"/>
      <c r="M433" s="369"/>
      <c r="N433" s="225"/>
      <c r="O433" s="225"/>
      <c r="P433" s="225"/>
      <c r="Q433" s="225"/>
      <c r="R433" s="225"/>
      <c r="S433" s="337"/>
      <c r="T433" s="224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69"/>
      <c r="H434" s="369"/>
      <c r="I434" s="376"/>
      <c r="J434" s="369"/>
      <c r="K434" s="370"/>
      <c r="L434" s="369"/>
      <c r="M434" s="369"/>
      <c r="N434" s="225"/>
      <c r="O434" s="225"/>
      <c r="P434" s="225"/>
      <c r="Q434" s="225"/>
      <c r="R434" s="225"/>
      <c r="S434" s="337"/>
      <c r="T434" s="224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69"/>
      <c r="H435" s="369"/>
      <c r="I435" s="376"/>
      <c r="J435" s="369"/>
      <c r="K435" s="370"/>
      <c r="L435" s="369"/>
      <c r="M435" s="369"/>
      <c r="N435" s="225"/>
      <c r="O435" s="225"/>
      <c r="P435" s="225"/>
      <c r="Q435" s="225"/>
      <c r="R435" s="225"/>
      <c r="S435" s="337"/>
      <c r="T435" s="224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69"/>
      <c r="H436" s="369"/>
      <c r="I436" s="376"/>
      <c r="J436" s="369"/>
      <c r="K436" s="370"/>
      <c r="L436" s="369"/>
      <c r="M436" s="369"/>
      <c r="N436" s="225"/>
      <c r="O436" s="225"/>
      <c r="P436" s="225"/>
      <c r="Q436" s="225"/>
      <c r="R436" s="225"/>
      <c r="S436" s="337"/>
      <c r="T436" s="224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69"/>
      <c r="H437" s="369"/>
      <c r="I437" s="376"/>
      <c r="J437" s="369"/>
      <c r="K437" s="370"/>
      <c r="L437" s="369"/>
      <c r="M437" s="369"/>
      <c r="N437" s="225"/>
      <c r="O437" s="225"/>
      <c r="P437" s="225"/>
      <c r="Q437" s="225"/>
      <c r="R437" s="225"/>
      <c r="S437" s="337"/>
      <c r="T437" s="224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69"/>
      <c r="H438" s="369"/>
      <c r="I438" s="376"/>
      <c r="J438" s="369"/>
      <c r="K438" s="370"/>
      <c r="L438" s="369"/>
      <c r="M438" s="369"/>
      <c r="N438" s="225"/>
      <c r="O438" s="225"/>
      <c r="P438" s="225"/>
      <c r="Q438" s="225"/>
      <c r="R438" s="225"/>
      <c r="S438" s="337"/>
      <c r="T438" s="224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69"/>
      <c r="H439" s="369"/>
      <c r="I439" s="376"/>
      <c r="J439" s="369"/>
      <c r="K439" s="370"/>
      <c r="L439" s="369"/>
      <c r="M439" s="369"/>
      <c r="N439" s="225"/>
      <c r="O439" s="225"/>
      <c r="P439" s="225"/>
      <c r="Q439" s="225"/>
      <c r="R439" s="225"/>
      <c r="S439" s="337"/>
      <c r="T439" s="224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69"/>
      <c r="H440" s="369"/>
      <c r="I440" s="376"/>
      <c r="J440" s="369"/>
      <c r="K440" s="370"/>
      <c r="L440" s="369"/>
      <c r="M440" s="369"/>
      <c r="N440" s="225"/>
      <c r="O440" s="225"/>
      <c r="P440" s="225"/>
      <c r="Q440" s="225"/>
      <c r="R440" s="225"/>
      <c r="S440" s="337"/>
      <c r="T440" s="224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69"/>
      <c r="H441" s="369"/>
      <c r="I441" s="376"/>
      <c r="J441" s="369"/>
      <c r="K441" s="370"/>
      <c r="L441" s="369"/>
      <c r="M441" s="369"/>
      <c r="N441" s="225"/>
      <c r="O441" s="225"/>
      <c r="P441" s="225"/>
      <c r="Q441" s="225"/>
      <c r="R441" s="225"/>
      <c r="S441" s="337"/>
      <c r="T441" s="224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69"/>
      <c r="H442" s="369"/>
      <c r="I442" s="376"/>
      <c r="J442" s="369"/>
      <c r="K442" s="370"/>
      <c r="L442" s="369"/>
      <c r="M442" s="369"/>
      <c r="N442" s="225"/>
      <c r="O442" s="225"/>
      <c r="P442" s="225"/>
      <c r="Q442" s="225"/>
      <c r="R442" s="225"/>
      <c r="S442" s="337"/>
      <c r="T442" s="224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69"/>
      <c r="H443" s="369"/>
      <c r="I443" s="376"/>
      <c r="J443" s="369"/>
      <c r="K443" s="370"/>
      <c r="L443" s="369"/>
      <c r="M443" s="369"/>
      <c r="N443" s="225"/>
      <c r="O443" s="225"/>
      <c r="P443" s="225"/>
      <c r="Q443" s="225"/>
      <c r="R443" s="225"/>
      <c r="S443" s="337"/>
      <c r="T443" s="224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69"/>
      <c r="H444" s="369"/>
      <c r="I444" s="376"/>
      <c r="J444" s="369"/>
      <c r="K444" s="370"/>
      <c r="L444" s="369"/>
      <c r="M444" s="369"/>
      <c r="N444" s="225"/>
      <c r="O444" s="225"/>
      <c r="P444" s="225"/>
      <c r="Q444" s="225"/>
      <c r="R444" s="225"/>
      <c r="S444" s="337"/>
      <c r="T444" s="224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69"/>
      <c r="H445" s="369"/>
      <c r="I445" s="376"/>
      <c r="J445" s="369"/>
      <c r="K445" s="370"/>
      <c r="L445" s="369"/>
      <c r="M445" s="369"/>
      <c r="N445" s="225"/>
      <c r="O445" s="225"/>
      <c r="P445" s="225"/>
      <c r="Q445" s="225"/>
      <c r="R445" s="225"/>
      <c r="S445" s="337"/>
      <c r="T445" s="224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69"/>
      <c r="H446" s="369"/>
      <c r="I446" s="376"/>
      <c r="J446" s="369"/>
      <c r="K446" s="370"/>
      <c r="L446" s="369"/>
      <c r="M446" s="369"/>
      <c r="N446" s="225"/>
      <c r="O446" s="225"/>
      <c r="P446" s="225"/>
      <c r="Q446" s="225"/>
      <c r="R446" s="225"/>
      <c r="S446" s="337"/>
      <c r="T446" s="224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69"/>
      <c r="H447" s="369"/>
      <c r="I447" s="376"/>
      <c r="J447" s="369"/>
      <c r="K447" s="370"/>
      <c r="L447" s="369"/>
      <c r="M447" s="369"/>
      <c r="N447" s="225"/>
      <c r="O447" s="225"/>
      <c r="P447" s="225"/>
      <c r="Q447" s="225"/>
      <c r="R447" s="225"/>
      <c r="S447" s="337"/>
      <c r="T447" s="224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69"/>
      <c r="H448" s="369"/>
      <c r="I448" s="376"/>
      <c r="J448" s="369"/>
      <c r="K448" s="370"/>
      <c r="L448" s="369"/>
      <c r="M448" s="369"/>
      <c r="N448" s="225"/>
      <c r="O448" s="225"/>
      <c r="P448" s="225"/>
      <c r="Q448" s="225"/>
      <c r="R448" s="225"/>
      <c r="S448" s="337"/>
      <c r="T448" s="224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69"/>
      <c r="H449" s="369"/>
      <c r="I449" s="376"/>
      <c r="J449" s="369"/>
      <c r="K449" s="370"/>
      <c r="L449" s="369"/>
      <c r="M449" s="369"/>
      <c r="N449" s="225"/>
      <c r="O449" s="225"/>
      <c r="P449" s="225"/>
      <c r="Q449" s="225"/>
      <c r="R449" s="225"/>
      <c r="S449" s="337"/>
      <c r="T449" s="224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69"/>
      <c r="H450" s="369"/>
      <c r="I450" s="376"/>
      <c r="J450" s="369"/>
      <c r="K450" s="370"/>
      <c r="L450" s="369"/>
      <c r="M450" s="369"/>
      <c r="N450" s="225"/>
      <c r="O450" s="225"/>
      <c r="P450" s="225"/>
      <c r="Q450" s="225"/>
      <c r="R450" s="225"/>
      <c r="S450" s="337"/>
      <c r="T450" s="224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69"/>
      <c r="H451" s="369"/>
      <c r="I451" s="376"/>
      <c r="J451" s="369"/>
      <c r="K451" s="370"/>
      <c r="L451" s="369"/>
      <c r="M451" s="369"/>
      <c r="N451" s="225"/>
      <c r="O451" s="225"/>
      <c r="P451" s="225"/>
      <c r="Q451" s="225"/>
      <c r="R451" s="225"/>
      <c r="S451" s="337"/>
      <c r="T451" s="224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69"/>
      <c r="H452" s="369"/>
      <c r="I452" s="376"/>
      <c r="J452" s="369"/>
      <c r="K452" s="370"/>
      <c r="L452" s="369"/>
      <c r="M452" s="369"/>
      <c r="N452" s="225"/>
      <c r="O452" s="225"/>
      <c r="P452" s="225"/>
      <c r="Q452" s="225"/>
      <c r="R452" s="225"/>
      <c r="S452" s="337"/>
      <c r="T452" s="224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69"/>
      <c r="H453" s="369"/>
      <c r="I453" s="376"/>
      <c r="J453" s="369"/>
      <c r="K453" s="370"/>
      <c r="L453" s="369"/>
      <c r="M453" s="369"/>
      <c r="N453" s="225"/>
      <c r="O453" s="225"/>
      <c r="P453" s="225"/>
      <c r="Q453" s="225"/>
      <c r="R453" s="225"/>
      <c r="S453" s="337"/>
      <c r="T453" s="224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69"/>
      <c r="H454" s="369"/>
      <c r="I454" s="376"/>
      <c r="J454" s="369"/>
      <c r="K454" s="370"/>
      <c r="L454" s="369"/>
      <c r="M454" s="369"/>
      <c r="N454" s="225"/>
      <c r="O454" s="225"/>
      <c r="P454" s="225"/>
      <c r="Q454" s="225"/>
      <c r="R454" s="225"/>
      <c r="S454" s="337"/>
      <c r="T454" s="224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69"/>
      <c r="H455" s="369"/>
      <c r="I455" s="376"/>
      <c r="J455" s="369"/>
      <c r="K455" s="370"/>
      <c r="L455" s="369"/>
      <c r="M455" s="369"/>
      <c r="N455" s="225"/>
      <c r="O455" s="225"/>
      <c r="P455" s="225"/>
      <c r="Q455" s="225"/>
      <c r="R455" s="225"/>
      <c r="S455" s="337"/>
      <c r="T455" s="224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69"/>
      <c r="H456" s="369"/>
      <c r="I456" s="376"/>
      <c r="J456" s="369"/>
      <c r="K456" s="370"/>
      <c r="L456" s="369"/>
      <c r="M456" s="369"/>
      <c r="N456" s="225"/>
      <c r="O456" s="225"/>
      <c r="P456" s="225"/>
      <c r="Q456" s="225"/>
      <c r="R456" s="225"/>
      <c r="S456" s="337"/>
      <c r="T456" s="224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69"/>
      <c r="H457" s="369"/>
      <c r="I457" s="376"/>
      <c r="J457" s="369"/>
      <c r="K457" s="370"/>
      <c r="L457" s="369"/>
      <c r="M457" s="369"/>
      <c r="N457" s="225"/>
      <c r="O457" s="225"/>
      <c r="P457" s="225"/>
      <c r="Q457" s="225"/>
      <c r="R457" s="225"/>
      <c r="S457" s="337"/>
      <c r="T457" s="224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69"/>
      <c r="H458" s="369"/>
      <c r="I458" s="376"/>
      <c r="J458" s="369"/>
      <c r="K458" s="370"/>
      <c r="L458" s="369"/>
      <c r="M458" s="369"/>
      <c r="N458" s="225"/>
      <c r="O458" s="225"/>
      <c r="P458" s="225"/>
      <c r="Q458" s="225"/>
      <c r="R458" s="225"/>
      <c r="S458" s="337"/>
      <c r="T458" s="224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69"/>
      <c r="H459" s="369"/>
      <c r="I459" s="376"/>
      <c r="J459" s="369"/>
      <c r="K459" s="370"/>
      <c r="L459" s="369"/>
      <c r="M459" s="369"/>
      <c r="N459" s="225"/>
      <c r="O459" s="225"/>
      <c r="P459" s="225"/>
      <c r="Q459" s="225"/>
      <c r="R459" s="225"/>
      <c r="S459" s="337"/>
      <c r="T459" s="224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69"/>
      <c r="H460" s="369"/>
      <c r="I460" s="376"/>
      <c r="J460" s="369"/>
      <c r="K460" s="370"/>
      <c r="L460" s="369"/>
      <c r="M460" s="369"/>
      <c r="N460" s="225"/>
      <c r="O460" s="225"/>
      <c r="P460" s="225"/>
      <c r="Q460" s="225"/>
      <c r="R460" s="225"/>
      <c r="S460" s="337"/>
      <c r="T460" s="224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69"/>
      <c r="H461" s="369"/>
      <c r="I461" s="376"/>
      <c r="J461" s="369"/>
      <c r="K461" s="370"/>
      <c r="L461" s="369"/>
      <c r="M461" s="369"/>
      <c r="N461" s="225"/>
      <c r="O461" s="225"/>
      <c r="P461" s="225"/>
      <c r="Q461" s="225"/>
      <c r="R461" s="225"/>
      <c r="S461" s="337"/>
      <c r="T461" s="224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69"/>
      <c r="H462" s="369"/>
      <c r="I462" s="376"/>
      <c r="J462" s="369"/>
      <c r="K462" s="370"/>
      <c r="L462" s="369"/>
      <c r="M462" s="369"/>
      <c r="N462" s="225"/>
      <c r="O462" s="225"/>
      <c r="P462" s="225"/>
      <c r="Q462" s="225"/>
      <c r="R462" s="225"/>
      <c r="S462" s="337"/>
      <c r="T462" s="224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69"/>
      <c r="H463" s="369"/>
      <c r="I463" s="376"/>
      <c r="J463" s="369"/>
      <c r="K463" s="370"/>
      <c r="L463" s="369"/>
      <c r="M463" s="369"/>
      <c r="N463" s="225"/>
      <c r="O463" s="225"/>
      <c r="P463" s="225"/>
      <c r="Q463" s="225"/>
      <c r="R463" s="225"/>
      <c r="S463" s="337"/>
      <c r="T463" s="224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69"/>
      <c r="H464" s="369"/>
      <c r="I464" s="376"/>
      <c r="J464" s="369"/>
      <c r="K464" s="370"/>
      <c r="L464" s="369"/>
      <c r="M464" s="369"/>
      <c r="N464" s="225"/>
      <c r="O464" s="225"/>
      <c r="P464" s="225"/>
      <c r="Q464" s="225"/>
      <c r="R464" s="225"/>
      <c r="S464" s="337"/>
      <c r="T464" s="224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69"/>
      <c r="H465" s="369"/>
      <c r="I465" s="376"/>
      <c r="J465" s="369"/>
      <c r="K465" s="370"/>
      <c r="L465" s="369"/>
      <c r="M465" s="369"/>
      <c r="N465" s="225"/>
      <c r="O465" s="225"/>
      <c r="P465" s="225"/>
      <c r="Q465" s="225"/>
      <c r="R465" s="225"/>
      <c r="S465" s="337"/>
      <c r="T465" s="224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69"/>
      <c r="H466" s="369"/>
      <c r="I466" s="376"/>
      <c r="J466" s="369"/>
      <c r="K466" s="370"/>
      <c r="L466" s="369"/>
      <c r="M466" s="369"/>
      <c r="N466" s="225"/>
      <c r="O466" s="225"/>
      <c r="P466" s="225"/>
      <c r="Q466" s="225"/>
      <c r="R466" s="225"/>
      <c r="S466" s="337"/>
      <c r="T466" s="224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69"/>
      <c r="H467" s="369"/>
      <c r="I467" s="376"/>
      <c r="J467" s="369"/>
      <c r="K467" s="370"/>
      <c r="L467" s="369"/>
      <c r="M467" s="369"/>
      <c r="N467" s="225"/>
      <c r="O467" s="225"/>
      <c r="P467" s="225"/>
      <c r="Q467" s="225"/>
      <c r="R467" s="225"/>
      <c r="S467" s="337"/>
      <c r="T467" s="224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69"/>
      <c r="H468" s="369"/>
      <c r="I468" s="376"/>
      <c r="J468" s="369"/>
      <c r="K468" s="370"/>
      <c r="L468" s="369"/>
      <c r="M468" s="369"/>
      <c r="N468" s="225"/>
      <c r="O468" s="225"/>
      <c r="P468" s="225"/>
      <c r="Q468" s="225"/>
      <c r="R468" s="225"/>
      <c r="S468" s="337"/>
      <c r="T468" s="224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69"/>
      <c r="H469" s="369"/>
      <c r="I469" s="376"/>
      <c r="J469" s="369"/>
      <c r="K469" s="370"/>
      <c r="L469" s="369"/>
      <c r="M469" s="369"/>
      <c r="N469" s="225"/>
      <c r="O469" s="225"/>
      <c r="P469" s="225"/>
      <c r="Q469" s="225"/>
      <c r="R469" s="225"/>
      <c r="S469" s="337"/>
      <c r="T469" s="224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69"/>
      <c r="H470" s="369"/>
      <c r="I470" s="376"/>
      <c r="J470" s="369"/>
      <c r="K470" s="370"/>
      <c r="L470" s="369"/>
      <c r="M470" s="369"/>
      <c r="N470" s="225"/>
      <c r="O470" s="225"/>
      <c r="P470" s="225"/>
      <c r="Q470" s="225"/>
      <c r="R470" s="225"/>
      <c r="S470" s="337"/>
      <c r="T470" s="224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69"/>
      <c r="H471" s="369"/>
      <c r="I471" s="376"/>
      <c r="J471" s="369"/>
      <c r="K471" s="370"/>
      <c r="L471" s="369"/>
      <c r="M471" s="369"/>
      <c r="N471" s="225"/>
      <c r="O471" s="225"/>
      <c r="P471" s="225"/>
      <c r="Q471" s="225"/>
      <c r="R471" s="225"/>
      <c r="S471" s="337"/>
      <c r="T471" s="224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69"/>
      <c r="H472" s="369"/>
      <c r="I472" s="376"/>
      <c r="J472" s="369"/>
      <c r="K472" s="370"/>
      <c r="L472" s="369"/>
      <c r="M472" s="369"/>
      <c r="N472" s="225"/>
      <c r="O472" s="225"/>
      <c r="P472" s="225"/>
      <c r="Q472" s="225"/>
      <c r="R472" s="225"/>
      <c r="S472" s="337"/>
      <c r="T472" s="224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69"/>
      <c r="H473" s="369"/>
      <c r="I473" s="376"/>
      <c r="J473" s="369"/>
      <c r="K473" s="370"/>
      <c r="L473" s="369"/>
      <c r="M473" s="369"/>
      <c r="N473" s="225"/>
      <c r="O473" s="225"/>
      <c r="P473" s="225"/>
      <c r="Q473" s="225"/>
      <c r="R473" s="225"/>
      <c r="S473" s="337"/>
      <c r="T473" s="224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69"/>
      <c r="H474" s="369"/>
      <c r="I474" s="376"/>
      <c r="J474" s="369"/>
      <c r="K474" s="370"/>
      <c r="L474" s="369"/>
      <c r="M474" s="369"/>
      <c r="N474" s="225"/>
      <c r="O474" s="225"/>
      <c r="P474" s="225"/>
      <c r="Q474" s="225"/>
      <c r="R474" s="225"/>
      <c r="S474" s="337"/>
      <c r="T474" s="224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69"/>
      <c r="H475" s="369"/>
      <c r="I475" s="376"/>
      <c r="J475" s="369"/>
      <c r="K475" s="370"/>
      <c r="L475" s="369"/>
      <c r="M475" s="369"/>
      <c r="N475" s="225"/>
      <c r="O475" s="225"/>
      <c r="P475" s="225"/>
      <c r="Q475" s="225"/>
      <c r="R475" s="225"/>
      <c r="S475" s="337"/>
      <c r="T475" s="224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69"/>
      <c r="H476" s="369"/>
      <c r="I476" s="376"/>
      <c r="J476" s="369"/>
      <c r="K476" s="370"/>
      <c r="L476" s="369"/>
      <c r="M476" s="369"/>
      <c r="N476" s="225"/>
      <c r="O476" s="225"/>
      <c r="P476" s="225"/>
      <c r="Q476" s="225"/>
      <c r="R476" s="225"/>
      <c r="S476" s="337"/>
      <c r="T476" s="224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69"/>
      <c r="H477" s="369"/>
      <c r="I477" s="376"/>
      <c r="J477" s="369"/>
      <c r="K477" s="370"/>
      <c r="L477" s="369"/>
      <c r="M477" s="369"/>
      <c r="N477" s="225"/>
      <c r="O477" s="225"/>
      <c r="P477" s="225"/>
      <c r="Q477" s="225"/>
      <c r="R477" s="225"/>
      <c r="S477" s="337"/>
      <c r="T477" s="224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69"/>
      <c r="H478" s="369"/>
      <c r="I478" s="376"/>
      <c r="J478" s="369"/>
      <c r="K478" s="370"/>
      <c r="L478" s="369"/>
      <c r="M478" s="369"/>
      <c r="N478" s="225"/>
      <c r="O478" s="225"/>
      <c r="P478" s="225"/>
      <c r="Q478" s="225"/>
      <c r="R478" s="225"/>
      <c r="S478" s="337"/>
      <c r="T478" s="224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69"/>
      <c r="H479" s="369"/>
      <c r="I479" s="376"/>
      <c r="J479" s="369"/>
      <c r="K479" s="370"/>
      <c r="L479" s="369"/>
      <c r="M479" s="369"/>
      <c r="N479" s="225"/>
      <c r="O479" s="225"/>
      <c r="P479" s="225"/>
      <c r="Q479" s="225"/>
      <c r="R479" s="225"/>
      <c r="S479" s="337"/>
      <c r="T479" s="224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69"/>
      <c r="H480" s="369"/>
      <c r="I480" s="376"/>
      <c r="J480" s="369"/>
      <c r="K480" s="370"/>
      <c r="L480" s="369"/>
      <c r="M480" s="369"/>
      <c r="N480" s="225"/>
      <c r="O480" s="225"/>
      <c r="P480" s="225"/>
      <c r="Q480" s="225"/>
      <c r="R480" s="225"/>
      <c r="S480" s="337"/>
      <c r="T480" s="224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69"/>
      <c r="H481" s="369"/>
      <c r="I481" s="376"/>
      <c r="J481" s="369"/>
      <c r="K481" s="370"/>
      <c r="L481" s="369"/>
      <c r="M481" s="369"/>
      <c r="N481" s="225"/>
      <c r="O481" s="225"/>
      <c r="P481" s="225"/>
      <c r="Q481" s="225"/>
      <c r="R481" s="225"/>
      <c r="S481" s="337"/>
      <c r="T481" s="224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69"/>
      <c r="H482" s="369"/>
      <c r="I482" s="376"/>
      <c r="J482" s="369"/>
      <c r="K482" s="370"/>
      <c r="L482" s="369"/>
      <c r="M482" s="369"/>
      <c r="N482" s="225"/>
      <c r="O482" s="225"/>
      <c r="P482" s="225"/>
      <c r="Q482" s="225"/>
      <c r="R482" s="225"/>
      <c r="S482" s="337"/>
      <c r="T482" s="224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69"/>
      <c r="H483" s="369"/>
      <c r="I483" s="376"/>
      <c r="J483" s="369"/>
      <c r="K483" s="370"/>
      <c r="L483" s="369"/>
      <c r="M483" s="369"/>
      <c r="N483" s="225"/>
      <c r="O483" s="225"/>
      <c r="P483" s="225"/>
      <c r="Q483" s="225"/>
      <c r="R483" s="225"/>
      <c r="S483" s="337"/>
      <c r="T483" s="224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69"/>
      <c r="H484" s="369"/>
      <c r="I484" s="376"/>
      <c r="J484" s="369"/>
      <c r="K484" s="370"/>
      <c r="L484" s="369"/>
      <c r="M484" s="369"/>
      <c r="N484" s="225"/>
      <c r="O484" s="225"/>
      <c r="P484" s="225"/>
      <c r="Q484" s="225"/>
      <c r="R484" s="225"/>
      <c r="S484" s="337"/>
      <c r="T484" s="224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69"/>
      <c r="H485" s="369"/>
      <c r="I485" s="376"/>
      <c r="J485" s="369"/>
      <c r="K485" s="370"/>
      <c r="L485" s="369"/>
      <c r="M485" s="369"/>
      <c r="N485" s="225"/>
      <c r="O485" s="225"/>
      <c r="P485" s="225"/>
      <c r="Q485" s="225"/>
      <c r="R485" s="225"/>
      <c r="S485" s="337"/>
      <c r="T485" s="224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69"/>
      <c r="H486" s="369"/>
      <c r="I486" s="376"/>
      <c r="J486" s="369"/>
      <c r="K486" s="370"/>
      <c r="L486" s="369"/>
      <c r="M486" s="369"/>
      <c r="N486" s="225"/>
      <c r="O486" s="225"/>
      <c r="P486" s="225"/>
      <c r="Q486" s="225"/>
      <c r="R486" s="225"/>
      <c r="S486" s="337"/>
      <c r="T486" s="224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69"/>
      <c r="H487" s="369"/>
      <c r="I487" s="376"/>
      <c r="J487" s="369"/>
      <c r="K487" s="370"/>
      <c r="L487" s="369"/>
      <c r="M487" s="369"/>
      <c r="N487" s="225"/>
      <c r="O487" s="225"/>
      <c r="P487" s="225"/>
      <c r="Q487" s="225"/>
      <c r="R487" s="225"/>
      <c r="S487" s="337"/>
      <c r="T487" s="224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69"/>
      <c r="H488" s="369"/>
      <c r="I488" s="376"/>
      <c r="J488" s="369"/>
      <c r="K488" s="370"/>
      <c r="L488" s="369"/>
      <c r="M488" s="369"/>
      <c r="N488" s="225"/>
      <c r="O488" s="225"/>
      <c r="P488" s="225"/>
      <c r="Q488" s="225"/>
      <c r="R488" s="225"/>
      <c r="S488" s="337"/>
      <c r="T488" s="224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69"/>
      <c r="H489" s="369"/>
      <c r="I489" s="376"/>
      <c r="J489" s="369"/>
      <c r="K489" s="370"/>
      <c r="L489" s="369"/>
      <c r="M489" s="369"/>
      <c r="N489" s="225"/>
      <c r="O489" s="225"/>
      <c r="P489" s="225"/>
      <c r="Q489" s="225"/>
      <c r="R489" s="225"/>
      <c r="S489" s="337"/>
      <c r="T489" s="224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69"/>
      <c r="H490" s="369"/>
      <c r="I490" s="376"/>
      <c r="J490" s="369"/>
      <c r="K490" s="370"/>
      <c r="L490" s="369"/>
      <c r="M490" s="369"/>
      <c r="N490" s="225"/>
      <c r="O490" s="225"/>
      <c r="P490" s="225"/>
      <c r="Q490" s="225"/>
      <c r="R490" s="225"/>
      <c r="S490" s="337"/>
      <c r="T490" s="224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69"/>
      <c r="H491" s="369"/>
      <c r="I491" s="376"/>
      <c r="J491" s="369"/>
      <c r="K491" s="370"/>
      <c r="L491" s="369"/>
      <c r="M491" s="369"/>
      <c r="N491" s="225"/>
      <c r="O491" s="225"/>
      <c r="P491" s="225"/>
      <c r="Q491" s="225"/>
      <c r="R491" s="225"/>
      <c r="S491" s="337"/>
      <c r="T491" s="224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69"/>
      <c r="H492" s="369"/>
      <c r="I492" s="376"/>
      <c r="J492" s="369"/>
      <c r="K492" s="370"/>
      <c r="L492" s="369"/>
      <c r="M492" s="369"/>
      <c r="N492" s="225"/>
      <c r="O492" s="225"/>
      <c r="P492" s="225"/>
      <c r="Q492" s="225"/>
      <c r="R492" s="225"/>
      <c r="S492" s="337"/>
      <c r="T492" s="224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69"/>
      <c r="H493" s="369"/>
      <c r="I493" s="376"/>
      <c r="J493" s="369"/>
      <c r="K493" s="370"/>
      <c r="L493" s="369"/>
      <c r="M493" s="369"/>
      <c r="N493" s="225"/>
      <c r="O493" s="225"/>
      <c r="P493" s="225"/>
      <c r="Q493" s="225"/>
      <c r="R493" s="225"/>
      <c r="S493" s="337"/>
      <c r="T493" s="224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69"/>
      <c r="H494" s="369"/>
      <c r="I494" s="376"/>
      <c r="J494" s="369"/>
      <c r="K494" s="370"/>
      <c r="L494" s="369"/>
      <c r="M494" s="369"/>
      <c r="N494" s="225"/>
      <c r="O494" s="225"/>
      <c r="P494" s="225"/>
      <c r="Q494" s="225"/>
      <c r="R494" s="225"/>
      <c r="S494" s="337"/>
      <c r="T494" s="224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69"/>
      <c r="H495" s="369"/>
      <c r="I495" s="376"/>
      <c r="J495" s="369"/>
      <c r="K495" s="370"/>
      <c r="L495" s="369"/>
      <c r="M495" s="369"/>
      <c r="N495" s="225"/>
      <c r="O495" s="225"/>
      <c r="P495" s="225"/>
      <c r="Q495" s="225"/>
      <c r="R495" s="225"/>
      <c r="S495" s="337"/>
      <c r="T495" s="224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69"/>
      <c r="H496" s="369"/>
      <c r="I496" s="376"/>
      <c r="J496" s="369"/>
      <c r="K496" s="370"/>
      <c r="L496" s="369"/>
      <c r="M496" s="369"/>
      <c r="N496" s="225"/>
      <c r="O496" s="225"/>
      <c r="P496" s="225"/>
      <c r="Q496" s="225"/>
      <c r="R496" s="225"/>
      <c r="S496" s="337"/>
      <c r="T496" s="224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69"/>
      <c r="H497" s="369"/>
      <c r="I497" s="376"/>
      <c r="J497" s="369"/>
      <c r="K497" s="370"/>
      <c r="L497" s="369"/>
      <c r="M497" s="369"/>
      <c r="N497" s="225"/>
      <c r="O497" s="225"/>
      <c r="P497" s="225"/>
      <c r="Q497" s="225"/>
      <c r="R497" s="225"/>
      <c r="S497" s="337"/>
      <c r="T497" s="224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69"/>
      <c r="H498" s="369"/>
      <c r="I498" s="376"/>
      <c r="J498" s="369"/>
      <c r="K498" s="370"/>
      <c r="L498" s="369"/>
      <c r="M498" s="369"/>
      <c r="N498" s="225"/>
      <c r="O498" s="225"/>
      <c r="P498" s="225"/>
      <c r="Q498" s="225"/>
      <c r="R498" s="225"/>
      <c r="S498" s="337"/>
      <c r="T498" s="224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69"/>
      <c r="H499" s="369"/>
      <c r="I499" s="376"/>
      <c r="J499" s="369"/>
      <c r="K499" s="370"/>
      <c r="L499" s="369"/>
      <c r="M499" s="369"/>
      <c r="N499" s="225"/>
      <c r="O499" s="225"/>
      <c r="P499" s="225"/>
      <c r="Q499" s="225"/>
      <c r="R499" s="225"/>
      <c r="S499" s="337"/>
      <c r="T499" s="224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69"/>
      <c r="H500" s="369"/>
      <c r="I500" s="376"/>
      <c r="J500" s="369"/>
      <c r="K500" s="370"/>
      <c r="L500" s="369"/>
      <c r="M500" s="369"/>
      <c r="N500" s="225"/>
      <c r="O500" s="225"/>
      <c r="P500" s="225"/>
      <c r="Q500" s="225"/>
      <c r="R500" s="225"/>
      <c r="S500" s="337"/>
      <c r="T500" s="224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69"/>
      <c r="H501" s="369"/>
      <c r="I501" s="376"/>
      <c r="J501" s="369"/>
      <c r="K501" s="370"/>
      <c r="L501" s="369"/>
      <c r="M501" s="369"/>
      <c r="N501" s="225"/>
      <c r="O501" s="225"/>
      <c r="P501" s="225"/>
      <c r="Q501" s="225"/>
      <c r="R501" s="225"/>
      <c r="S501" s="337"/>
      <c r="T501" s="224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69"/>
      <c r="H502" s="369"/>
      <c r="I502" s="376"/>
      <c r="J502" s="369"/>
      <c r="K502" s="370"/>
      <c r="L502" s="369"/>
      <c r="M502" s="369"/>
      <c r="N502" s="225"/>
      <c r="O502" s="225"/>
      <c r="P502" s="225"/>
      <c r="Q502" s="225"/>
      <c r="R502" s="225"/>
      <c r="S502" s="337"/>
      <c r="T502" s="224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69"/>
      <c r="H503" s="369"/>
      <c r="I503" s="376"/>
      <c r="J503" s="369"/>
      <c r="K503" s="370"/>
      <c r="L503" s="369"/>
      <c r="M503" s="369"/>
      <c r="N503" s="225"/>
      <c r="O503" s="225"/>
      <c r="P503" s="225"/>
      <c r="Q503" s="225"/>
      <c r="R503" s="225"/>
      <c r="S503" s="337"/>
      <c r="T503" s="224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69"/>
      <c r="H504" s="369"/>
      <c r="I504" s="376"/>
      <c r="J504" s="369"/>
      <c r="K504" s="370"/>
      <c r="L504" s="369"/>
      <c r="M504" s="369"/>
      <c r="N504" s="225"/>
      <c r="O504" s="225"/>
      <c r="P504" s="225"/>
      <c r="Q504" s="225"/>
      <c r="R504" s="225"/>
      <c r="S504" s="337"/>
      <c r="T504" s="224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69"/>
      <c r="H505" s="369"/>
      <c r="I505" s="376"/>
      <c r="J505" s="369"/>
      <c r="K505" s="370"/>
      <c r="L505" s="369"/>
      <c r="M505" s="369"/>
      <c r="N505" s="225"/>
      <c r="O505" s="225"/>
      <c r="P505" s="225"/>
      <c r="Q505" s="225"/>
      <c r="R505" s="225"/>
      <c r="S505" s="337"/>
      <c r="T505" s="224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69"/>
      <c r="H506" s="369"/>
      <c r="I506" s="376"/>
      <c r="J506" s="369"/>
      <c r="K506" s="370"/>
      <c r="L506" s="369"/>
      <c r="M506" s="369"/>
      <c r="N506" s="225"/>
      <c r="O506" s="225"/>
      <c r="P506" s="225"/>
      <c r="Q506" s="225"/>
      <c r="R506" s="225"/>
      <c r="S506" s="337"/>
      <c r="T506" s="224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69"/>
      <c r="H507" s="369"/>
      <c r="I507" s="376"/>
      <c r="J507" s="369"/>
      <c r="K507" s="370"/>
      <c r="L507" s="369"/>
      <c r="M507" s="369"/>
      <c r="N507" s="225"/>
      <c r="O507" s="225"/>
      <c r="P507" s="225"/>
      <c r="Q507" s="225"/>
      <c r="R507" s="225"/>
      <c r="S507" s="337"/>
      <c r="T507" s="224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69"/>
      <c r="H508" s="369"/>
      <c r="I508" s="376"/>
      <c r="J508" s="369"/>
      <c r="K508" s="370"/>
      <c r="L508" s="369"/>
      <c r="M508" s="369"/>
      <c r="N508" s="225"/>
      <c r="O508" s="225"/>
      <c r="P508" s="225"/>
      <c r="Q508" s="225"/>
      <c r="R508" s="225"/>
      <c r="S508" s="337"/>
      <c r="T508" s="224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69"/>
      <c r="H509" s="369"/>
      <c r="I509" s="376"/>
      <c r="J509" s="369"/>
      <c r="K509" s="370"/>
      <c r="L509" s="369"/>
      <c r="M509" s="369"/>
      <c r="N509" s="225"/>
      <c r="O509" s="225"/>
      <c r="P509" s="225"/>
      <c r="Q509" s="225"/>
      <c r="R509" s="225"/>
      <c r="S509" s="337"/>
      <c r="T509" s="224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69"/>
      <c r="H510" s="369"/>
      <c r="I510" s="376"/>
      <c r="J510" s="369"/>
      <c r="K510" s="370"/>
      <c r="L510" s="369"/>
      <c r="M510" s="369"/>
      <c r="N510" s="225"/>
      <c r="O510" s="225"/>
      <c r="P510" s="225"/>
      <c r="Q510" s="225"/>
      <c r="R510" s="225"/>
      <c r="S510" s="337"/>
      <c r="T510" s="224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69"/>
      <c r="H511" s="369"/>
      <c r="I511" s="376"/>
      <c r="J511" s="369"/>
      <c r="K511" s="370"/>
      <c r="L511" s="369"/>
      <c r="M511" s="369"/>
      <c r="N511" s="225"/>
      <c r="O511" s="225"/>
      <c r="P511" s="225"/>
      <c r="Q511" s="225"/>
      <c r="R511" s="225"/>
      <c r="S511" s="337"/>
      <c r="T511" s="224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69"/>
      <c r="H512" s="369"/>
      <c r="I512" s="376"/>
      <c r="J512" s="369"/>
      <c r="K512" s="370"/>
      <c r="L512" s="369"/>
      <c r="M512" s="369"/>
      <c r="N512" s="225"/>
      <c r="O512" s="225"/>
      <c r="P512" s="225"/>
      <c r="Q512" s="225"/>
      <c r="R512" s="225"/>
      <c r="S512" s="337"/>
      <c r="T512" s="224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69"/>
      <c r="H513" s="369"/>
      <c r="I513" s="376"/>
      <c r="J513" s="369"/>
      <c r="K513" s="370"/>
      <c r="L513" s="369"/>
      <c r="M513" s="369"/>
      <c r="N513" s="225"/>
      <c r="O513" s="225"/>
      <c r="P513" s="225"/>
      <c r="Q513" s="225"/>
      <c r="R513" s="225"/>
      <c r="S513" s="337"/>
      <c r="T513" s="224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69"/>
      <c r="H514" s="369"/>
      <c r="I514" s="376"/>
      <c r="J514" s="369"/>
      <c r="K514" s="370"/>
      <c r="L514" s="369"/>
      <c r="M514" s="369"/>
      <c r="N514" s="225"/>
      <c r="O514" s="225"/>
      <c r="P514" s="225"/>
      <c r="Q514" s="225"/>
      <c r="R514" s="225"/>
      <c r="S514" s="337"/>
      <c r="T514" s="224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69"/>
      <c r="H515" s="369"/>
      <c r="I515" s="376"/>
      <c r="J515" s="369"/>
      <c r="K515" s="370"/>
      <c r="L515" s="369"/>
      <c r="M515" s="369"/>
      <c r="N515" s="225"/>
      <c r="O515" s="225"/>
      <c r="P515" s="225"/>
      <c r="Q515" s="225"/>
      <c r="R515" s="225"/>
      <c r="S515" s="337"/>
      <c r="T515" s="224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69"/>
      <c r="H516" s="369"/>
      <c r="I516" s="376"/>
      <c r="J516" s="369"/>
      <c r="K516" s="370"/>
      <c r="L516" s="369"/>
      <c r="M516" s="369"/>
      <c r="N516" s="225"/>
      <c r="O516" s="225"/>
      <c r="P516" s="225"/>
      <c r="Q516" s="225"/>
      <c r="R516" s="225"/>
      <c r="S516" s="337"/>
      <c r="T516" s="224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69"/>
      <c r="H517" s="369"/>
      <c r="I517" s="376"/>
      <c r="J517" s="369"/>
      <c r="K517" s="370"/>
      <c r="L517" s="369"/>
      <c r="M517" s="369"/>
      <c r="N517" s="225"/>
      <c r="O517" s="225"/>
      <c r="P517" s="225"/>
      <c r="Q517" s="225"/>
      <c r="R517" s="225"/>
      <c r="S517" s="337"/>
      <c r="T517" s="224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69"/>
      <c r="H518" s="369"/>
      <c r="I518" s="376"/>
      <c r="J518" s="369"/>
      <c r="K518" s="370"/>
      <c r="L518" s="369"/>
      <c r="M518" s="369"/>
      <c r="N518" s="225"/>
      <c r="O518" s="225"/>
      <c r="P518" s="225"/>
      <c r="Q518" s="225"/>
      <c r="R518" s="225"/>
      <c r="S518" s="337"/>
      <c r="T518" s="224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69"/>
      <c r="H519" s="369"/>
      <c r="I519" s="376"/>
      <c r="J519" s="369"/>
      <c r="K519" s="370"/>
      <c r="L519" s="369"/>
      <c r="M519" s="369"/>
      <c r="N519" s="225"/>
      <c r="O519" s="225"/>
      <c r="P519" s="225"/>
      <c r="Q519" s="225"/>
      <c r="R519" s="225"/>
      <c r="S519" s="337"/>
      <c r="T519" s="224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69"/>
      <c r="H520" s="369"/>
      <c r="I520" s="376"/>
      <c r="J520" s="369"/>
      <c r="K520" s="370"/>
      <c r="L520" s="369"/>
      <c r="M520" s="369"/>
      <c r="N520" s="225"/>
      <c r="O520" s="225"/>
      <c r="P520" s="225"/>
      <c r="Q520" s="225"/>
      <c r="R520" s="225"/>
      <c r="S520" s="337"/>
      <c r="T520" s="224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69"/>
      <c r="H521" s="369"/>
      <c r="I521" s="376"/>
      <c r="J521" s="369"/>
      <c r="K521" s="370"/>
      <c r="L521" s="369"/>
      <c r="M521" s="369"/>
      <c r="N521" s="225"/>
      <c r="O521" s="225"/>
      <c r="P521" s="225"/>
      <c r="Q521" s="225"/>
      <c r="R521" s="225"/>
      <c r="S521" s="337"/>
      <c r="T521" s="224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69"/>
      <c r="H522" s="369"/>
      <c r="I522" s="376"/>
      <c r="J522" s="369"/>
      <c r="K522" s="370"/>
      <c r="L522" s="369"/>
      <c r="M522" s="369"/>
      <c r="N522" s="225"/>
      <c r="O522" s="225"/>
      <c r="P522" s="225"/>
      <c r="Q522" s="225"/>
      <c r="R522" s="225"/>
      <c r="S522" s="337"/>
      <c r="T522" s="224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69"/>
      <c r="H523" s="369"/>
      <c r="I523" s="376"/>
      <c r="J523" s="369"/>
      <c r="K523" s="370"/>
      <c r="L523" s="369"/>
      <c r="M523" s="369"/>
      <c r="N523" s="225"/>
      <c r="O523" s="225"/>
      <c r="P523" s="225"/>
      <c r="Q523" s="225"/>
      <c r="R523" s="225"/>
      <c r="S523" s="337"/>
      <c r="T523" s="224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69"/>
      <c r="H524" s="369"/>
      <c r="I524" s="376"/>
      <c r="J524" s="369"/>
      <c r="K524" s="370"/>
      <c r="L524" s="369"/>
      <c r="M524" s="369"/>
      <c r="N524" s="225"/>
      <c r="O524" s="225"/>
      <c r="P524" s="225"/>
      <c r="Q524" s="225"/>
      <c r="R524" s="225"/>
      <c r="S524" s="337"/>
      <c r="T524" s="224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69"/>
      <c r="H525" s="369"/>
      <c r="I525" s="376"/>
      <c r="J525" s="369"/>
      <c r="K525" s="370"/>
      <c r="L525" s="369"/>
      <c r="M525" s="369"/>
      <c r="N525" s="225"/>
      <c r="O525" s="225"/>
      <c r="P525" s="225"/>
      <c r="Q525" s="225"/>
      <c r="R525" s="225"/>
      <c r="S525" s="337"/>
      <c r="T525" s="224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69"/>
      <c r="H526" s="369"/>
      <c r="I526" s="376"/>
      <c r="J526" s="369"/>
      <c r="K526" s="370"/>
      <c r="L526" s="369"/>
      <c r="M526" s="369"/>
      <c r="N526" s="225"/>
      <c r="O526" s="225"/>
      <c r="P526" s="225"/>
      <c r="Q526" s="225"/>
      <c r="R526" s="225"/>
      <c r="S526" s="337"/>
      <c r="T526" s="224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69"/>
      <c r="H527" s="369"/>
      <c r="I527" s="376"/>
      <c r="J527" s="369"/>
      <c r="K527" s="370"/>
      <c r="L527" s="369"/>
      <c r="M527" s="369"/>
      <c r="N527" s="225"/>
      <c r="O527" s="225"/>
      <c r="P527" s="225"/>
      <c r="Q527" s="225"/>
      <c r="R527" s="225"/>
      <c r="S527" s="337"/>
      <c r="T527" s="224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69"/>
      <c r="H528" s="369"/>
      <c r="I528" s="376"/>
      <c r="J528" s="369"/>
      <c r="K528" s="370"/>
      <c r="L528" s="369"/>
      <c r="M528" s="369"/>
      <c r="N528" s="225"/>
      <c r="O528" s="225"/>
      <c r="P528" s="225"/>
      <c r="Q528" s="225"/>
      <c r="R528" s="225"/>
      <c r="S528" s="337"/>
      <c r="T528" s="224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69"/>
      <c r="H529" s="369"/>
      <c r="I529" s="376"/>
      <c r="J529" s="369"/>
      <c r="K529" s="370"/>
      <c r="L529" s="369"/>
      <c r="M529" s="369"/>
      <c r="N529" s="225"/>
      <c r="O529" s="225"/>
      <c r="P529" s="225"/>
      <c r="Q529" s="225"/>
      <c r="R529" s="225"/>
      <c r="S529" s="337"/>
      <c r="T529" s="224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69"/>
      <c r="H530" s="369"/>
      <c r="I530" s="376"/>
      <c r="J530" s="369"/>
      <c r="K530" s="370"/>
      <c r="L530" s="369"/>
      <c r="M530" s="369"/>
      <c r="N530" s="225"/>
      <c r="O530" s="225"/>
      <c r="P530" s="225"/>
      <c r="Q530" s="225"/>
      <c r="R530" s="225"/>
      <c r="S530" s="337"/>
      <c r="T530" s="224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69"/>
      <c r="H531" s="369"/>
      <c r="I531" s="376"/>
      <c r="J531" s="369"/>
      <c r="K531" s="370"/>
      <c r="L531" s="369"/>
      <c r="M531" s="369"/>
      <c r="N531" s="225"/>
      <c r="O531" s="225"/>
      <c r="P531" s="225"/>
      <c r="Q531" s="225"/>
      <c r="R531" s="225"/>
      <c r="S531" s="337"/>
      <c r="T531" s="224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69"/>
      <c r="H532" s="369"/>
      <c r="I532" s="376"/>
      <c r="J532" s="369"/>
      <c r="K532" s="370"/>
      <c r="L532" s="369"/>
      <c r="M532" s="369"/>
      <c r="N532" s="225"/>
      <c r="O532" s="225"/>
      <c r="P532" s="225"/>
      <c r="Q532" s="225"/>
      <c r="R532" s="225"/>
      <c r="S532" s="337"/>
      <c r="T532" s="224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69"/>
      <c r="H533" s="369"/>
      <c r="I533" s="376"/>
      <c r="J533" s="369"/>
      <c r="K533" s="370"/>
      <c r="L533" s="369"/>
      <c r="M533" s="369"/>
      <c r="N533" s="225"/>
      <c r="O533" s="225"/>
      <c r="P533" s="225"/>
      <c r="Q533" s="225"/>
      <c r="R533" s="225"/>
      <c r="S533" s="337"/>
      <c r="T533" s="224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69"/>
      <c r="H534" s="369"/>
      <c r="I534" s="376"/>
      <c r="J534" s="369"/>
      <c r="K534" s="370"/>
      <c r="L534" s="369"/>
      <c r="M534" s="369"/>
      <c r="N534" s="225"/>
      <c r="O534" s="225"/>
      <c r="P534" s="225"/>
      <c r="Q534" s="225"/>
      <c r="R534" s="225"/>
      <c r="S534" s="337"/>
      <c r="T534" s="224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69"/>
      <c r="H535" s="369"/>
      <c r="I535" s="376"/>
      <c r="J535" s="369"/>
      <c r="K535" s="370"/>
      <c r="L535" s="369"/>
      <c r="M535" s="369"/>
      <c r="N535" s="225"/>
      <c r="O535" s="225"/>
      <c r="P535" s="225"/>
      <c r="Q535" s="225"/>
      <c r="R535" s="225"/>
      <c r="S535" s="337"/>
      <c r="T535" s="224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69"/>
      <c r="H536" s="369"/>
      <c r="I536" s="376"/>
      <c r="J536" s="369"/>
      <c r="K536" s="370"/>
      <c r="L536" s="369"/>
      <c r="M536" s="369"/>
      <c r="N536" s="225"/>
      <c r="O536" s="225"/>
      <c r="P536" s="225"/>
      <c r="Q536" s="225"/>
      <c r="R536" s="225"/>
      <c r="S536" s="337"/>
      <c r="T536" s="224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69"/>
      <c r="H537" s="369"/>
      <c r="I537" s="376"/>
      <c r="J537" s="369"/>
      <c r="K537" s="370"/>
      <c r="L537" s="369"/>
      <c r="M537" s="369"/>
      <c r="N537" s="225"/>
      <c r="O537" s="225"/>
      <c r="P537" s="225"/>
      <c r="Q537" s="225"/>
      <c r="R537" s="225"/>
      <c r="S537" s="337"/>
      <c r="T537" s="224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69"/>
      <c r="H538" s="369"/>
      <c r="I538" s="376"/>
      <c r="J538" s="369"/>
      <c r="K538" s="370"/>
      <c r="L538" s="369"/>
      <c r="M538" s="369"/>
      <c r="N538" s="225"/>
      <c r="O538" s="225"/>
      <c r="P538" s="225"/>
      <c r="Q538" s="225"/>
      <c r="R538" s="225"/>
      <c r="S538" s="337"/>
      <c r="T538" s="224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69"/>
      <c r="H539" s="369"/>
      <c r="I539" s="376"/>
      <c r="J539" s="369"/>
      <c r="K539" s="370"/>
      <c r="L539" s="369"/>
      <c r="M539" s="369"/>
      <c r="N539" s="225"/>
      <c r="O539" s="225"/>
      <c r="P539" s="225"/>
      <c r="Q539" s="225"/>
      <c r="R539" s="225"/>
      <c r="S539" s="337"/>
      <c r="T539" s="224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69"/>
      <c r="H540" s="369"/>
      <c r="I540" s="376"/>
      <c r="J540" s="369"/>
      <c r="K540" s="370"/>
      <c r="L540" s="369"/>
      <c r="M540" s="369"/>
      <c r="N540" s="225"/>
      <c r="O540" s="225"/>
      <c r="P540" s="225"/>
      <c r="Q540" s="225"/>
      <c r="R540" s="225"/>
      <c r="S540" s="337"/>
      <c r="T540" s="224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69"/>
      <c r="H541" s="369"/>
      <c r="I541" s="376"/>
      <c r="J541" s="369"/>
      <c r="K541" s="370"/>
      <c r="L541" s="369"/>
      <c r="M541" s="369"/>
      <c r="N541" s="225"/>
      <c r="O541" s="225"/>
      <c r="P541" s="225"/>
      <c r="Q541" s="225"/>
      <c r="R541" s="225"/>
      <c r="S541" s="337"/>
      <c r="T541" s="224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69"/>
      <c r="H542" s="369"/>
      <c r="I542" s="376"/>
      <c r="J542" s="369"/>
      <c r="K542" s="370"/>
      <c r="L542" s="369"/>
      <c r="M542" s="369"/>
      <c r="N542" s="225"/>
      <c r="O542" s="225"/>
      <c r="P542" s="225"/>
      <c r="Q542" s="225"/>
      <c r="R542" s="225"/>
      <c r="S542" s="337"/>
      <c r="T542" s="224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69"/>
      <c r="H543" s="369"/>
      <c r="I543" s="376"/>
      <c r="J543" s="369"/>
      <c r="K543" s="370"/>
      <c r="L543" s="369"/>
      <c r="M543" s="369"/>
      <c r="N543" s="225"/>
      <c r="O543" s="225"/>
      <c r="P543" s="225"/>
      <c r="Q543" s="225"/>
      <c r="R543" s="225"/>
      <c r="S543" s="337"/>
      <c r="T543" s="224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69"/>
      <c r="H544" s="369"/>
      <c r="I544" s="376"/>
      <c r="J544" s="369"/>
      <c r="K544" s="370"/>
      <c r="L544" s="369"/>
      <c r="M544" s="369"/>
      <c r="N544" s="225"/>
      <c r="O544" s="225"/>
      <c r="P544" s="225"/>
      <c r="Q544" s="225"/>
      <c r="R544" s="225"/>
      <c r="S544" s="337"/>
      <c r="T544" s="224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69"/>
      <c r="H545" s="369"/>
      <c r="I545" s="376"/>
      <c r="J545" s="369"/>
      <c r="K545" s="370"/>
      <c r="L545" s="369"/>
      <c r="M545" s="369"/>
      <c r="N545" s="225"/>
      <c r="O545" s="225"/>
      <c r="P545" s="225"/>
      <c r="Q545" s="225"/>
      <c r="R545" s="225"/>
      <c r="S545" s="337"/>
      <c r="T545" s="224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69"/>
      <c r="H546" s="369"/>
      <c r="I546" s="376"/>
      <c r="J546" s="369"/>
      <c r="K546" s="370"/>
      <c r="L546" s="369"/>
      <c r="M546" s="369"/>
      <c r="N546" s="225"/>
      <c r="O546" s="225"/>
      <c r="P546" s="225"/>
      <c r="Q546" s="225"/>
      <c r="R546" s="225"/>
      <c r="S546" s="337"/>
      <c r="T546" s="224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69"/>
      <c r="H547" s="369"/>
      <c r="I547" s="376"/>
      <c r="J547" s="369"/>
      <c r="K547" s="370"/>
      <c r="L547" s="369"/>
      <c r="M547" s="369"/>
      <c r="N547" s="225"/>
      <c r="O547" s="225"/>
      <c r="P547" s="225"/>
      <c r="Q547" s="225"/>
      <c r="R547" s="225"/>
      <c r="S547" s="337"/>
      <c r="T547" s="224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69"/>
      <c r="H548" s="369"/>
      <c r="I548" s="376"/>
      <c r="J548" s="369"/>
      <c r="K548" s="370"/>
      <c r="L548" s="369"/>
      <c r="M548" s="369"/>
      <c r="N548" s="225"/>
      <c r="O548" s="225"/>
      <c r="P548" s="225"/>
      <c r="Q548" s="225"/>
      <c r="R548" s="225"/>
      <c r="S548" s="337"/>
      <c r="T548" s="224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69"/>
      <c r="H549" s="369"/>
      <c r="I549" s="376"/>
      <c r="J549" s="369"/>
      <c r="K549" s="370"/>
      <c r="L549" s="369"/>
      <c r="M549" s="369"/>
      <c r="N549" s="225"/>
      <c r="O549" s="225"/>
      <c r="P549" s="225"/>
      <c r="Q549" s="225"/>
      <c r="R549" s="225"/>
      <c r="S549" s="337"/>
      <c r="T549" s="224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69"/>
      <c r="H550" s="369"/>
      <c r="I550" s="376"/>
      <c r="J550" s="369"/>
      <c r="K550" s="370"/>
      <c r="L550" s="369"/>
      <c r="M550" s="369"/>
      <c r="N550" s="225"/>
      <c r="O550" s="225"/>
      <c r="P550" s="225"/>
      <c r="Q550" s="225"/>
      <c r="R550" s="225"/>
      <c r="S550" s="337"/>
      <c r="T550" s="224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69"/>
      <c r="H551" s="369"/>
      <c r="I551" s="376"/>
      <c r="J551" s="369"/>
      <c r="K551" s="370"/>
      <c r="L551" s="369"/>
      <c r="M551" s="369"/>
      <c r="N551" s="225"/>
      <c r="O551" s="225"/>
      <c r="P551" s="225"/>
      <c r="Q551" s="225"/>
      <c r="R551" s="225"/>
      <c r="S551" s="337"/>
      <c r="T551" s="224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69"/>
      <c r="H552" s="369"/>
      <c r="I552" s="376"/>
      <c r="J552" s="369"/>
      <c r="K552" s="370"/>
      <c r="L552" s="369"/>
      <c r="M552" s="369"/>
      <c r="N552" s="225"/>
      <c r="O552" s="225"/>
      <c r="P552" s="225"/>
      <c r="Q552" s="225"/>
      <c r="R552" s="225"/>
      <c r="S552" s="337"/>
      <c r="T552" s="224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69"/>
      <c r="H553" s="369"/>
      <c r="I553" s="376"/>
      <c r="J553" s="369"/>
      <c r="K553" s="370"/>
      <c r="L553" s="369"/>
      <c r="M553" s="369"/>
      <c r="N553" s="225"/>
      <c r="O553" s="225"/>
      <c r="P553" s="225"/>
      <c r="Q553" s="225"/>
      <c r="R553" s="225"/>
      <c r="S553" s="337"/>
      <c r="T553" s="224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69"/>
      <c r="H554" s="369"/>
      <c r="I554" s="376"/>
      <c r="J554" s="369"/>
      <c r="K554" s="370"/>
      <c r="L554" s="369"/>
      <c r="M554" s="369"/>
      <c r="N554" s="225"/>
      <c r="O554" s="225"/>
      <c r="P554" s="225"/>
      <c r="Q554" s="225"/>
      <c r="R554" s="225"/>
      <c r="S554" s="337"/>
      <c r="T554" s="224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69"/>
      <c r="H555" s="369"/>
      <c r="I555" s="376"/>
      <c r="J555" s="369"/>
      <c r="K555" s="370"/>
      <c r="L555" s="369"/>
      <c r="M555" s="369"/>
      <c r="N555" s="225"/>
      <c r="O555" s="225"/>
      <c r="P555" s="225"/>
      <c r="Q555" s="225"/>
      <c r="R555" s="225"/>
      <c r="S555" s="337"/>
      <c r="T555" s="224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69"/>
      <c r="H556" s="369"/>
      <c r="I556" s="376"/>
      <c r="J556" s="369"/>
      <c r="K556" s="370"/>
      <c r="L556" s="369"/>
      <c r="M556" s="369"/>
      <c r="N556" s="225"/>
      <c r="O556" s="225"/>
      <c r="P556" s="225"/>
      <c r="Q556" s="225"/>
      <c r="R556" s="225"/>
      <c r="S556" s="337"/>
      <c r="T556" s="224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69"/>
      <c r="H557" s="369"/>
      <c r="I557" s="376"/>
      <c r="J557" s="369"/>
      <c r="K557" s="370"/>
      <c r="L557" s="369"/>
      <c r="M557" s="369"/>
      <c r="N557" s="225"/>
      <c r="O557" s="225"/>
      <c r="P557" s="225"/>
      <c r="Q557" s="225"/>
      <c r="R557" s="225"/>
      <c r="S557" s="337"/>
      <c r="T557" s="224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69"/>
      <c r="H558" s="369"/>
      <c r="I558" s="376"/>
      <c r="J558" s="369"/>
      <c r="K558" s="370"/>
      <c r="L558" s="369"/>
      <c r="M558" s="369"/>
      <c r="N558" s="225"/>
      <c r="O558" s="225"/>
      <c r="P558" s="225"/>
      <c r="Q558" s="225"/>
      <c r="R558" s="225"/>
      <c r="S558" s="337"/>
      <c r="T558" s="224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69"/>
      <c r="H559" s="369"/>
      <c r="I559" s="376"/>
      <c r="J559" s="369"/>
      <c r="K559" s="370"/>
      <c r="L559" s="369"/>
      <c r="M559" s="369"/>
      <c r="N559" s="225"/>
      <c r="O559" s="225"/>
      <c r="P559" s="225"/>
      <c r="Q559" s="225"/>
      <c r="R559" s="225"/>
      <c r="S559" s="337"/>
      <c r="T559" s="224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69"/>
      <c r="H560" s="369"/>
      <c r="I560" s="376"/>
      <c r="J560" s="369"/>
      <c r="K560" s="370"/>
      <c r="L560" s="369"/>
      <c r="M560" s="369"/>
      <c r="N560" s="225"/>
      <c r="O560" s="225"/>
      <c r="P560" s="225"/>
      <c r="Q560" s="225"/>
      <c r="R560" s="225"/>
      <c r="S560" s="337"/>
      <c r="T560" s="224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69"/>
      <c r="H561" s="369"/>
      <c r="I561" s="376"/>
      <c r="J561" s="369"/>
      <c r="K561" s="370"/>
      <c r="L561" s="369"/>
      <c r="M561" s="369"/>
      <c r="N561" s="225"/>
      <c r="O561" s="225"/>
      <c r="P561" s="225"/>
      <c r="Q561" s="225"/>
      <c r="R561" s="225"/>
      <c r="S561" s="337"/>
      <c r="T561" s="224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69"/>
      <c r="H562" s="369"/>
      <c r="I562" s="376"/>
      <c r="J562" s="369"/>
      <c r="K562" s="370"/>
      <c r="L562" s="369"/>
      <c r="M562" s="369"/>
      <c r="N562" s="225"/>
      <c r="O562" s="225"/>
      <c r="P562" s="225"/>
      <c r="Q562" s="225"/>
      <c r="R562" s="225"/>
      <c r="S562" s="337"/>
      <c r="T562" s="224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69"/>
      <c r="H563" s="369"/>
      <c r="I563" s="376"/>
      <c r="J563" s="369"/>
      <c r="K563" s="370"/>
      <c r="L563" s="369"/>
      <c r="M563" s="369"/>
      <c r="N563" s="225"/>
      <c r="O563" s="225"/>
      <c r="P563" s="225"/>
      <c r="Q563" s="225"/>
      <c r="R563" s="225"/>
      <c r="S563" s="337"/>
      <c r="T563" s="224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69"/>
      <c r="H564" s="369"/>
      <c r="I564" s="376"/>
      <c r="J564" s="369"/>
      <c r="K564" s="370"/>
      <c r="L564" s="369"/>
      <c r="M564" s="369"/>
      <c r="N564" s="225"/>
      <c r="O564" s="225"/>
      <c r="P564" s="225"/>
      <c r="Q564" s="225"/>
      <c r="R564" s="225"/>
      <c r="S564" s="337"/>
      <c r="T564" s="224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69"/>
      <c r="H565" s="369"/>
      <c r="I565" s="376"/>
      <c r="J565" s="369"/>
      <c r="K565" s="370"/>
      <c r="L565" s="369"/>
      <c r="M565" s="369"/>
      <c r="N565" s="225"/>
      <c r="O565" s="225"/>
      <c r="P565" s="225"/>
      <c r="Q565" s="225"/>
      <c r="R565" s="225"/>
      <c r="S565" s="337"/>
      <c r="T565" s="224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69"/>
      <c r="H566" s="369"/>
      <c r="I566" s="376"/>
      <c r="J566" s="369"/>
      <c r="K566" s="370"/>
      <c r="L566" s="369"/>
      <c r="M566" s="369"/>
      <c r="N566" s="225"/>
      <c r="O566" s="225"/>
      <c r="P566" s="225"/>
      <c r="Q566" s="225"/>
      <c r="R566" s="225"/>
      <c r="S566" s="337"/>
      <c r="T566" s="224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69"/>
      <c r="H567" s="369"/>
      <c r="I567" s="376"/>
      <c r="J567" s="369"/>
      <c r="K567" s="370"/>
      <c r="L567" s="369"/>
      <c r="M567" s="369"/>
      <c r="N567" s="225"/>
      <c r="O567" s="225"/>
      <c r="P567" s="225"/>
      <c r="Q567" s="225"/>
      <c r="R567" s="225"/>
      <c r="S567" s="337"/>
      <c r="T567" s="224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69"/>
      <c r="H568" s="369"/>
      <c r="I568" s="376"/>
      <c r="J568" s="369"/>
      <c r="K568" s="370"/>
      <c r="L568" s="369"/>
      <c r="M568" s="369"/>
      <c r="N568" s="225"/>
      <c r="O568" s="225"/>
      <c r="P568" s="225"/>
      <c r="Q568" s="225"/>
      <c r="R568" s="225"/>
      <c r="S568" s="337"/>
      <c r="T568" s="224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69"/>
      <c r="H569" s="369"/>
      <c r="I569" s="376"/>
      <c r="J569" s="369"/>
      <c r="K569" s="370"/>
      <c r="L569" s="369"/>
      <c r="M569" s="369"/>
      <c r="N569" s="225"/>
      <c r="O569" s="225"/>
      <c r="P569" s="225"/>
      <c r="Q569" s="225"/>
      <c r="R569" s="225"/>
      <c r="S569" s="337"/>
      <c r="T569" s="224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69"/>
      <c r="H570" s="369"/>
      <c r="I570" s="376"/>
      <c r="J570" s="369"/>
      <c r="K570" s="370"/>
      <c r="L570" s="369"/>
      <c r="M570" s="369"/>
      <c r="N570" s="225"/>
      <c r="O570" s="225"/>
      <c r="P570" s="225"/>
      <c r="Q570" s="225"/>
      <c r="R570" s="225"/>
      <c r="S570" s="337"/>
      <c r="T570" s="224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69"/>
      <c r="H571" s="369"/>
      <c r="I571" s="376"/>
      <c r="J571" s="369"/>
      <c r="K571" s="370"/>
      <c r="L571" s="369"/>
      <c r="M571" s="369"/>
      <c r="N571" s="225"/>
      <c r="O571" s="225"/>
      <c r="P571" s="225"/>
      <c r="Q571" s="225"/>
      <c r="R571" s="225"/>
      <c r="S571" s="337"/>
      <c r="T571" s="224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69"/>
      <c r="H572" s="369"/>
      <c r="I572" s="376"/>
      <c r="J572" s="369"/>
      <c r="K572" s="370"/>
      <c r="L572" s="369"/>
      <c r="M572" s="369"/>
      <c r="N572" s="225"/>
      <c r="O572" s="225"/>
      <c r="P572" s="225"/>
      <c r="Q572" s="225"/>
      <c r="R572" s="225"/>
      <c r="S572" s="337"/>
      <c r="T572" s="224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69"/>
      <c r="H573" s="369"/>
      <c r="I573" s="376"/>
      <c r="J573" s="369"/>
      <c r="K573" s="370"/>
      <c r="L573" s="369"/>
      <c r="M573" s="369"/>
      <c r="N573" s="225"/>
      <c r="O573" s="225"/>
      <c r="P573" s="225"/>
      <c r="Q573" s="225"/>
      <c r="R573" s="225"/>
      <c r="S573" s="337"/>
      <c r="T573" s="224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69"/>
      <c r="H574" s="369"/>
      <c r="I574" s="376"/>
      <c r="J574" s="369"/>
      <c r="K574" s="370"/>
      <c r="L574" s="369"/>
      <c r="M574" s="369"/>
      <c r="N574" s="225"/>
      <c r="O574" s="225"/>
      <c r="P574" s="225"/>
      <c r="Q574" s="225"/>
      <c r="R574" s="225"/>
      <c r="S574" s="337"/>
      <c r="T574" s="224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69"/>
      <c r="H575" s="369"/>
      <c r="I575" s="376"/>
      <c r="J575" s="369"/>
      <c r="K575" s="370"/>
      <c r="L575" s="369"/>
      <c r="M575" s="369"/>
      <c r="N575" s="225"/>
      <c r="O575" s="225"/>
      <c r="P575" s="225"/>
      <c r="Q575" s="225"/>
      <c r="R575" s="225"/>
      <c r="S575" s="337"/>
      <c r="T575" s="224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69"/>
      <c r="H576" s="369"/>
      <c r="I576" s="376"/>
      <c r="J576" s="369"/>
      <c r="K576" s="370"/>
      <c r="L576" s="369"/>
      <c r="M576" s="369"/>
      <c r="N576" s="225"/>
      <c r="O576" s="225"/>
      <c r="P576" s="225"/>
      <c r="Q576" s="225"/>
      <c r="R576" s="225"/>
      <c r="S576" s="337"/>
      <c r="T576" s="224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69"/>
      <c r="H577" s="369"/>
      <c r="I577" s="376"/>
      <c r="J577" s="369"/>
      <c r="K577" s="370"/>
      <c r="L577" s="369"/>
      <c r="M577" s="369"/>
      <c r="N577" s="225"/>
      <c r="O577" s="225"/>
      <c r="P577" s="225"/>
      <c r="Q577" s="225"/>
      <c r="R577" s="225"/>
      <c r="S577" s="337"/>
      <c r="T577" s="224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69"/>
      <c r="H578" s="369"/>
      <c r="I578" s="376"/>
      <c r="J578" s="369"/>
      <c r="K578" s="370"/>
      <c r="L578" s="369"/>
      <c r="M578" s="369"/>
      <c r="N578" s="225"/>
      <c r="O578" s="225"/>
      <c r="P578" s="225"/>
      <c r="Q578" s="225"/>
      <c r="R578" s="225"/>
      <c r="S578" s="337"/>
      <c r="T578" s="224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69"/>
      <c r="H579" s="369"/>
      <c r="I579" s="376"/>
      <c r="J579" s="369"/>
      <c r="K579" s="370"/>
      <c r="L579" s="369"/>
      <c r="M579" s="369"/>
      <c r="N579" s="225"/>
      <c r="O579" s="225"/>
      <c r="P579" s="225"/>
      <c r="Q579" s="225"/>
      <c r="R579" s="225"/>
      <c r="S579" s="337"/>
      <c r="T579" s="224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69"/>
      <c r="H580" s="369"/>
      <c r="I580" s="376"/>
      <c r="J580" s="369"/>
      <c r="K580" s="370"/>
      <c r="L580" s="369"/>
      <c r="M580" s="369"/>
      <c r="N580" s="225"/>
      <c r="O580" s="225"/>
      <c r="P580" s="225"/>
      <c r="Q580" s="225"/>
      <c r="R580" s="225"/>
      <c r="S580" s="337"/>
      <c r="T580" s="224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69"/>
      <c r="H581" s="369"/>
      <c r="I581" s="376"/>
      <c r="J581" s="369"/>
      <c r="K581" s="370"/>
      <c r="L581" s="369"/>
      <c r="M581" s="369"/>
      <c r="N581" s="225"/>
      <c r="O581" s="225"/>
      <c r="P581" s="225"/>
      <c r="Q581" s="225"/>
      <c r="R581" s="225"/>
      <c r="S581" s="337"/>
      <c r="T581" s="224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69"/>
      <c r="H582" s="369"/>
      <c r="I582" s="376"/>
      <c r="J582" s="369"/>
      <c r="K582" s="370"/>
      <c r="L582" s="369"/>
      <c r="M582" s="369"/>
      <c r="N582" s="225"/>
      <c r="O582" s="225"/>
      <c r="P582" s="225"/>
      <c r="Q582" s="225"/>
      <c r="R582" s="225"/>
      <c r="S582" s="337"/>
      <c r="T582" s="224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69"/>
      <c r="H583" s="369"/>
      <c r="I583" s="376"/>
      <c r="J583" s="369"/>
      <c r="K583" s="370"/>
      <c r="L583" s="369"/>
      <c r="M583" s="369"/>
      <c r="N583" s="225"/>
      <c r="O583" s="225"/>
      <c r="P583" s="225"/>
      <c r="Q583" s="225"/>
      <c r="R583" s="225"/>
      <c r="S583" s="337"/>
      <c r="T583" s="224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69"/>
      <c r="H584" s="369"/>
      <c r="I584" s="376"/>
      <c r="J584" s="369"/>
      <c r="K584" s="370"/>
      <c r="L584" s="369"/>
      <c r="M584" s="369"/>
      <c r="N584" s="225"/>
      <c r="O584" s="225"/>
      <c r="P584" s="225"/>
      <c r="Q584" s="225"/>
      <c r="R584" s="225"/>
      <c r="S584" s="337"/>
      <c r="T584" s="224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69"/>
      <c r="H585" s="369"/>
      <c r="I585" s="376"/>
      <c r="J585" s="369"/>
      <c r="K585" s="370"/>
      <c r="L585" s="369"/>
      <c r="M585" s="369"/>
      <c r="N585" s="225"/>
      <c r="O585" s="225"/>
      <c r="P585" s="225"/>
      <c r="Q585" s="225"/>
      <c r="R585" s="225"/>
      <c r="S585" s="337"/>
      <c r="T585" s="224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69"/>
      <c r="H586" s="369"/>
      <c r="I586" s="376"/>
      <c r="J586" s="369"/>
      <c r="K586" s="370"/>
      <c r="L586" s="369"/>
      <c r="M586" s="369"/>
      <c r="N586" s="225"/>
      <c r="O586" s="225"/>
      <c r="P586" s="225"/>
      <c r="Q586" s="225"/>
      <c r="R586" s="225"/>
      <c r="S586" s="337"/>
      <c r="T586" s="224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69"/>
      <c r="H587" s="369"/>
      <c r="I587" s="376"/>
      <c r="J587" s="369"/>
      <c r="K587" s="370"/>
      <c r="L587" s="369"/>
      <c r="M587" s="369"/>
      <c r="N587" s="225"/>
      <c r="O587" s="225"/>
      <c r="P587" s="225"/>
      <c r="Q587" s="225"/>
      <c r="R587" s="225"/>
      <c r="S587" s="337"/>
      <c r="T587" s="224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69"/>
      <c r="H588" s="369"/>
      <c r="I588" s="376"/>
      <c r="J588" s="369"/>
      <c r="K588" s="370"/>
      <c r="L588" s="369"/>
      <c r="M588" s="369"/>
      <c r="N588" s="225"/>
      <c r="O588" s="225"/>
      <c r="P588" s="225"/>
      <c r="Q588" s="225"/>
      <c r="R588" s="225"/>
      <c r="S588" s="337"/>
      <c r="T588" s="224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69"/>
      <c r="H589" s="369"/>
      <c r="I589" s="376"/>
      <c r="J589" s="369"/>
      <c r="K589" s="370"/>
      <c r="L589" s="369"/>
      <c r="M589" s="369"/>
      <c r="N589" s="225"/>
      <c r="O589" s="225"/>
      <c r="P589" s="225"/>
      <c r="Q589" s="225"/>
      <c r="R589" s="225"/>
      <c r="S589" s="337"/>
      <c r="T589" s="224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69"/>
      <c r="H590" s="369"/>
      <c r="I590" s="376"/>
      <c r="J590" s="369"/>
      <c r="K590" s="370"/>
      <c r="L590" s="369"/>
      <c r="M590" s="369"/>
      <c r="N590" s="225"/>
      <c r="O590" s="225"/>
      <c r="P590" s="225"/>
      <c r="Q590" s="225"/>
      <c r="R590" s="225"/>
      <c r="S590" s="337"/>
      <c r="T590" s="224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69"/>
      <c r="H591" s="369"/>
      <c r="I591" s="376"/>
      <c r="J591" s="369"/>
      <c r="K591" s="370"/>
      <c r="L591" s="369"/>
      <c r="M591" s="369"/>
      <c r="N591" s="225"/>
      <c r="O591" s="225"/>
      <c r="P591" s="225"/>
      <c r="Q591" s="225"/>
      <c r="R591" s="225"/>
      <c r="S591" s="337"/>
      <c r="T591" s="224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69"/>
      <c r="H592" s="369"/>
      <c r="I592" s="376"/>
      <c r="J592" s="369"/>
      <c r="K592" s="370"/>
      <c r="L592" s="369"/>
      <c r="M592" s="369"/>
      <c r="N592" s="225"/>
      <c r="O592" s="225"/>
      <c r="P592" s="225"/>
      <c r="Q592" s="225"/>
      <c r="R592" s="225"/>
      <c r="S592" s="337"/>
      <c r="T592" s="224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69"/>
      <c r="H593" s="369"/>
      <c r="I593" s="376"/>
      <c r="J593" s="369"/>
      <c r="K593" s="370"/>
      <c r="L593" s="369"/>
      <c r="M593" s="369"/>
      <c r="N593" s="225"/>
      <c r="O593" s="225"/>
      <c r="P593" s="225"/>
      <c r="Q593" s="225"/>
      <c r="R593" s="225"/>
      <c r="S593" s="337"/>
      <c r="T593" s="224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69"/>
      <c r="H594" s="369"/>
      <c r="I594" s="376"/>
      <c r="J594" s="369"/>
      <c r="K594" s="370"/>
      <c r="L594" s="369"/>
      <c r="M594" s="369"/>
      <c r="N594" s="225"/>
      <c r="O594" s="225"/>
      <c r="P594" s="225"/>
      <c r="Q594" s="225"/>
      <c r="R594" s="225"/>
      <c r="S594" s="337"/>
      <c r="T594" s="224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69"/>
      <c r="H595" s="369"/>
      <c r="I595" s="376"/>
      <c r="J595" s="369"/>
      <c r="K595" s="370"/>
      <c r="L595" s="369"/>
      <c r="M595" s="369"/>
      <c r="N595" s="225"/>
      <c r="O595" s="225"/>
      <c r="P595" s="225"/>
      <c r="Q595" s="225"/>
      <c r="R595" s="225"/>
      <c r="S595" s="337"/>
      <c r="T595" s="224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69"/>
      <c r="H596" s="369"/>
      <c r="I596" s="376"/>
      <c r="J596" s="369"/>
      <c r="K596" s="370"/>
      <c r="L596" s="369"/>
      <c r="M596" s="369"/>
      <c r="N596" s="225"/>
      <c r="O596" s="225"/>
      <c r="P596" s="225"/>
      <c r="Q596" s="225"/>
      <c r="R596" s="225"/>
      <c r="S596" s="337"/>
      <c r="T596" s="224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69"/>
      <c r="H597" s="369"/>
      <c r="I597" s="376"/>
      <c r="J597" s="369"/>
      <c r="K597" s="370"/>
      <c r="L597" s="369"/>
      <c r="M597" s="369"/>
      <c r="N597" s="225"/>
      <c r="O597" s="225"/>
      <c r="P597" s="225"/>
      <c r="Q597" s="225"/>
      <c r="R597" s="225"/>
      <c r="S597" s="337"/>
      <c r="T597" s="224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69"/>
      <c r="H598" s="369"/>
      <c r="I598" s="376"/>
      <c r="J598" s="369"/>
      <c r="K598" s="370"/>
      <c r="L598" s="369"/>
      <c r="M598" s="369"/>
      <c r="N598" s="225"/>
      <c r="O598" s="225"/>
      <c r="P598" s="225"/>
      <c r="Q598" s="225"/>
      <c r="R598" s="225"/>
      <c r="S598" s="337"/>
      <c r="T598" s="224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69"/>
      <c r="H599" s="369"/>
      <c r="I599" s="376"/>
      <c r="J599" s="369"/>
      <c r="K599" s="370"/>
      <c r="L599" s="369"/>
      <c r="M599" s="369"/>
      <c r="N599" s="225"/>
      <c r="O599" s="225"/>
      <c r="P599" s="225"/>
      <c r="Q599" s="225"/>
      <c r="R599" s="225"/>
      <c r="S599" s="337"/>
      <c r="T599" s="224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69"/>
      <c r="H600" s="369"/>
      <c r="I600" s="376"/>
      <c r="J600" s="369"/>
      <c r="K600" s="370"/>
      <c r="L600" s="369"/>
      <c r="M600" s="369"/>
      <c r="N600" s="225"/>
      <c r="O600" s="225"/>
      <c r="P600" s="225"/>
      <c r="Q600" s="225"/>
      <c r="R600" s="225"/>
      <c r="S600" s="337"/>
      <c r="T600" s="224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69"/>
      <c r="H601" s="369"/>
      <c r="I601" s="376"/>
      <c r="J601" s="369"/>
      <c r="K601" s="370"/>
      <c r="L601" s="369"/>
      <c r="M601" s="369"/>
      <c r="N601" s="225"/>
      <c r="O601" s="225"/>
      <c r="P601" s="225"/>
      <c r="Q601" s="225"/>
      <c r="R601" s="225"/>
      <c r="S601" s="337"/>
      <c r="T601" s="224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69"/>
      <c r="H602" s="369"/>
      <c r="I602" s="376"/>
      <c r="J602" s="369"/>
      <c r="K602" s="370"/>
      <c r="L602" s="369"/>
      <c r="M602" s="369"/>
      <c r="N602" s="225"/>
      <c r="O602" s="225"/>
      <c r="P602" s="225"/>
      <c r="Q602" s="225"/>
      <c r="R602" s="225"/>
      <c r="S602" s="337"/>
      <c r="T602" s="224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69"/>
      <c r="H603" s="369"/>
      <c r="I603" s="376"/>
      <c r="J603" s="369"/>
      <c r="K603" s="370"/>
      <c r="L603" s="369"/>
      <c r="M603" s="369"/>
      <c r="N603" s="225"/>
      <c r="O603" s="225"/>
      <c r="P603" s="225"/>
      <c r="Q603" s="225"/>
      <c r="R603" s="225"/>
      <c r="S603" s="337"/>
      <c r="T603" s="224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69"/>
      <c r="H604" s="369"/>
      <c r="I604" s="376"/>
      <c r="J604" s="369"/>
      <c r="K604" s="370"/>
      <c r="L604" s="369"/>
      <c r="M604" s="369"/>
      <c r="N604" s="225"/>
      <c r="O604" s="225"/>
      <c r="P604" s="225"/>
      <c r="Q604" s="225"/>
      <c r="R604" s="225"/>
      <c r="S604" s="337"/>
      <c r="T604" s="224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69"/>
      <c r="H605" s="369"/>
      <c r="I605" s="376"/>
      <c r="J605" s="369"/>
      <c r="K605" s="370"/>
      <c r="L605" s="369"/>
      <c r="M605" s="369"/>
      <c r="N605" s="225"/>
      <c r="O605" s="225"/>
      <c r="P605" s="225"/>
      <c r="Q605" s="225"/>
      <c r="R605" s="225"/>
      <c r="S605" s="337"/>
      <c r="T605" s="224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69"/>
      <c r="H606" s="369"/>
      <c r="I606" s="376"/>
      <c r="J606" s="369"/>
      <c r="K606" s="370"/>
      <c r="L606" s="369"/>
      <c r="M606" s="369"/>
      <c r="N606" s="225"/>
      <c r="O606" s="225"/>
      <c r="P606" s="225"/>
      <c r="Q606" s="225"/>
      <c r="R606" s="225"/>
      <c r="S606" s="337"/>
      <c r="T606" s="224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69"/>
      <c r="H607" s="369"/>
      <c r="I607" s="376"/>
      <c r="J607" s="369"/>
      <c r="K607" s="370"/>
      <c r="L607" s="369"/>
      <c r="M607" s="369"/>
      <c r="N607" s="225"/>
      <c r="O607" s="225"/>
      <c r="P607" s="225"/>
      <c r="Q607" s="225"/>
      <c r="R607" s="225"/>
      <c r="S607" s="337"/>
      <c r="T607" s="224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69"/>
      <c r="H608" s="369"/>
      <c r="I608" s="376"/>
      <c r="J608" s="369"/>
      <c r="K608" s="370"/>
      <c r="L608" s="369"/>
      <c r="M608" s="369"/>
      <c r="N608" s="225"/>
      <c r="O608" s="225"/>
      <c r="P608" s="225"/>
      <c r="Q608" s="225"/>
      <c r="R608" s="225"/>
      <c r="S608" s="337"/>
      <c r="T608" s="224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69"/>
      <c r="H609" s="369"/>
      <c r="I609" s="376"/>
      <c r="J609" s="369"/>
      <c r="K609" s="370"/>
      <c r="L609" s="369"/>
      <c r="M609" s="369"/>
      <c r="N609" s="225"/>
      <c r="O609" s="225"/>
      <c r="P609" s="225"/>
      <c r="Q609" s="225"/>
      <c r="R609" s="225"/>
      <c r="S609" s="337"/>
      <c r="T609" s="224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69"/>
      <c r="H610" s="369"/>
      <c r="I610" s="376"/>
      <c r="J610" s="369"/>
      <c r="K610" s="370"/>
      <c r="L610" s="369"/>
      <c r="M610" s="369"/>
      <c r="N610" s="225"/>
      <c r="O610" s="225"/>
      <c r="P610" s="225"/>
      <c r="Q610" s="225"/>
      <c r="R610" s="225"/>
      <c r="S610" s="337"/>
      <c r="T610" s="224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69"/>
      <c r="H611" s="369"/>
      <c r="I611" s="376"/>
      <c r="J611" s="369"/>
      <c r="K611" s="370"/>
      <c r="L611" s="369"/>
      <c r="M611" s="369"/>
      <c r="N611" s="225"/>
      <c r="O611" s="225"/>
      <c r="P611" s="225"/>
      <c r="Q611" s="225"/>
      <c r="R611" s="225"/>
      <c r="S611" s="337"/>
      <c r="T611" s="224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69"/>
      <c r="H612" s="369"/>
      <c r="I612" s="376"/>
      <c r="J612" s="369"/>
      <c r="K612" s="370"/>
      <c r="L612" s="369"/>
      <c r="M612" s="369"/>
      <c r="N612" s="225"/>
      <c r="O612" s="225"/>
      <c r="P612" s="225"/>
      <c r="Q612" s="225"/>
      <c r="R612" s="225"/>
      <c r="S612" s="337"/>
      <c r="T612" s="224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69"/>
      <c r="H613" s="369"/>
      <c r="I613" s="376"/>
      <c r="J613" s="369"/>
      <c r="K613" s="370"/>
      <c r="L613" s="369"/>
      <c r="M613" s="369"/>
      <c r="N613" s="225"/>
      <c r="O613" s="225"/>
      <c r="P613" s="225"/>
      <c r="Q613" s="225"/>
      <c r="R613" s="225"/>
      <c r="S613" s="337"/>
      <c r="T613" s="224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69"/>
      <c r="H614" s="369"/>
      <c r="I614" s="376"/>
      <c r="J614" s="369"/>
      <c r="K614" s="370"/>
      <c r="L614" s="369"/>
      <c r="M614" s="369"/>
      <c r="N614" s="225"/>
      <c r="O614" s="225"/>
      <c r="P614" s="225"/>
      <c r="Q614" s="225"/>
      <c r="R614" s="225"/>
      <c r="S614" s="337"/>
      <c r="T614" s="224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69"/>
      <c r="H615" s="369"/>
      <c r="I615" s="376"/>
      <c r="J615" s="369"/>
      <c r="K615" s="370"/>
      <c r="L615" s="369"/>
      <c r="M615" s="369"/>
      <c r="N615" s="225"/>
      <c r="O615" s="225"/>
      <c r="P615" s="225"/>
      <c r="Q615" s="225"/>
      <c r="R615" s="225"/>
      <c r="S615" s="337"/>
      <c r="T615" s="224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69"/>
      <c r="H616" s="369"/>
      <c r="I616" s="376"/>
      <c r="J616" s="369"/>
      <c r="K616" s="370"/>
      <c r="L616" s="369"/>
      <c r="M616" s="369"/>
      <c r="N616" s="225"/>
      <c r="O616" s="225"/>
      <c r="P616" s="225"/>
      <c r="Q616" s="225"/>
      <c r="R616" s="225"/>
      <c r="S616" s="337"/>
      <c r="T616" s="224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69"/>
      <c r="H617" s="369"/>
      <c r="I617" s="376"/>
      <c r="J617" s="369"/>
      <c r="K617" s="370"/>
      <c r="L617" s="369"/>
      <c r="M617" s="369"/>
      <c r="N617" s="225"/>
      <c r="O617" s="225"/>
      <c r="P617" s="225"/>
      <c r="Q617" s="225"/>
      <c r="R617" s="225"/>
      <c r="S617" s="337"/>
      <c r="T617" s="224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69"/>
      <c r="H618" s="369"/>
      <c r="I618" s="376"/>
      <c r="J618" s="369"/>
      <c r="K618" s="370"/>
      <c r="L618" s="369"/>
      <c r="M618" s="369"/>
      <c r="N618" s="225"/>
      <c r="O618" s="225"/>
      <c r="P618" s="225"/>
      <c r="Q618" s="225"/>
      <c r="R618" s="225"/>
      <c r="S618" s="337"/>
      <c r="T618" s="224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69"/>
      <c r="H619" s="369"/>
      <c r="I619" s="376"/>
      <c r="J619" s="369"/>
      <c r="K619" s="370"/>
      <c r="L619" s="369"/>
      <c r="M619" s="369"/>
      <c r="N619" s="225"/>
      <c r="O619" s="225"/>
      <c r="P619" s="225"/>
      <c r="Q619" s="225"/>
      <c r="R619" s="225"/>
      <c r="S619" s="337"/>
      <c r="T619" s="224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69"/>
      <c r="H620" s="369"/>
      <c r="I620" s="376"/>
      <c r="J620" s="369"/>
      <c r="K620" s="370"/>
      <c r="L620" s="369"/>
      <c r="M620" s="369"/>
      <c r="N620" s="225"/>
      <c r="O620" s="225"/>
      <c r="P620" s="225"/>
      <c r="Q620" s="225"/>
      <c r="R620" s="225"/>
      <c r="S620" s="337"/>
      <c r="T620" s="224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69"/>
      <c r="H621" s="369"/>
      <c r="I621" s="376"/>
      <c r="J621" s="369"/>
      <c r="K621" s="370"/>
      <c r="L621" s="369"/>
      <c r="M621" s="369"/>
      <c r="N621" s="225"/>
      <c r="O621" s="225"/>
      <c r="P621" s="225"/>
      <c r="Q621" s="225"/>
      <c r="R621" s="225"/>
      <c r="S621" s="337"/>
      <c r="T621" s="224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69"/>
      <c r="H622" s="369"/>
      <c r="I622" s="376"/>
      <c r="J622" s="369"/>
      <c r="K622" s="370"/>
      <c r="L622" s="369"/>
      <c r="M622" s="369"/>
      <c r="N622" s="225"/>
      <c r="O622" s="225"/>
      <c r="P622" s="225"/>
      <c r="Q622" s="225"/>
      <c r="R622" s="225"/>
      <c r="S622" s="337"/>
      <c r="T622" s="224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69"/>
      <c r="H623" s="369"/>
      <c r="I623" s="376"/>
      <c r="J623" s="369"/>
      <c r="K623" s="370"/>
      <c r="L623" s="369"/>
      <c r="M623" s="369"/>
      <c r="N623" s="225"/>
      <c r="O623" s="225"/>
      <c r="P623" s="225"/>
      <c r="Q623" s="225"/>
      <c r="R623" s="225"/>
      <c r="S623" s="337"/>
      <c r="T623" s="224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69"/>
      <c r="H624" s="369"/>
      <c r="I624" s="376"/>
      <c r="J624" s="369"/>
      <c r="K624" s="370"/>
      <c r="L624" s="369"/>
      <c r="M624" s="369"/>
      <c r="N624" s="225"/>
      <c r="O624" s="225"/>
      <c r="P624" s="225"/>
      <c r="Q624" s="225"/>
      <c r="R624" s="225"/>
      <c r="S624" s="337"/>
      <c r="T624" s="224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69"/>
      <c r="H625" s="369"/>
      <c r="I625" s="376"/>
      <c r="J625" s="369"/>
      <c r="K625" s="370"/>
      <c r="L625" s="369"/>
      <c r="M625" s="369"/>
      <c r="N625" s="225"/>
      <c r="O625" s="225"/>
      <c r="P625" s="225"/>
      <c r="Q625" s="225"/>
      <c r="R625" s="225"/>
      <c r="S625" s="337"/>
      <c r="T625" s="224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69"/>
      <c r="H626" s="369"/>
      <c r="I626" s="376"/>
      <c r="J626" s="369"/>
      <c r="K626" s="370"/>
      <c r="L626" s="369"/>
      <c r="M626" s="369"/>
      <c r="N626" s="225"/>
      <c r="O626" s="225"/>
      <c r="P626" s="225"/>
      <c r="Q626" s="225"/>
      <c r="R626" s="225"/>
      <c r="S626" s="337"/>
      <c r="T626" s="224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69"/>
      <c r="H627" s="369"/>
      <c r="I627" s="376"/>
      <c r="J627" s="369"/>
      <c r="K627" s="370"/>
      <c r="L627" s="369"/>
      <c r="M627" s="369"/>
      <c r="N627" s="225"/>
      <c r="O627" s="225"/>
      <c r="P627" s="225"/>
      <c r="Q627" s="225"/>
      <c r="R627" s="225"/>
      <c r="S627" s="337"/>
      <c r="T627" s="224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69"/>
      <c r="H628" s="369"/>
      <c r="I628" s="376"/>
      <c r="J628" s="369"/>
      <c r="K628" s="370"/>
      <c r="L628" s="369"/>
      <c r="M628" s="369"/>
      <c r="N628" s="225"/>
      <c r="O628" s="225"/>
      <c r="P628" s="225"/>
      <c r="Q628" s="225"/>
      <c r="R628" s="225"/>
      <c r="S628" s="337"/>
      <c r="T628" s="224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69"/>
      <c r="H629" s="369"/>
      <c r="I629" s="376"/>
      <c r="J629" s="369"/>
      <c r="K629" s="370"/>
      <c r="L629" s="369"/>
      <c r="M629" s="369"/>
      <c r="N629" s="225"/>
      <c r="O629" s="225"/>
      <c r="P629" s="225"/>
      <c r="Q629" s="225"/>
      <c r="R629" s="225"/>
      <c r="S629" s="337"/>
      <c r="T629" s="224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69"/>
      <c r="H630" s="369"/>
      <c r="I630" s="376"/>
      <c r="J630" s="369"/>
      <c r="K630" s="370"/>
      <c r="L630" s="369"/>
      <c r="M630" s="369"/>
      <c r="N630" s="225"/>
      <c r="O630" s="225"/>
      <c r="P630" s="225"/>
      <c r="Q630" s="225"/>
      <c r="R630" s="225"/>
      <c r="S630" s="337"/>
      <c r="T630" s="224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69"/>
      <c r="H631" s="369"/>
      <c r="I631" s="376"/>
      <c r="J631" s="369"/>
      <c r="K631" s="370"/>
      <c r="L631" s="369"/>
      <c r="M631" s="369"/>
      <c r="N631" s="225"/>
      <c r="O631" s="225"/>
      <c r="P631" s="225"/>
      <c r="Q631" s="225"/>
      <c r="R631" s="225"/>
      <c r="S631" s="337"/>
      <c r="T631" s="224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69"/>
      <c r="H632" s="369"/>
      <c r="I632" s="376"/>
      <c r="J632" s="369"/>
      <c r="K632" s="370"/>
      <c r="L632" s="369"/>
      <c r="M632" s="369"/>
      <c r="N632" s="225"/>
      <c r="O632" s="225"/>
      <c r="P632" s="225"/>
      <c r="Q632" s="225"/>
      <c r="R632" s="225"/>
      <c r="S632" s="337"/>
      <c r="T632" s="224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69"/>
      <c r="H633" s="369"/>
      <c r="I633" s="376"/>
      <c r="J633" s="369"/>
      <c r="K633" s="370"/>
      <c r="L633" s="369"/>
      <c r="M633" s="369"/>
      <c r="N633" s="225"/>
      <c r="O633" s="225"/>
      <c r="P633" s="225"/>
      <c r="Q633" s="225"/>
      <c r="R633" s="225"/>
      <c r="S633" s="337"/>
      <c r="T633" s="224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69"/>
      <c r="H634" s="369"/>
      <c r="I634" s="376"/>
      <c r="J634" s="369"/>
      <c r="K634" s="370"/>
      <c r="L634" s="369"/>
      <c r="M634" s="369"/>
      <c r="N634" s="225"/>
      <c r="O634" s="225"/>
      <c r="P634" s="225"/>
      <c r="Q634" s="225"/>
      <c r="R634" s="225"/>
      <c r="S634" s="337"/>
      <c r="T634" s="224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69"/>
      <c r="H635" s="369"/>
      <c r="I635" s="376"/>
      <c r="J635" s="369"/>
      <c r="K635" s="370"/>
      <c r="L635" s="369"/>
      <c r="M635" s="369"/>
      <c r="N635" s="225"/>
      <c r="O635" s="225"/>
      <c r="P635" s="225"/>
      <c r="Q635" s="225"/>
      <c r="R635" s="225"/>
      <c r="S635" s="337"/>
      <c r="T635" s="224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69"/>
      <c r="H636" s="369"/>
      <c r="I636" s="376"/>
      <c r="J636" s="369"/>
      <c r="K636" s="370"/>
      <c r="L636" s="369"/>
      <c r="M636" s="369"/>
      <c r="N636" s="225"/>
      <c r="O636" s="225"/>
      <c r="P636" s="225"/>
      <c r="Q636" s="225"/>
      <c r="R636" s="225"/>
      <c r="S636" s="337"/>
      <c r="T636" s="224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69"/>
      <c r="H637" s="369"/>
      <c r="I637" s="376"/>
      <c r="J637" s="369"/>
      <c r="K637" s="370"/>
      <c r="L637" s="369"/>
      <c r="M637" s="369"/>
      <c r="N637" s="225"/>
      <c r="O637" s="225"/>
      <c r="P637" s="225"/>
      <c r="Q637" s="225"/>
      <c r="R637" s="225"/>
      <c r="S637" s="337"/>
      <c r="T637" s="224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69"/>
      <c r="H638" s="369"/>
      <c r="I638" s="376"/>
      <c r="J638" s="369"/>
      <c r="K638" s="370"/>
      <c r="L638" s="369"/>
      <c r="M638" s="369"/>
      <c r="N638" s="225"/>
      <c r="O638" s="225"/>
      <c r="P638" s="225"/>
      <c r="Q638" s="225"/>
      <c r="R638" s="225"/>
      <c r="S638" s="337"/>
      <c r="T638" s="224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69"/>
      <c r="H639" s="369"/>
      <c r="I639" s="376"/>
      <c r="J639" s="369"/>
      <c r="K639" s="370"/>
      <c r="L639" s="369"/>
      <c r="M639" s="369"/>
      <c r="N639" s="225"/>
      <c r="O639" s="225"/>
      <c r="P639" s="225"/>
      <c r="Q639" s="225"/>
      <c r="R639" s="225"/>
      <c r="S639" s="337"/>
      <c r="T639" s="224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69"/>
      <c r="H640" s="369"/>
      <c r="I640" s="376"/>
      <c r="J640" s="369"/>
      <c r="K640" s="370"/>
      <c r="L640" s="369"/>
      <c r="M640" s="369"/>
      <c r="N640" s="225"/>
      <c r="O640" s="225"/>
      <c r="P640" s="225"/>
      <c r="Q640" s="225"/>
      <c r="R640" s="225"/>
      <c r="S640" s="337"/>
      <c r="T640" s="224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69"/>
      <c r="H641" s="369"/>
      <c r="I641" s="376"/>
      <c r="J641" s="369"/>
      <c r="K641" s="370"/>
      <c r="L641" s="369"/>
      <c r="M641" s="369"/>
      <c r="N641" s="225"/>
      <c r="O641" s="225"/>
      <c r="P641" s="225"/>
      <c r="Q641" s="225"/>
      <c r="R641" s="225"/>
      <c r="S641" s="337"/>
      <c r="T641" s="224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69"/>
      <c r="H642" s="369"/>
      <c r="I642" s="376"/>
      <c r="J642" s="369"/>
      <c r="K642" s="370"/>
      <c r="L642" s="369"/>
      <c r="M642" s="369"/>
      <c r="N642" s="225"/>
      <c r="O642" s="225"/>
      <c r="P642" s="225"/>
      <c r="Q642" s="225"/>
      <c r="R642" s="225"/>
      <c r="S642" s="337"/>
      <c r="T642" s="224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69"/>
      <c r="H643" s="369"/>
      <c r="I643" s="376"/>
      <c r="J643" s="369"/>
      <c r="K643" s="370"/>
      <c r="L643" s="369"/>
      <c r="M643" s="369"/>
      <c r="N643" s="225"/>
      <c r="O643" s="225"/>
      <c r="P643" s="225"/>
      <c r="Q643" s="225"/>
      <c r="R643" s="225"/>
      <c r="S643" s="337"/>
      <c r="T643" s="224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69"/>
      <c r="H644" s="369"/>
      <c r="I644" s="376"/>
      <c r="J644" s="369"/>
      <c r="K644" s="370"/>
      <c r="L644" s="369"/>
      <c r="M644" s="369"/>
      <c r="N644" s="225"/>
      <c r="O644" s="225"/>
      <c r="P644" s="225"/>
      <c r="Q644" s="225"/>
      <c r="R644" s="225"/>
      <c r="S644" s="337"/>
      <c r="T644" s="224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69"/>
      <c r="H645" s="369"/>
      <c r="I645" s="376"/>
      <c r="J645" s="369"/>
      <c r="K645" s="370"/>
      <c r="L645" s="369"/>
      <c r="M645" s="369"/>
      <c r="N645" s="225"/>
      <c r="O645" s="225"/>
      <c r="P645" s="225"/>
      <c r="Q645" s="225"/>
      <c r="R645" s="225"/>
      <c r="S645" s="337"/>
      <c r="T645" s="224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69"/>
      <c r="H646" s="369"/>
      <c r="I646" s="376"/>
      <c r="J646" s="369"/>
      <c r="K646" s="370"/>
      <c r="L646" s="369"/>
      <c r="M646" s="369"/>
      <c r="N646" s="225"/>
      <c r="O646" s="225"/>
      <c r="P646" s="225"/>
      <c r="Q646" s="225"/>
      <c r="R646" s="225"/>
      <c r="S646" s="337"/>
      <c r="T646" s="224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69"/>
      <c r="H647" s="369"/>
      <c r="I647" s="376"/>
      <c r="J647" s="369"/>
      <c r="K647" s="370"/>
      <c r="L647" s="369"/>
      <c r="M647" s="369"/>
      <c r="N647" s="225"/>
      <c r="O647" s="225"/>
      <c r="P647" s="225"/>
      <c r="Q647" s="225"/>
      <c r="R647" s="225"/>
      <c r="S647" s="337"/>
      <c r="T647" s="224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69"/>
      <c r="H648" s="369"/>
      <c r="I648" s="376"/>
      <c r="J648" s="369"/>
      <c r="K648" s="370"/>
      <c r="L648" s="369"/>
      <c r="M648" s="369"/>
      <c r="N648" s="225"/>
      <c r="O648" s="225"/>
      <c r="P648" s="225"/>
      <c r="Q648" s="225"/>
      <c r="R648" s="225"/>
      <c r="S648" s="337"/>
      <c r="T648" s="224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69"/>
      <c r="H649" s="369"/>
      <c r="I649" s="376"/>
      <c r="J649" s="369"/>
      <c r="K649" s="370"/>
      <c r="L649" s="369"/>
      <c r="M649" s="369"/>
      <c r="N649" s="225"/>
      <c r="O649" s="225"/>
      <c r="P649" s="225"/>
      <c r="Q649" s="225"/>
      <c r="R649" s="225"/>
      <c r="S649" s="337"/>
      <c r="T649" s="224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69"/>
      <c r="H650" s="369"/>
      <c r="I650" s="376"/>
      <c r="J650" s="369"/>
      <c r="K650" s="370"/>
      <c r="L650" s="369"/>
      <c r="M650" s="369"/>
      <c r="N650" s="225"/>
      <c r="O650" s="225"/>
      <c r="P650" s="225"/>
      <c r="Q650" s="225"/>
      <c r="R650" s="225"/>
      <c r="S650" s="337"/>
      <c r="T650" s="224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69"/>
      <c r="H651" s="369"/>
      <c r="I651" s="376"/>
      <c r="J651" s="369"/>
      <c r="K651" s="370"/>
      <c r="L651" s="369"/>
      <c r="M651" s="369"/>
      <c r="N651" s="225"/>
      <c r="O651" s="225"/>
      <c r="P651" s="225"/>
      <c r="Q651" s="225"/>
      <c r="R651" s="225"/>
      <c r="S651" s="337"/>
      <c r="T651" s="224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69"/>
      <c r="H652" s="369"/>
      <c r="I652" s="376"/>
      <c r="J652" s="369"/>
      <c r="K652" s="370"/>
      <c r="L652" s="369"/>
      <c r="M652" s="369"/>
      <c r="N652" s="225"/>
      <c r="O652" s="225"/>
      <c r="P652" s="225"/>
      <c r="Q652" s="225"/>
      <c r="R652" s="225"/>
      <c r="S652" s="337"/>
      <c r="T652" s="224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69"/>
      <c r="H653" s="369"/>
      <c r="I653" s="376"/>
      <c r="J653" s="369"/>
      <c r="K653" s="370"/>
      <c r="L653" s="369"/>
      <c r="M653" s="369"/>
      <c r="N653" s="225"/>
      <c r="O653" s="225"/>
      <c r="P653" s="225"/>
      <c r="Q653" s="225"/>
      <c r="R653" s="225"/>
      <c r="S653" s="337"/>
      <c r="T653" s="224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69"/>
      <c r="H654" s="369"/>
      <c r="I654" s="376"/>
      <c r="J654" s="369"/>
      <c r="K654" s="370"/>
      <c r="L654" s="369"/>
      <c r="M654" s="369"/>
      <c r="N654" s="225"/>
      <c r="O654" s="225"/>
      <c r="P654" s="225"/>
      <c r="Q654" s="225"/>
      <c r="R654" s="225"/>
      <c r="S654" s="337"/>
      <c r="T654" s="224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69"/>
      <c r="H655" s="369"/>
      <c r="I655" s="376"/>
      <c r="J655" s="369"/>
      <c r="K655" s="370"/>
      <c r="L655" s="369"/>
      <c r="M655" s="369"/>
      <c r="N655" s="225"/>
      <c r="O655" s="225"/>
      <c r="P655" s="225"/>
      <c r="Q655" s="225"/>
      <c r="R655" s="225"/>
      <c r="S655" s="337"/>
      <c r="T655" s="224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69"/>
      <c r="H656" s="369"/>
      <c r="I656" s="376"/>
      <c r="J656" s="369"/>
      <c r="K656" s="370"/>
      <c r="L656" s="369"/>
      <c r="M656" s="369"/>
      <c r="N656" s="225"/>
      <c r="O656" s="225"/>
      <c r="P656" s="225"/>
      <c r="Q656" s="225"/>
      <c r="R656" s="225"/>
      <c r="S656" s="337"/>
      <c r="T656" s="224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69"/>
      <c r="H657" s="369"/>
      <c r="I657" s="376"/>
      <c r="J657" s="369"/>
      <c r="K657" s="370"/>
      <c r="L657" s="369"/>
      <c r="M657" s="369"/>
      <c r="N657" s="225"/>
      <c r="O657" s="225"/>
      <c r="P657" s="225"/>
      <c r="Q657" s="225"/>
      <c r="R657" s="225"/>
      <c r="S657" s="337"/>
      <c r="T657" s="224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69"/>
      <c r="H658" s="369"/>
      <c r="I658" s="376"/>
      <c r="J658" s="369"/>
      <c r="K658" s="370"/>
      <c r="L658" s="369"/>
      <c r="M658" s="369"/>
      <c r="N658" s="225"/>
      <c r="O658" s="225"/>
      <c r="P658" s="225"/>
      <c r="Q658" s="225"/>
      <c r="R658" s="225"/>
      <c r="S658" s="337"/>
      <c r="T658" s="224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69"/>
      <c r="H659" s="369"/>
      <c r="I659" s="376"/>
      <c r="J659" s="369"/>
      <c r="K659" s="370"/>
      <c r="L659" s="369"/>
      <c r="M659" s="369"/>
      <c r="N659" s="225"/>
      <c r="O659" s="225"/>
      <c r="P659" s="225"/>
      <c r="Q659" s="225"/>
      <c r="R659" s="225"/>
      <c r="S659" s="337"/>
      <c r="T659" s="224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69"/>
      <c r="H660" s="369"/>
      <c r="I660" s="376"/>
      <c r="J660" s="369"/>
      <c r="K660" s="370"/>
      <c r="L660" s="369"/>
      <c r="M660" s="369"/>
      <c r="N660" s="225"/>
      <c r="O660" s="225"/>
      <c r="P660" s="225"/>
      <c r="Q660" s="225"/>
      <c r="R660" s="225"/>
      <c r="S660" s="337"/>
      <c r="T660" s="224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69"/>
      <c r="H661" s="369"/>
      <c r="I661" s="376"/>
      <c r="J661" s="369"/>
      <c r="K661" s="370"/>
      <c r="L661" s="369"/>
      <c r="M661" s="369"/>
      <c r="N661" s="225"/>
      <c r="O661" s="225"/>
      <c r="P661" s="225"/>
      <c r="Q661" s="225"/>
      <c r="R661" s="225"/>
      <c r="S661" s="337"/>
      <c r="T661" s="224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69"/>
      <c r="H662" s="369"/>
      <c r="I662" s="376"/>
      <c r="J662" s="369"/>
      <c r="K662" s="370"/>
      <c r="L662" s="369"/>
      <c r="M662" s="369"/>
      <c r="N662" s="225"/>
      <c r="O662" s="225"/>
      <c r="P662" s="225"/>
      <c r="Q662" s="225"/>
      <c r="R662" s="225"/>
      <c r="S662" s="337"/>
      <c r="T662" s="224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69"/>
      <c r="H663" s="369"/>
      <c r="I663" s="376"/>
      <c r="J663" s="369"/>
      <c r="K663" s="370"/>
      <c r="L663" s="369"/>
      <c r="M663" s="369"/>
      <c r="N663" s="225"/>
      <c r="O663" s="225"/>
      <c r="P663" s="225"/>
      <c r="Q663" s="225"/>
      <c r="R663" s="225"/>
      <c r="S663" s="337"/>
      <c r="T663" s="224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69"/>
      <c r="H664" s="369"/>
      <c r="I664" s="376"/>
      <c r="J664" s="369"/>
      <c r="K664" s="370"/>
      <c r="L664" s="369"/>
      <c r="M664" s="369"/>
      <c r="N664" s="225"/>
      <c r="O664" s="225"/>
      <c r="P664" s="225"/>
      <c r="Q664" s="225"/>
      <c r="R664" s="225"/>
      <c r="S664" s="337"/>
      <c r="T664" s="224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69"/>
      <c r="H665" s="369"/>
      <c r="I665" s="376"/>
      <c r="J665" s="369"/>
      <c r="K665" s="370"/>
      <c r="L665" s="369"/>
      <c r="M665" s="369"/>
      <c r="N665" s="225"/>
      <c r="O665" s="225"/>
      <c r="P665" s="225"/>
      <c r="Q665" s="225"/>
      <c r="R665" s="225"/>
      <c r="S665" s="337"/>
      <c r="T665" s="224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69"/>
      <c r="H666" s="369"/>
      <c r="I666" s="376"/>
      <c r="J666" s="369"/>
      <c r="K666" s="370"/>
      <c r="L666" s="369"/>
      <c r="M666" s="369"/>
      <c r="N666" s="225"/>
      <c r="O666" s="225"/>
      <c r="P666" s="225"/>
      <c r="Q666" s="225"/>
      <c r="R666" s="225"/>
      <c r="S666" s="337"/>
      <c r="T666" s="224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69"/>
      <c r="H667" s="369"/>
      <c r="I667" s="376"/>
      <c r="J667" s="369"/>
      <c r="K667" s="370"/>
      <c r="L667" s="369"/>
      <c r="M667" s="369"/>
      <c r="N667" s="225"/>
      <c r="O667" s="225"/>
      <c r="P667" s="225"/>
      <c r="Q667" s="225"/>
      <c r="R667" s="225"/>
      <c r="S667" s="337"/>
      <c r="T667" s="224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69"/>
      <c r="H668" s="369"/>
      <c r="I668" s="376"/>
      <c r="J668" s="369"/>
      <c r="K668" s="370"/>
      <c r="L668" s="369"/>
      <c r="M668" s="369"/>
      <c r="N668" s="225"/>
      <c r="O668" s="225"/>
      <c r="P668" s="225"/>
      <c r="Q668" s="225"/>
      <c r="R668" s="225"/>
      <c r="S668" s="337"/>
      <c r="T668" s="224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69"/>
      <c r="H669" s="369"/>
      <c r="I669" s="376"/>
      <c r="J669" s="369"/>
      <c r="K669" s="370"/>
      <c r="L669" s="369"/>
      <c r="M669" s="369"/>
      <c r="N669" s="225"/>
      <c r="O669" s="225"/>
      <c r="P669" s="225"/>
      <c r="Q669" s="225"/>
      <c r="R669" s="225"/>
      <c r="S669" s="337"/>
      <c r="T669" s="224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69"/>
      <c r="H670" s="369"/>
      <c r="I670" s="376"/>
      <c r="J670" s="369"/>
      <c r="K670" s="370"/>
      <c r="L670" s="369"/>
      <c r="M670" s="369"/>
      <c r="N670" s="225"/>
      <c r="O670" s="225"/>
      <c r="P670" s="225"/>
      <c r="Q670" s="225"/>
      <c r="R670" s="225"/>
      <c r="S670" s="337"/>
      <c r="T670" s="224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69"/>
      <c r="H671" s="369"/>
      <c r="I671" s="376"/>
      <c r="J671" s="369"/>
      <c r="K671" s="370"/>
      <c r="L671" s="369"/>
      <c r="M671" s="369"/>
      <c r="N671" s="225"/>
      <c r="O671" s="225"/>
      <c r="P671" s="225"/>
      <c r="Q671" s="225"/>
      <c r="R671" s="225"/>
      <c r="S671" s="337"/>
      <c r="T671" s="224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69"/>
      <c r="H672" s="369"/>
      <c r="I672" s="376"/>
      <c r="J672" s="369"/>
      <c r="K672" s="370"/>
      <c r="L672" s="369"/>
      <c r="M672" s="369"/>
      <c r="N672" s="225"/>
      <c r="O672" s="225"/>
      <c r="P672" s="225"/>
      <c r="Q672" s="225"/>
      <c r="R672" s="225"/>
      <c r="S672" s="337"/>
      <c r="T672" s="224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69"/>
      <c r="H673" s="369"/>
      <c r="I673" s="376"/>
      <c r="J673" s="369"/>
      <c r="K673" s="370"/>
      <c r="L673" s="369"/>
      <c r="M673" s="369"/>
      <c r="N673" s="225"/>
      <c r="O673" s="225"/>
      <c r="P673" s="225"/>
      <c r="Q673" s="225"/>
      <c r="R673" s="225"/>
      <c r="S673" s="337"/>
      <c r="T673" s="224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69"/>
      <c r="H674" s="369"/>
      <c r="I674" s="376"/>
      <c r="J674" s="369"/>
      <c r="K674" s="370"/>
      <c r="L674" s="369"/>
      <c r="M674" s="369"/>
      <c r="N674" s="225"/>
      <c r="O674" s="225"/>
      <c r="P674" s="225"/>
      <c r="Q674" s="225"/>
      <c r="R674" s="225"/>
      <c r="S674" s="337"/>
      <c r="T674" s="224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69"/>
      <c r="H675" s="369"/>
      <c r="I675" s="376"/>
      <c r="J675" s="369"/>
      <c r="K675" s="370"/>
      <c r="L675" s="369"/>
      <c r="M675" s="369"/>
      <c r="N675" s="225"/>
      <c r="O675" s="225"/>
      <c r="P675" s="225"/>
      <c r="Q675" s="225"/>
      <c r="R675" s="225"/>
      <c r="S675" s="337"/>
      <c r="T675" s="224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69"/>
      <c r="H676" s="369"/>
      <c r="I676" s="376"/>
      <c r="J676" s="369"/>
      <c r="K676" s="370"/>
      <c r="L676" s="369"/>
      <c r="M676" s="369"/>
      <c r="N676" s="225"/>
      <c r="O676" s="225"/>
      <c r="P676" s="225"/>
      <c r="Q676" s="225"/>
      <c r="R676" s="225"/>
      <c r="S676" s="337"/>
      <c r="T676" s="224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69"/>
      <c r="H677" s="369"/>
      <c r="I677" s="376"/>
      <c r="J677" s="369"/>
      <c r="K677" s="370"/>
      <c r="L677" s="369"/>
      <c r="M677" s="369"/>
      <c r="N677" s="225"/>
      <c r="O677" s="225"/>
      <c r="P677" s="225"/>
      <c r="Q677" s="225"/>
      <c r="R677" s="225"/>
      <c r="S677" s="337"/>
      <c r="T677" s="224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69"/>
      <c r="H678" s="369"/>
      <c r="I678" s="376"/>
      <c r="J678" s="369"/>
      <c r="K678" s="370"/>
      <c r="L678" s="369"/>
      <c r="M678" s="369"/>
      <c r="N678" s="225"/>
      <c r="O678" s="225"/>
      <c r="P678" s="225"/>
      <c r="Q678" s="225"/>
      <c r="R678" s="225"/>
      <c r="S678" s="337"/>
      <c r="T678" s="224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69"/>
      <c r="H679" s="369"/>
      <c r="I679" s="376"/>
      <c r="J679" s="369"/>
      <c r="K679" s="370"/>
      <c r="L679" s="369"/>
      <c r="M679" s="369"/>
      <c r="N679" s="225"/>
      <c r="O679" s="225"/>
      <c r="P679" s="225"/>
      <c r="Q679" s="225"/>
      <c r="R679" s="225"/>
      <c r="S679" s="337"/>
      <c r="T679" s="224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69"/>
      <c r="H680" s="369"/>
      <c r="I680" s="376"/>
      <c r="J680" s="369"/>
      <c r="K680" s="370"/>
      <c r="L680" s="369"/>
      <c r="M680" s="369"/>
      <c r="N680" s="225"/>
      <c r="O680" s="225"/>
      <c r="P680" s="225"/>
      <c r="Q680" s="225"/>
      <c r="R680" s="225"/>
      <c r="S680" s="337"/>
      <c r="T680" s="224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69"/>
      <c r="H681" s="369"/>
      <c r="I681" s="376"/>
      <c r="J681" s="369"/>
      <c r="K681" s="370"/>
      <c r="L681" s="369"/>
      <c r="M681" s="369"/>
      <c r="N681" s="225"/>
      <c r="O681" s="225"/>
      <c r="P681" s="225"/>
      <c r="Q681" s="225"/>
      <c r="R681" s="225"/>
      <c r="S681" s="337"/>
      <c r="T681" s="224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69"/>
      <c r="H682" s="369"/>
      <c r="I682" s="376"/>
      <c r="J682" s="369"/>
      <c r="K682" s="370"/>
      <c r="L682" s="369"/>
      <c r="M682" s="369"/>
      <c r="N682" s="225"/>
      <c r="O682" s="225"/>
      <c r="P682" s="225"/>
      <c r="Q682" s="225"/>
      <c r="R682" s="225"/>
      <c r="S682" s="337"/>
      <c r="T682" s="224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69"/>
      <c r="H683" s="369"/>
      <c r="I683" s="376"/>
      <c r="J683" s="369"/>
      <c r="K683" s="370"/>
      <c r="L683" s="369"/>
      <c r="M683" s="369"/>
      <c r="N683" s="225"/>
      <c r="O683" s="225"/>
      <c r="P683" s="225"/>
      <c r="Q683" s="225"/>
      <c r="R683" s="225"/>
      <c r="S683" s="337"/>
      <c r="T683" s="224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69"/>
      <c r="H684" s="369"/>
      <c r="I684" s="376"/>
      <c r="J684" s="369"/>
      <c r="K684" s="370"/>
      <c r="L684" s="369"/>
      <c r="M684" s="369"/>
      <c r="N684" s="225"/>
      <c r="O684" s="225"/>
      <c r="P684" s="225"/>
      <c r="Q684" s="225"/>
      <c r="R684" s="225"/>
      <c r="S684" s="337"/>
      <c r="T684" s="224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69"/>
      <c r="H685" s="369"/>
      <c r="I685" s="376"/>
      <c r="J685" s="369"/>
      <c r="K685" s="370"/>
      <c r="L685" s="369"/>
      <c r="M685" s="369"/>
      <c r="N685" s="225"/>
      <c r="O685" s="225"/>
      <c r="P685" s="225"/>
      <c r="Q685" s="225"/>
      <c r="R685" s="225"/>
      <c r="S685" s="337"/>
      <c r="T685" s="224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69"/>
      <c r="H686" s="369"/>
      <c r="I686" s="376"/>
      <c r="J686" s="369"/>
      <c r="K686" s="370"/>
      <c r="L686" s="369"/>
      <c r="M686" s="369"/>
      <c r="N686" s="225"/>
      <c r="O686" s="225"/>
      <c r="P686" s="225"/>
      <c r="Q686" s="225"/>
      <c r="R686" s="225"/>
      <c r="S686" s="337"/>
      <c r="T686" s="224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69"/>
      <c r="H687" s="369"/>
      <c r="I687" s="376"/>
      <c r="J687" s="369"/>
      <c r="K687" s="370"/>
      <c r="L687" s="369"/>
      <c r="M687" s="369"/>
      <c r="N687" s="225"/>
      <c r="O687" s="225"/>
      <c r="P687" s="225"/>
      <c r="Q687" s="225"/>
      <c r="R687" s="225"/>
      <c r="S687" s="337"/>
      <c r="T687" s="224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69"/>
      <c r="H688" s="369"/>
      <c r="I688" s="376"/>
      <c r="J688" s="369"/>
      <c r="K688" s="370"/>
      <c r="L688" s="369"/>
      <c r="M688" s="369"/>
      <c r="N688" s="225"/>
      <c r="O688" s="225"/>
      <c r="P688" s="225"/>
      <c r="Q688" s="225"/>
      <c r="R688" s="225"/>
      <c r="S688" s="337"/>
      <c r="T688" s="224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69"/>
      <c r="H689" s="369"/>
      <c r="I689" s="376"/>
      <c r="J689" s="369"/>
      <c r="K689" s="370"/>
      <c r="L689" s="369"/>
      <c r="M689" s="369"/>
      <c r="N689" s="225"/>
      <c r="O689" s="225"/>
      <c r="P689" s="225"/>
      <c r="Q689" s="225"/>
      <c r="R689" s="225"/>
      <c r="S689" s="337"/>
      <c r="T689" s="224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69"/>
      <c r="H690" s="369"/>
      <c r="I690" s="376"/>
      <c r="J690" s="369"/>
      <c r="K690" s="370"/>
      <c r="L690" s="369"/>
      <c r="M690" s="369"/>
      <c r="N690" s="225"/>
      <c r="O690" s="225"/>
      <c r="P690" s="225"/>
      <c r="Q690" s="225"/>
      <c r="R690" s="225"/>
      <c r="S690" s="337"/>
      <c r="T690" s="224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69"/>
      <c r="H691" s="369"/>
      <c r="I691" s="376"/>
      <c r="J691" s="369"/>
      <c r="K691" s="370"/>
      <c r="L691" s="369"/>
      <c r="M691" s="369"/>
      <c r="N691" s="225"/>
      <c r="O691" s="225"/>
      <c r="P691" s="225"/>
      <c r="Q691" s="225"/>
      <c r="R691" s="225"/>
      <c r="S691" s="337"/>
      <c r="T691" s="224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69"/>
      <c r="H692" s="369"/>
      <c r="I692" s="376"/>
      <c r="J692" s="369"/>
      <c r="K692" s="370"/>
      <c r="L692" s="369"/>
      <c r="M692" s="369"/>
      <c r="N692" s="225"/>
      <c r="O692" s="225"/>
      <c r="P692" s="225"/>
      <c r="Q692" s="225"/>
      <c r="R692" s="225"/>
      <c r="S692" s="337"/>
      <c r="T692" s="224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69"/>
      <c r="H693" s="369"/>
      <c r="I693" s="376"/>
      <c r="J693" s="369"/>
      <c r="K693" s="370"/>
      <c r="L693" s="369"/>
      <c r="M693" s="369"/>
      <c r="N693" s="225"/>
      <c r="O693" s="225"/>
      <c r="P693" s="225"/>
      <c r="Q693" s="225"/>
      <c r="R693" s="225"/>
      <c r="S693" s="337"/>
      <c r="T693" s="224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69"/>
      <c r="H694" s="369"/>
      <c r="I694" s="376"/>
      <c r="J694" s="369"/>
      <c r="K694" s="370"/>
      <c r="L694" s="369"/>
      <c r="M694" s="369"/>
      <c r="N694" s="225"/>
      <c r="O694" s="225"/>
      <c r="P694" s="225"/>
      <c r="Q694" s="225"/>
      <c r="R694" s="225"/>
      <c r="S694" s="337"/>
      <c r="T694" s="224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69"/>
      <c r="H695" s="369"/>
      <c r="I695" s="376"/>
      <c r="J695" s="369"/>
      <c r="K695" s="370"/>
      <c r="L695" s="369"/>
      <c r="M695" s="369"/>
      <c r="N695" s="225"/>
      <c r="O695" s="225"/>
      <c r="P695" s="225"/>
      <c r="Q695" s="225"/>
      <c r="R695" s="225"/>
      <c r="S695" s="337"/>
      <c r="T695" s="224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69"/>
      <c r="H696" s="369"/>
      <c r="I696" s="376"/>
      <c r="J696" s="369"/>
      <c r="K696" s="370"/>
      <c r="L696" s="369"/>
      <c r="M696" s="369"/>
      <c r="N696" s="225"/>
      <c r="O696" s="225"/>
      <c r="P696" s="225"/>
      <c r="Q696" s="225"/>
      <c r="R696" s="225"/>
      <c r="S696" s="337"/>
      <c r="T696" s="224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69"/>
      <c r="H697" s="369"/>
      <c r="I697" s="376"/>
      <c r="J697" s="369"/>
      <c r="K697" s="370"/>
      <c r="L697" s="369"/>
      <c r="M697" s="369"/>
      <c r="N697" s="225"/>
      <c r="O697" s="225"/>
      <c r="P697" s="225"/>
      <c r="Q697" s="225"/>
      <c r="R697" s="225"/>
      <c r="S697" s="337"/>
      <c r="T697" s="224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69"/>
      <c r="H698" s="369"/>
      <c r="I698" s="376"/>
      <c r="J698" s="369"/>
      <c r="K698" s="370"/>
      <c r="L698" s="369"/>
      <c r="M698" s="369"/>
      <c r="N698" s="225"/>
      <c r="O698" s="225"/>
      <c r="P698" s="225"/>
      <c r="Q698" s="225"/>
      <c r="R698" s="225"/>
      <c r="S698" s="337"/>
      <c r="T698" s="224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69"/>
      <c r="H699" s="369"/>
      <c r="I699" s="376"/>
      <c r="J699" s="369"/>
      <c r="K699" s="370"/>
      <c r="L699" s="369"/>
      <c r="M699" s="369"/>
      <c r="N699" s="225"/>
      <c r="O699" s="225"/>
      <c r="P699" s="225"/>
      <c r="Q699" s="225"/>
      <c r="R699" s="225"/>
      <c r="S699" s="337"/>
      <c r="T699" s="224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69"/>
      <c r="H700" s="369"/>
      <c r="I700" s="376"/>
      <c r="J700" s="369"/>
      <c r="K700" s="370"/>
      <c r="L700" s="369"/>
      <c r="M700" s="369"/>
      <c r="N700" s="225"/>
      <c r="O700" s="225"/>
      <c r="P700" s="225"/>
      <c r="Q700" s="225"/>
      <c r="R700" s="225"/>
      <c r="S700" s="337"/>
      <c r="T700" s="224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69"/>
      <c r="H701" s="369"/>
      <c r="I701" s="376"/>
      <c r="J701" s="369"/>
      <c r="K701" s="370"/>
      <c r="L701" s="369"/>
      <c r="M701" s="369"/>
      <c r="N701" s="225"/>
      <c r="O701" s="225"/>
      <c r="P701" s="225"/>
      <c r="Q701" s="225"/>
      <c r="R701" s="225"/>
      <c r="S701" s="337"/>
      <c r="T701" s="224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69"/>
      <c r="H702" s="369"/>
      <c r="I702" s="376"/>
      <c r="J702" s="369"/>
      <c r="K702" s="370"/>
      <c r="L702" s="369"/>
      <c r="M702" s="369"/>
      <c r="N702" s="225"/>
      <c r="O702" s="225"/>
      <c r="P702" s="225"/>
      <c r="Q702" s="225"/>
      <c r="R702" s="225"/>
      <c r="S702" s="337"/>
      <c r="T702" s="224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69"/>
      <c r="H703" s="369"/>
      <c r="I703" s="376"/>
      <c r="J703" s="369"/>
      <c r="K703" s="370"/>
      <c r="L703" s="369"/>
      <c r="M703" s="369"/>
      <c r="N703" s="225"/>
      <c r="O703" s="225"/>
      <c r="P703" s="225"/>
      <c r="Q703" s="225"/>
      <c r="R703" s="225"/>
      <c r="S703" s="337"/>
      <c r="T703" s="224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69"/>
      <c r="H704" s="369"/>
      <c r="I704" s="376"/>
      <c r="J704" s="369"/>
      <c r="K704" s="370"/>
      <c r="L704" s="369"/>
      <c r="M704" s="369"/>
      <c r="N704" s="225"/>
      <c r="O704" s="225"/>
      <c r="P704" s="225"/>
      <c r="Q704" s="225"/>
      <c r="R704" s="225"/>
      <c r="S704" s="337"/>
      <c r="T704" s="224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69"/>
      <c r="H705" s="369"/>
      <c r="I705" s="376"/>
      <c r="J705" s="369"/>
      <c r="K705" s="370"/>
      <c r="L705" s="369"/>
      <c r="M705" s="369"/>
      <c r="N705" s="225"/>
      <c r="O705" s="225"/>
      <c r="P705" s="225"/>
      <c r="Q705" s="225"/>
      <c r="R705" s="225"/>
      <c r="S705" s="337"/>
      <c r="T705" s="224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69"/>
      <c r="H706" s="369"/>
      <c r="I706" s="376"/>
      <c r="J706" s="369"/>
      <c r="K706" s="370"/>
      <c r="L706" s="369"/>
      <c r="M706" s="369"/>
      <c r="N706" s="225"/>
      <c r="O706" s="225"/>
      <c r="P706" s="225"/>
      <c r="Q706" s="225"/>
      <c r="R706" s="225"/>
      <c r="S706" s="337"/>
      <c r="T706" s="224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69"/>
      <c r="H707" s="369"/>
      <c r="I707" s="376"/>
      <c r="J707" s="369"/>
      <c r="K707" s="370"/>
      <c r="L707" s="369"/>
      <c r="M707" s="369"/>
      <c r="N707" s="225"/>
      <c r="O707" s="225"/>
      <c r="P707" s="225"/>
      <c r="Q707" s="225"/>
      <c r="R707" s="225"/>
      <c r="S707" s="337"/>
      <c r="T707" s="224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69"/>
      <c r="H708" s="369"/>
      <c r="I708" s="376"/>
      <c r="J708" s="369"/>
      <c r="K708" s="370"/>
      <c r="L708" s="369"/>
      <c r="M708" s="369"/>
      <c r="N708" s="225"/>
      <c r="O708" s="225"/>
      <c r="P708" s="225"/>
      <c r="Q708" s="225"/>
      <c r="R708" s="225"/>
      <c r="S708" s="337"/>
      <c r="T708" s="224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69"/>
      <c r="H709" s="369"/>
      <c r="I709" s="376"/>
      <c r="J709" s="369"/>
      <c r="K709" s="370"/>
      <c r="L709" s="369"/>
      <c r="M709" s="369"/>
      <c r="N709" s="225"/>
      <c r="O709" s="225"/>
      <c r="P709" s="225"/>
      <c r="Q709" s="225"/>
      <c r="R709" s="225"/>
      <c r="S709" s="337"/>
      <c r="T709" s="224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69"/>
      <c r="H710" s="369"/>
      <c r="I710" s="376"/>
      <c r="J710" s="369"/>
      <c r="K710" s="370"/>
      <c r="L710" s="369"/>
      <c r="M710" s="369"/>
      <c r="N710" s="225"/>
      <c r="O710" s="225"/>
      <c r="P710" s="225"/>
      <c r="Q710" s="225"/>
      <c r="R710" s="225"/>
      <c r="S710" s="337"/>
      <c r="T710" s="224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69"/>
      <c r="H711" s="369"/>
      <c r="I711" s="376"/>
      <c r="J711" s="369"/>
      <c r="K711" s="370"/>
      <c r="L711" s="369"/>
      <c r="M711" s="369"/>
      <c r="N711" s="225"/>
      <c r="O711" s="225"/>
      <c r="P711" s="225"/>
      <c r="Q711" s="225"/>
      <c r="R711" s="225"/>
      <c r="S711" s="337"/>
      <c r="T711" s="224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69"/>
      <c r="H712" s="369"/>
      <c r="I712" s="376"/>
      <c r="J712" s="369"/>
      <c r="K712" s="370"/>
      <c r="L712" s="369"/>
      <c r="M712" s="369"/>
      <c r="N712" s="225"/>
      <c r="O712" s="225"/>
      <c r="P712" s="225"/>
      <c r="Q712" s="225"/>
      <c r="R712" s="225"/>
      <c r="S712" s="337"/>
      <c r="T712" s="224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69"/>
      <c r="H713" s="369"/>
      <c r="I713" s="376"/>
      <c r="J713" s="369"/>
      <c r="K713" s="370"/>
      <c r="L713" s="369"/>
      <c r="M713" s="369"/>
      <c r="N713" s="225"/>
      <c r="O713" s="225"/>
      <c r="P713" s="225"/>
      <c r="Q713" s="225"/>
      <c r="R713" s="225"/>
      <c r="S713" s="337"/>
      <c r="T713" s="224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69"/>
      <c r="H714" s="369"/>
      <c r="I714" s="376"/>
      <c r="J714" s="369"/>
      <c r="K714" s="370"/>
      <c r="L714" s="369"/>
      <c r="M714" s="369"/>
      <c r="N714" s="225"/>
      <c r="O714" s="225"/>
      <c r="P714" s="225"/>
      <c r="Q714" s="225"/>
      <c r="R714" s="225"/>
      <c r="S714" s="337"/>
      <c r="T714" s="224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69"/>
      <c r="H715" s="369"/>
      <c r="I715" s="376"/>
      <c r="J715" s="369"/>
      <c r="K715" s="370"/>
      <c r="L715" s="369"/>
      <c r="M715" s="369"/>
      <c r="N715" s="225"/>
      <c r="O715" s="225"/>
      <c r="P715" s="225"/>
      <c r="Q715" s="225"/>
      <c r="R715" s="225"/>
      <c r="S715" s="337"/>
      <c r="T715" s="224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69"/>
      <c r="H716" s="369"/>
      <c r="I716" s="376"/>
      <c r="J716" s="369"/>
      <c r="K716" s="370"/>
      <c r="L716" s="369"/>
      <c r="M716" s="369"/>
      <c r="N716" s="225"/>
      <c r="O716" s="225"/>
      <c r="P716" s="225"/>
      <c r="Q716" s="225"/>
      <c r="R716" s="225"/>
      <c r="S716" s="337"/>
      <c r="T716" s="224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69"/>
      <c r="H717" s="369"/>
      <c r="I717" s="376"/>
      <c r="J717" s="369"/>
      <c r="K717" s="370"/>
      <c r="L717" s="369"/>
      <c r="M717" s="369"/>
      <c r="N717" s="225"/>
      <c r="O717" s="225"/>
      <c r="P717" s="225"/>
      <c r="Q717" s="225"/>
      <c r="R717" s="225"/>
      <c r="S717" s="337"/>
      <c r="T717" s="224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69"/>
      <c r="H718" s="369"/>
      <c r="I718" s="376"/>
      <c r="J718" s="369"/>
      <c r="K718" s="370"/>
      <c r="L718" s="369"/>
      <c r="M718" s="369"/>
      <c r="N718" s="225"/>
      <c r="O718" s="225"/>
      <c r="P718" s="225"/>
      <c r="Q718" s="225"/>
      <c r="R718" s="225"/>
      <c r="S718" s="337"/>
      <c r="T718" s="224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69"/>
      <c r="H719" s="369"/>
      <c r="I719" s="376"/>
      <c r="J719" s="369"/>
      <c r="K719" s="370"/>
      <c r="L719" s="369"/>
      <c r="M719" s="369"/>
      <c r="N719" s="225"/>
      <c r="O719" s="225"/>
      <c r="P719" s="225"/>
      <c r="Q719" s="225"/>
      <c r="R719" s="225"/>
      <c r="S719" s="337"/>
      <c r="T719" s="224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69"/>
      <c r="H720" s="369"/>
      <c r="I720" s="376"/>
      <c r="J720" s="369"/>
      <c r="K720" s="370"/>
      <c r="L720" s="369"/>
      <c r="M720" s="369"/>
      <c r="N720" s="225"/>
      <c r="O720" s="225"/>
      <c r="P720" s="225"/>
      <c r="Q720" s="225"/>
      <c r="R720" s="225"/>
      <c r="S720" s="337"/>
      <c r="T720" s="224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69"/>
      <c r="H721" s="369"/>
      <c r="I721" s="376"/>
      <c r="J721" s="369"/>
      <c r="K721" s="370"/>
      <c r="L721" s="369"/>
      <c r="M721" s="369"/>
      <c r="N721" s="225"/>
      <c r="O721" s="225"/>
      <c r="P721" s="225"/>
      <c r="Q721" s="225"/>
      <c r="R721" s="225"/>
      <c r="S721" s="337"/>
      <c r="T721" s="224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69"/>
      <c r="H722" s="369"/>
      <c r="I722" s="376"/>
      <c r="J722" s="369"/>
      <c r="K722" s="370"/>
      <c r="L722" s="369"/>
      <c r="M722" s="369"/>
      <c r="N722" s="225"/>
      <c r="O722" s="225"/>
      <c r="P722" s="225"/>
      <c r="Q722" s="225"/>
      <c r="R722" s="225"/>
      <c r="S722" s="337"/>
      <c r="T722" s="224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69"/>
      <c r="H723" s="369"/>
      <c r="I723" s="376"/>
      <c r="J723" s="369"/>
      <c r="K723" s="370"/>
      <c r="L723" s="369"/>
      <c r="M723" s="369"/>
      <c r="N723" s="225"/>
      <c r="O723" s="225"/>
      <c r="P723" s="225"/>
      <c r="Q723" s="225"/>
      <c r="R723" s="225"/>
      <c r="S723" s="337"/>
      <c r="T723" s="224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69"/>
      <c r="H724" s="369"/>
      <c r="I724" s="376"/>
      <c r="J724" s="369"/>
      <c r="K724" s="370"/>
      <c r="L724" s="369"/>
      <c r="M724" s="369"/>
      <c r="N724" s="225"/>
      <c r="O724" s="225"/>
      <c r="P724" s="225"/>
      <c r="Q724" s="225"/>
      <c r="R724" s="225"/>
      <c r="S724" s="337"/>
      <c r="T724" s="224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69"/>
      <c r="H725" s="369"/>
      <c r="I725" s="376"/>
      <c r="J725" s="369"/>
      <c r="K725" s="370"/>
      <c r="L725" s="369"/>
      <c r="M725" s="369"/>
      <c r="N725" s="225"/>
      <c r="O725" s="225"/>
      <c r="P725" s="225"/>
      <c r="Q725" s="225"/>
      <c r="R725" s="225"/>
      <c r="S725" s="337"/>
      <c r="T725" s="224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69"/>
      <c r="H726" s="369"/>
      <c r="I726" s="376"/>
      <c r="J726" s="369"/>
      <c r="K726" s="370"/>
      <c r="L726" s="369"/>
      <c r="M726" s="369"/>
      <c r="N726" s="225"/>
      <c r="O726" s="225"/>
      <c r="P726" s="225"/>
      <c r="Q726" s="225"/>
      <c r="R726" s="225"/>
      <c r="S726" s="337"/>
      <c r="T726" s="224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69"/>
      <c r="H727" s="369"/>
      <c r="I727" s="376"/>
      <c r="J727" s="369"/>
      <c r="K727" s="370"/>
      <c r="L727" s="369"/>
      <c r="M727" s="369"/>
      <c r="N727" s="225"/>
      <c r="O727" s="225"/>
      <c r="P727" s="225"/>
      <c r="Q727" s="225"/>
      <c r="R727" s="225"/>
      <c r="S727" s="337"/>
      <c r="T727" s="224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69"/>
      <c r="H728" s="369"/>
      <c r="I728" s="376"/>
      <c r="J728" s="369"/>
      <c r="K728" s="370"/>
      <c r="L728" s="369"/>
      <c r="M728" s="369"/>
      <c r="N728" s="225"/>
      <c r="O728" s="225"/>
      <c r="P728" s="225"/>
      <c r="Q728" s="225"/>
      <c r="R728" s="225"/>
      <c r="S728" s="337"/>
      <c r="T728" s="224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69"/>
      <c r="H729" s="369"/>
      <c r="I729" s="376"/>
      <c r="J729" s="369"/>
      <c r="K729" s="370"/>
      <c r="L729" s="369"/>
      <c r="M729" s="369"/>
      <c r="N729" s="225"/>
      <c r="O729" s="225"/>
      <c r="P729" s="225"/>
      <c r="Q729" s="225"/>
      <c r="R729" s="225"/>
      <c r="S729" s="337"/>
      <c r="T729" s="224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69"/>
      <c r="H730" s="369"/>
      <c r="I730" s="376"/>
      <c r="J730" s="369"/>
      <c r="K730" s="370"/>
      <c r="L730" s="369"/>
      <c r="M730" s="369"/>
      <c r="N730" s="225"/>
      <c r="O730" s="225"/>
      <c r="P730" s="225"/>
      <c r="Q730" s="225"/>
      <c r="R730" s="225"/>
      <c r="S730" s="337"/>
      <c r="T730" s="224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69"/>
      <c r="H731" s="369"/>
      <c r="I731" s="376"/>
      <c r="J731" s="369"/>
      <c r="K731" s="370"/>
      <c r="L731" s="369"/>
      <c r="M731" s="369"/>
      <c r="N731" s="225"/>
      <c r="O731" s="225"/>
      <c r="P731" s="225"/>
      <c r="Q731" s="225"/>
      <c r="R731" s="225"/>
      <c r="S731" s="337"/>
      <c r="T731" s="224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69"/>
      <c r="H732" s="369"/>
      <c r="I732" s="376"/>
      <c r="J732" s="369"/>
      <c r="K732" s="370"/>
      <c r="L732" s="369"/>
      <c r="M732" s="369"/>
      <c r="N732" s="225"/>
      <c r="O732" s="225"/>
      <c r="P732" s="225"/>
      <c r="Q732" s="225"/>
      <c r="R732" s="225"/>
      <c r="S732" s="337"/>
      <c r="T732" s="224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69"/>
      <c r="H733" s="369"/>
      <c r="I733" s="376"/>
      <c r="J733" s="369"/>
      <c r="K733" s="370"/>
      <c r="L733" s="369"/>
      <c r="M733" s="369"/>
      <c r="N733" s="225"/>
      <c r="O733" s="225"/>
      <c r="P733" s="225"/>
      <c r="Q733" s="225"/>
      <c r="R733" s="225"/>
      <c r="S733" s="337"/>
      <c r="T733" s="224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69"/>
      <c r="H734" s="369"/>
      <c r="I734" s="376"/>
      <c r="J734" s="369"/>
      <c r="K734" s="370"/>
      <c r="L734" s="369"/>
      <c r="M734" s="369"/>
      <c r="N734" s="225"/>
      <c r="O734" s="225"/>
      <c r="P734" s="225"/>
      <c r="Q734" s="225"/>
      <c r="R734" s="225"/>
      <c r="S734" s="337"/>
      <c r="T734" s="224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69"/>
      <c r="H735" s="369"/>
      <c r="I735" s="376"/>
      <c r="J735" s="369"/>
      <c r="K735" s="370"/>
      <c r="L735" s="369"/>
      <c r="M735" s="369"/>
      <c r="N735" s="225"/>
      <c r="O735" s="225"/>
      <c r="P735" s="225"/>
      <c r="Q735" s="225"/>
      <c r="R735" s="225"/>
      <c r="S735" s="337"/>
      <c r="T735" s="224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69"/>
      <c r="H736" s="369"/>
      <c r="I736" s="376"/>
      <c r="J736" s="369"/>
      <c r="K736" s="370"/>
      <c r="L736" s="369"/>
      <c r="M736" s="369"/>
      <c r="N736" s="225"/>
      <c r="O736" s="225"/>
      <c r="P736" s="225"/>
      <c r="Q736" s="225"/>
      <c r="R736" s="225"/>
      <c r="S736" s="337"/>
      <c r="T736" s="224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69"/>
      <c r="H737" s="369"/>
      <c r="I737" s="376"/>
      <c r="J737" s="369"/>
      <c r="K737" s="370"/>
      <c r="L737" s="369"/>
      <c r="M737" s="369"/>
      <c r="N737" s="225"/>
      <c r="O737" s="225"/>
      <c r="P737" s="225"/>
      <c r="Q737" s="225"/>
      <c r="R737" s="225"/>
      <c r="S737" s="337"/>
      <c r="T737" s="224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69"/>
      <c r="H738" s="369"/>
      <c r="I738" s="376"/>
      <c r="J738" s="369"/>
      <c r="K738" s="370"/>
      <c r="L738" s="369"/>
      <c r="M738" s="369"/>
      <c r="N738" s="225"/>
      <c r="O738" s="225"/>
      <c r="P738" s="225"/>
      <c r="Q738" s="225"/>
      <c r="R738" s="225"/>
      <c r="S738" s="337"/>
      <c r="T738" s="224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69"/>
      <c r="H739" s="369"/>
      <c r="I739" s="376"/>
      <c r="J739" s="369"/>
      <c r="K739" s="370"/>
      <c r="L739" s="369"/>
      <c r="M739" s="369"/>
      <c r="N739" s="225"/>
      <c r="O739" s="225"/>
      <c r="P739" s="225"/>
      <c r="Q739" s="225"/>
      <c r="R739" s="225"/>
      <c r="S739" s="337"/>
      <c r="T739" s="224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69"/>
      <c r="H740" s="369"/>
      <c r="I740" s="376"/>
      <c r="J740" s="369"/>
      <c r="K740" s="370"/>
      <c r="L740" s="369"/>
      <c r="M740" s="369"/>
      <c r="N740" s="225"/>
      <c r="O740" s="225"/>
      <c r="P740" s="225"/>
      <c r="Q740" s="225"/>
      <c r="R740" s="225"/>
      <c r="S740" s="337"/>
      <c r="T740" s="224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69"/>
      <c r="H741" s="369"/>
      <c r="I741" s="376"/>
      <c r="J741" s="369"/>
      <c r="K741" s="370"/>
      <c r="L741" s="369"/>
      <c r="M741" s="369"/>
      <c r="N741" s="225"/>
      <c r="O741" s="225"/>
      <c r="P741" s="225"/>
      <c r="Q741" s="225"/>
      <c r="R741" s="225"/>
      <c r="S741" s="337"/>
      <c r="T741" s="224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69"/>
      <c r="H742" s="369"/>
      <c r="I742" s="376"/>
      <c r="J742" s="369"/>
      <c r="K742" s="370"/>
      <c r="L742" s="369"/>
      <c r="M742" s="369"/>
      <c r="N742" s="225"/>
      <c r="O742" s="225"/>
      <c r="P742" s="225"/>
      <c r="Q742" s="225"/>
      <c r="R742" s="225"/>
      <c r="S742" s="337"/>
      <c r="T742" s="224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69"/>
      <c r="H743" s="369"/>
      <c r="I743" s="376"/>
      <c r="J743" s="369"/>
      <c r="K743" s="370"/>
      <c r="L743" s="369"/>
      <c r="M743" s="369"/>
      <c r="N743" s="225"/>
      <c r="O743" s="225"/>
      <c r="P743" s="225"/>
      <c r="Q743" s="225"/>
      <c r="R743" s="225"/>
      <c r="S743" s="337"/>
      <c r="T743" s="224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69"/>
      <c r="H744" s="369"/>
      <c r="I744" s="376"/>
      <c r="J744" s="369"/>
      <c r="K744" s="370"/>
      <c r="L744" s="369"/>
      <c r="M744" s="369"/>
      <c r="N744" s="225"/>
      <c r="O744" s="225"/>
      <c r="P744" s="225"/>
      <c r="Q744" s="225"/>
      <c r="R744" s="225"/>
      <c r="S744" s="337"/>
      <c r="T744" s="224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69"/>
      <c r="H745" s="369"/>
      <c r="I745" s="376"/>
      <c r="J745" s="369"/>
      <c r="K745" s="370"/>
      <c r="L745" s="369"/>
      <c r="M745" s="369"/>
      <c r="N745" s="225"/>
      <c r="O745" s="225"/>
      <c r="P745" s="225"/>
      <c r="Q745" s="225"/>
      <c r="R745" s="225"/>
      <c r="S745" s="337"/>
      <c r="T745" s="224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69"/>
      <c r="H746" s="369"/>
      <c r="I746" s="376"/>
      <c r="J746" s="369"/>
      <c r="K746" s="370"/>
      <c r="L746" s="369"/>
      <c r="M746" s="369"/>
      <c r="N746" s="225"/>
      <c r="O746" s="225"/>
      <c r="P746" s="225"/>
      <c r="Q746" s="225"/>
      <c r="R746" s="225"/>
      <c r="S746" s="337"/>
      <c r="T746" s="224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69"/>
      <c r="H747" s="369"/>
      <c r="I747" s="376"/>
      <c r="J747" s="369"/>
      <c r="K747" s="370"/>
      <c r="L747" s="369"/>
      <c r="M747" s="369"/>
      <c r="N747" s="225"/>
      <c r="O747" s="225"/>
      <c r="P747" s="225"/>
      <c r="Q747" s="225"/>
      <c r="R747" s="225"/>
      <c r="S747" s="337"/>
      <c r="T747" s="224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69"/>
      <c r="H748" s="369"/>
      <c r="I748" s="376"/>
      <c r="J748" s="369"/>
      <c r="K748" s="370"/>
      <c r="L748" s="369"/>
      <c r="M748" s="369"/>
      <c r="N748" s="225"/>
      <c r="O748" s="225"/>
      <c r="P748" s="225"/>
      <c r="Q748" s="225"/>
      <c r="R748" s="225"/>
      <c r="S748" s="337"/>
      <c r="T748" s="224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69"/>
      <c r="H749" s="369"/>
      <c r="I749" s="376"/>
      <c r="J749" s="369"/>
      <c r="K749" s="370"/>
      <c r="L749" s="369"/>
      <c r="M749" s="369"/>
      <c r="N749" s="225"/>
      <c r="O749" s="225"/>
      <c r="P749" s="225"/>
      <c r="Q749" s="225"/>
      <c r="R749" s="225"/>
      <c r="S749" s="337"/>
      <c r="T749" s="224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69"/>
      <c r="H750" s="369"/>
      <c r="I750" s="376"/>
      <c r="J750" s="369"/>
      <c r="K750" s="370"/>
      <c r="L750" s="369"/>
      <c r="M750" s="369"/>
      <c r="N750" s="225"/>
      <c r="O750" s="225"/>
      <c r="P750" s="225"/>
      <c r="Q750" s="225"/>
      <c r="R750" s="225"/>
      <c r="S750" s="337"/>
      <c r="T750" s="224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69"/>
      <c r="H751" s="369"/>
      <c r="I751" s="376"/>
      <c r="J751" s="369"/>
      <c r="K751" s="370"/>
      <c r="L751" s="369"/>
      <c r="M751" s="369"/>
      <c r="N751" s="225"/>
      <c r="O751" s="225"/>
      <c r="P751" s="225"/>
      <c r="Q751" s="225"/>
      <c r="R751" s="225"/>
      <c r="S751" s="337"/>
      <c r="T751" s="224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69"/>
      <c r="H752" s="369"/>
      <c r="I752" s="376"/>
      <c r="J752" s="369"/>
      <c r="K752" s="370"/>
      <c r="L752" s="369"/>
      <c r="M752" s="369"/>
      <c r="N752" s="225"/>
      <c r="O752" s="225"/>
      <c r="P752" s="225"/>
      <c r="Q752" s="225"/>
      <c r="R752" s="225"/>
      <c r="S752" s="337"/>
      <c r="T752" s="224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69"/>
      <c r="H753" s="369"/>
      <c r="I753" s="376"/>
      <c r="J753" s="369"/>
      <c r="K753" s="370"/>
      <c r="L753" s="369"/>
      <c r="M753" s="369"/>
      <c r="N753" s="225"/>
      <c r="O753" s="225"/>
      <c r="P753" s="225"/>
      <c r="Q753" s="225"/>
      <c r="R753" s="225"/>
      <c r="S753" s="337"/>
      <c r="T753" s="224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69"/>
      <c r="H754" s="369"/>
      <c r="I754" s="376"/>
      <c r="J754" s="369"/>
      <c r="K754" s="370"/>
      <c r="L754" s="369"/>
      <c r="M754" s="369"/>
      <c r="N754" s="225"/>
      <c r="O754" s="225"/>
      <c r="P754" s="225"/>
      <c r="Q754" s="225"/>
      <c r="R754" s="225"/>
      <c r="S754" s="337"/>
      <c r="T754" s="224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69"/>
      <c r="H755" s="369"/>
      <c r="I755" s="376"/>
      <c r="J755" s="369"/>
      <c r="K755" s="370"/>
      <c r="L755" s="369"/>
      <c r="M755" s="369"/>
      <c r="N755" s="225"/>
      <c r="O755" s="225"/>
      <c r="P755" s="225"/>
      <c r="Q755" s="225"/>
      <c r="R755" s="225"/>
      <c r="S755" s="337"/>
      <c r="T755" s="224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69"/>
      <c r="H756" s="369"/>
      <c r="I756" s="376"/>
      <c r="J756" s="369"/>
      <c r="K756" s="370"/>
      <c r="L756" s="369"/>
      <c r="M756" s="369"/>
      <c r="N756" s="225"/>
      <c r="O756" s="225"/>
      <c r="P756" s="225"/>
      <c r="Q756" s="225"/>
      <c r="R756" s="225"/>
      <c r="S756" s="337"/>
      <c r="T756" s="224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69"/>
      <c r="H757" s="369"/>
      <c r="I757" s="376"/>
      <c r="J757" s="369"/>
      <c r="K757" s="370"/>
      <c r="L757" s="369"/>
      <c r="M757" s="369"/>
      <c r="N757" s="225"/>
      <c r="O757" s="225"/>
      <c r="P757" s="225"/>
      <c r="Q757" s="225"/>
      <c r="R757" s="225"/>
      <c r="S757" s="337"/>
      <c r="T757" s="224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69"/>
      <c r="H758" s="369"/>
      <c r="I758" s="376"/>
      <c r="J758" s="369"/>
      <c r="K758" s="370"/>
      <c r="L758" s="369"/>
      <c r="M758" s="369"/>
      <c r="N758" s="225"/>
      <c r="O758" s="225"/>
      <c r="P758" s="225"/>
      <c r="Q758" s="225"/>
      <c r="R758" s="225"/>
      <c r="S758" s="337"/>
      <c r="T758" s="224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69"/>
      <c r="H759" s="369"/>
      <c r="I759" s="376"/>
      <c r="J759" s="369"/>
      <c r="K759" s="370"/>
      <c r="L759" s="369"/>
      <c r="M759" s="369"/>
      <c r="N759" s="225"/>
      <c r="O759" s="225"/>
      <c r="P759" s="225"/>
      <c r="Q759" s="225"/>
      <c r="R759" s="225"/>
      <c r="S759" s="337"/>
      <c r="T759" s="224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69"/>
      <c r="H760" s="369"/>
      <c r="I760" s="376"/>
      <c r="J760" s="369"/>
      <c r="K760" s="370"/>
      <c r="L760" s="369"/>
      <c r="M760" s="369"/>
      <c r="N760" s="225"/>
      <c r="O760" s="225"/>
      <c r="P760" s="225"/>
      <c r="Q760" s="225"/>
      <c r="R760" s="225"/>
      <c r="S760" s="337"/>
      <c r="T760" s="224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69"/>
      <c r="H761" s="369"/>
      <c r="I761" s="376"/>
      <c r="J761" s="369"/>
      <c r="K761" s="370"/>
      <c r="L761" s="369"/>
      <c r="M761" s="369"/>
      <c r="N761" s="225"/>
      <c r="O761" s="225"/>
      <c r="P761" s="225"/>
      <c r="Q761" s="225"/>
      <c r="R761" s="225"/>
      <c r="S761" s="337"/>
      <c r="T761" s="224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69"/>
      <c r="H762" s="369"/>
      <c r="I762" s="376"/>
      <c r="J762" s="369"/>
      <c r="K762" s="370"/>
      <c r="L762" s="369"/>
      <c r="M762" s="369"/>
      <c r="N762" s="225"/>
      <c r="O762" s="225"/>
      <c r="P762" s="225"/>
      <c r="Q762" s="225"/>
      <c r="R762" s="225"/>
      <c r="S762" s="337"/>
      <c r="T762" s="224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69"/>
      <c r="H763" s="369"/>
      <c r="I763" s="376"/>
      <c r="J763" s="369"/>
      <c r="K763" s="370"/>
      <c r="L763" s="369"/>
      <c r="M763" s="369"/>
      <c r="N763" s="225"/>
      <c r="O763" s="225"/>
      <c r="P763" s="225"/>
      <c r="Q763" s="225"/>
      <c r="R763" s="225"/>
      <c r="S763" s="337"/>
      <c r="T763" s="224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69"/>
      <c r="H764" s="369"/>
      <c r="I764" s="376"/>
      <c r="J764" s="369"/>
      <c r="K764" s="370"/>
      <c r="L764" s="369"/>
      <c r="M764" s="369"/>
      <c r="N764" s="225"/>
      <c r="O764" s="225"/>
      <c r="P764" s="225"/>
      <c r="Q764" s="225"/>
      <c r="R764" s="225"/>
      <c r="S764" s="337"/>
      <c r="T764" s="224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69"/>
      <c r="H765" s="369"/>
      <c r="I765" s="376"/>
      <c r="J765" s="369"/>
      <c r="K765" s="370"/>
      <c r="L765" s="369"/>
      <c r="M765" s="369"/>
      <c r="N765" s="225"/>
      <c r="O765" s="225"/>
      <c r="P765" s="225"/>
      <c r="Q765" s="225"/>
      <c r="R765" s="225"/>
      <c r="S765" s="337"/>
      <c r="T765" s="224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69"/>
      <c r="H766" s="369"/>
      <c r="I766" s="376"/>
      <c r="J766" s="369"/>
      <c r="K766" s="370"/>
      <c r="L766" s="369"/>
      <c r="M766" s="369"/>
      <c r="N766" s="225"/>
      <c r="O766" s="225"/>
      <c r="P766" s="225"/>
      <c r="Q766" s="225"/>
      <c r="R766" s="225"/>
      <c r="S766" s="337"/>
      <c r="T766" s="224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69"/>
      <c r="H767" s="369"/>
      <c r="I767" s="376"/>
      <c r="J767" s="369"/>
      <c r="K767" s="370"/>
      <c r="L767" s="369"/>
      <c r="M767" s="369"/>
      <c r="N767" s="225"/>
      <c r="O767" s="225"/>
      <c r="P767" s="225"/>
      <c r="Q767" s="225"/>
      <c r="R767" s="225"/>
      <c r="S767" s="337"/>
      <c r="T767" s="224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69"/>
      <c r="H768" s="369"/>
      <c r="I768" s="376"/>
      <c r="J768" s="369"/>
      <c r="K768" s="370"/>
      <c r="L768" s="369"/>
      <c r="M768" s="369"/>
      <c r="N768" s="225"/>
      <c r="O768" s="225"/>
      <c r="P768" s="225"/>
      <c r="Q768" s="225"/>
      <c r="R768" s="225"/>
      <c r="S768" s="337"/>
      <c r="T768" s="224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69"/>
      <c r="H769" s="369"/>
      <c r="I769" s="376"/>
      <c r="J769" s="369"/>
      <c r="K769" s="370"/>
      <c r="L769" s="369"/>
      <c r="M769" s="369"/>
      <c r="N769" s="225"/>
      <c r="O769" s="225"/>
      <c r="P769" s="225"/>
      <c r="Q769" s="225"/>
      <c r="R769" s="225"/>
      <c r="S769" s="337"/>
      <c r="T769" s="224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69"/>
      <c r="H770" s="369"/>
      <c r="I770" s="376"/>
      <c r="J770" s="369"/>
      <c r="K770" s="370"/>
      <c r="L770" s="369"/>
      <c r="M770" s="369"/>
      <c r="N770" s="225"/>
      <c r="O770" s="225"/>
      <c r="P770" s="225"/>
      <c r="Q770" s="225"/>
      <c r="R770" s="225"/>
      <c r="S770" s="337"/>
      <c r="T770" s="224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69"/>
      <c r="H771" s="369"/>
      <c r="I771" s="376"/>
      <c r="J771" s="369"/>
      <c r="K771" s="370"/>
      <c r="L771" s="369"/>
      <c r="M771" s="369"/>
      <c r="N771" s="225"/>
      <c r="O771" s="225"/>
      <c r="P771" s="225"/>
      <c r="Q771" s="225"/>
      <c r="R771" s="225"/>
      <c r="S771" s="337"/>
      <c r="T771" s="224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69"/>
      <c r="H772" s="369"/>
      <c r="I772" s="376"/>
      <c r="J772" s="369"/>
      <c r="K772" s="370"/>
      <c r="L772" s="369"/>
      <c r="M772" s="369"/>
      <c r="N772" s="225"/>
      <c r="O772" s="225"/>
      <c r="P772" s="225"/>
      <c r="Q772" s="225"/>
      <c r="R772" s="225"/>
      <c r="S772" s="337"/>
      <c r="T772" s="224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69"/>
      <c r="H773" s="369"/>
      <c r="I773" s="376"/>
      <c r="J773" s="369"/>
      <c r="K773" s="370"/>
      <c r="L773" s="369"/>
      <c r="M773" s="369"/>
      <c r="N773" s="225"/>
      <c r="O773" s="225"/>
      <c r="P773" s="225"/>
      <c r="Q773" s="225"/>
      <c r="R773" s="225"/>
      <c r="S773" s="337"/>
      <c r="T773" s="224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69"/>
      <c r="H774" s="369"/>
      <c r="I774" s="376"/>
      <c r="J774" s="369"/>
      <c r="K774" s="370"/>
      <c r="L774" s="369"/>
      <c r="M774" s="369"/>
      <c r="N774" s="225"/>
      <c r="O774" s="225"/>
      <c r="P774" s="225"/>
      <c r="Q774" s="225"/>
      <c r="R774" s="225"/>
      <c r="S774" s="337"/>
      <c r="T774" s="224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69"/>
      <c r="H775" s="369"/>
      <c r="I775" s="376"/>
      <c r="J775" s="369"/>
      <c r="K775" s="370"/>
      <c r="L775" s="369"/>
      <c r="M775" s="369"/>
      <c r="N775" s="225"/>
      <c r="O775" s="225"/>
      <c r="P775" s="225"/>
      <c r="Q775" s="225"/>
      <c r="R775" s="225"/>
      <c r="S775" s="337"/>
      <c r="T775" s="224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69"/>
      <c r="H776" s="369"/>
      <c r="I776" s="376"/>
      <c r="J776" s="369"/>
      <c r="K776" s="370"/>
      <c r="L776" s="369"/>
      <c r="M776" s="369"/>
      <c r="N776" s="225"/>
      <c r="O776" s="225"/>
      <c r="P776" s="225"/>
      <c r="Q776" s="225"/>
      <c r="R776" s="225"/>
      <c r="S776" s="337"/>
      <c r="T776" s="224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69"/>
      <c r="H777" s="369"/>
      <c r="I777" s="376"/>
      <c r="J777" s="369"/>
      <c r="K777" s="370"/>
      <c r="L777" s="369"/>
      <c r="M777" s="369"/>
      <c r="N777" s="225"/>
      <c r="O777" s="225"/>
      <c r="P777" s="225"/>
      <c r="Q777" s="225"/>
      <c r="R777" s="225"/>
      <c r="S777" s="337"/>
      <c r="T777" s="224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69"/>
      <c r="H778" s="369"/>
      <c r="I778" s="376"/>
      <c r="J778" s="369"/>
      <c r="K778" s="370"/>
      <c r="L778" s="369"/>
      <c r="M778" s="369"/>
      <c r="N778" s="225"/>
      <c r="O778" s="225"/>
      <c r="P778" s="225"/>
      <c r="Q778" s="225"/>
      <c r="R778" s="225"/>
      <c r="S778" s="337"/>
      <c r="T778" s="224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69"/>
      <c r="H779" s="369"/>
      <c r="I779" s="376"/>
      <c r="J779" s="369"/>
      <c r="K779" s="370"/>
      <c r="L779" s="369"/>
      <c r="M779" s="369"/>
      <c r="N779" s="225"/>
      <c r="O779" s="225"/>
      <c r="P779" s="225"/>
      <c r="Q779" s="225"/>
      <c r="R779" s="225"/>
      <c r="S779" s="337"/>
      <c r="T779" s="224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69"/>
      <c r="H780" s="369"/>
      <c r="I780" s="376"/>
      <c r="J780" s="369"/>
      <c r="K780" s="370"/>
      <c r="L780" s="369"/>
      <c r="M780" s="369"/>
      <c r="N780" s="225"/>
      <c r="O780" s="225"/>
      <c r="P780" s="225"/>
      <c r="Q780" s="225"/>
      <c r="R780" s="225"/>
      <c r="S780" s="337"/>
      <c r="T780" s="224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69"/>
      <c r="H781" s="369"/>
      <c r="I781" s="376"/>
      <c r="J781" s="369"/>
      <c r="K781" s="370"/>
      <c r="L781" s="369"/>
      <c r="M781" s="369"/>
      <c r="N781" s="225"/>
      <c r="O781" s="225"/>
      <c r="P781" s="225"/>
      <c r="Q781" s="225"/>
      <c r="R781" s="225"/>
      <c r="S781" s="337"/>
      <c r="T781" s="224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69"/>
      <c r="H782" s="369"/>
      <c r="I782" s="376"/>
      <c r="J782" s="369"/>
      <c r="K782" s="370"/>
      <c r="L782" s="369"/>
      <c r="M782" s="369"/>
      <c r="N782" s="225"/>
      <c r="O782" s="225"/>
      <c r="P782" s="225"/>
      <c r="Q782" s="225"/>
      <c r="R782" s="225"/>
      <c r="S782" s="337"/>
      <c r="T782" s="224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69"/>
      <c r="H783" s="369"/>
      <c r="I783" s="376"/>
      <c r="J783" s="369"/>
      <c r="K783" s="370"/>
      <c r="L783" s="369"/>
      <c r="M783" s="369"/>
      <c r="N783" s="225"/>
      <c r="O783" s="225"/>
      <c r="P783" s="225"/>
      <c r="Q783" s="225"/>
      <c r="R783" s="225"/>
      <c r="S783" s="337"/>
      <c r="T783" s="224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69"/>
      <c r="H784" s="369"/>
      <c r="I784" s="376"/>
      <c r="J784" s="369"/>
      <c r="K784" s="370"/>
      <c r="L784" s="369"/>
      <c r="M784" s="369"/>
      <c r="N784" s="225"/>
      <c r="O784" s="225"/>
      <c r="P784" s="225"/>
      <c r="Q784" s="225"/>
      <c r="R784" s="225"/>
      <c r="S784" s="337"/>
      <c r="T784" s="224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69"/>
      <c r="H785" s="369"/>
      <c r="I785" s="376"/>
      <c r="J785" s="369"/>
      <c r="K785" s="370"/>
      <c r="L785" s="369"/>
      <c r="M785" s="369"/>
      <c r="N785" s="225"/>
      <c r="O785" s="225"/>
      <c r="P785" s="225"/>
      <c r="Q785" s="225"/>
      <c r="R785" s="225"/>
      <c r="S785" s="337"/>
      <c r="T785" s="224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69"/>
      <c r="H786" s="369"/>
      <c r="I786" s="376"/>
      <c r="J786" s="369"/>
      <c r="K786" s="370"/>
      <c r="L786" s="369"/>
      <c r="M786" s="369"/>
      <c r="N786" s="225"/>
      <c r="O786" s="225"/>
      <c r="P786" s="225"/>
      <c r="Q786" s="225"/>
      <c r="R786" s="225"/>
      <c r="S786" s="337"/>
      <c r="T786" s="224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69"/>
      <c r="H787" s="369"/>
      <c r="I787" s="376"/>
      <c r="J787" s="369"/>
      <c r="K787" s="370"/>
      <c r="L787" s="369"/>
      <c r="M787" s="369"/>
      <c r="N787" s="225"/>
      <c r="O787" s="225"/>
      <c r="P787" s="225"/>
      <c r="Q787" s="225"/>
      <c r="R787" s="225"/>
      <c r="S787" s="337"/>
      <c r="T787" s="224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69"/>
      <c r="H788" s="369"/>
      <c r="I788" s="376"/>
      <c r="J788" s="369"/>
      <c r="K788" s="370"/>
      <c r="L788" s="369"/>
      <c r="M788" s="369"/>
      <c r="N788" s="225"/>
      <c r="O788" s="225"/>
      <c r="P788" s="225"/>
      <c r="Q788" s="225"/>
      <c r="R788" s="225"/>
      <c r="S788" s="337"/>
      <c r="T788" s="224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69"/>
      <c r="H789" s="369"/>
      <c r="I789" s="376"/>
      <c r="J789" s="369"/>
      <c r="K789" s="370"/>
      <c r="L789" s="369"/>
      <c r="M789" s="369"/>
      <c r="N789" s="225"/>
      <c r="O789" s="225"/>
      <c r="P789" s="225"/>
      <c r="Q789" s="225"/>
      <c r="R789" s="225"/>
      <c r="S789" s="337"/>
      <c r="T789" s="224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69"/>
      <c r="H790" s="369"/>
      <c r="I790" s="376"/>
      <c r="J790" s="369"/>
      <c r="K790" s="370"/>
      <c r="L790" s="369"/>
      <c r="M790" s="369"/>
      <c r="N790" s="225"/>
      <c r="O790" s="225"/>
      <c r="P790" s="225"/>
      <c r="Q790" s="225"/>
      <c r="R790" s="225"/>
      <c r="S790" s="337"/>
      <c r="T790" s="224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69"/>
      <c r="H791" s="369"/>
      <c r="I791" s="376"/>
      <c r="J791" s="369"/>
      <c r="K791" s="370"/>
      <c r="L791" s="369"/>
      <c r="M791" s="369"/>
      <c r="N791" s="225"/>
      <c r="O791" s="225"/>
      <c r="P791" s="225"/>
      <c r="Q791" s="225"/>
      <c r="R791" s="225"/>
      <c r="S791" s="337"/>
      <c r="T791" s="224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69"/>
      <c r="H792" s="369"/>
      <c r="I792" s="376"/>
      <c r="J792" s="369"/>
      <c r="K792" s="370"/>
      <c r="L792" s="369"/>
      <c r="M792" s="369"/>
      <c r="N792" s="225"/>
      <c r="O792" s="225"/>
      <c r="P792" s="225"/>
      <c r="Q792" s="225"/>
      <c r="R792" s="225"/>
      <c r="S792" s="337"/>
      <c r="T792" s="224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69"/>
      <c r="H793" s="369"/>
      <c r="I793" s="376"/>
      <c r="J793" s="369"/>
      <c r="K793" s="370"/>
      <c r="L793" s="369"/>
      <c r="M793" s="369"/>
      <c r="N793" s="225"/>
      <c r="O793" s="225"/>
      <c r="P793" s="225"/>
      <c r="Q793" s="225"/>
      <c r="R793" s="225"/>
      <c r="S793" s="337"/>
      <c r="T793" s="224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69"/>
      <c r="H794" s="369"/>
      <c r="I794" s="376"/>
      <c r="J794" s="369"/>
      <c r="K794" s="370"/>
      <c r="L794" s="369"/>
      <c r="M794" s="369"/>
      <c r="N794" s="225"/>
      <c r="O794" s="225"/>
      <c r="P794" s="225"/>
      <c r="Q794" s="225"/>
      <c r="R794" s="225"/>
      <c r="S794" s="337"/>
      <c r="T794" s="224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69"/>
      <c r="H795" s="369"/>
      <c r="I795" s="376"/>
      <c r="J795" s="369"/>
      <c r="K795" s="370"/>
      <c r="L795" s="369"/>
      <c r="M795" s="369"/>
      <c r="N795" s="225"/>
      <c r="O795" s="225"/>
      <c r="P795" s="225"/>
      <c r="Q795" s="225"/>
      <c r="R795" s="225"/>
      <c r="S795" s="337"/>
      <c r="T795" s="224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69"/>
      <c r="H796" s="369"/>
      <c r="I796" s="376"/>
      <c r="J796" s="369"/>
      <c r="K796" s="370"/>
      <c r="L796" s="369"/>
      <c r="M796" s="369"/>
      <c r="N796" s="225"/>
      <c r="O796" s="225"/>
      <c r="P796" s="225"/>
      <c r="Q796" s="225"/>
      <c r="R796" s="225"/>
      <c r="S796" s="337"/>
      <c r="T796" s="224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69"/>
      <c r="H797" s="369"/>
      <c r="I797" s="376"/>
      <c r="J797" s="369"/>
      <c r="K797" s="370"/>
      <c r="L797" s="369"/>
      <c r="M797" s="369"/>
      <c r="N797" s="225"/>
      <c r="O797" s="225"/>
      <c r="P797" s="225"/>
      <c r="Q797" s="225"/>
      <c r="R797" s="225"/>
      <c r="S797" s="337"/>
      <c r="T797" s="224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69"/>
      <c r="H798" s="369"/>
      <c r="I798" s="376"/>
      <c r="J798" s="369"/>
      <c r="K798" s="370"/>
      <c r="L798" s="369"/>
      <c r="M798" s="369"/>
      <c r="N798" s="225"/>
      <c r="O798" s="225"/>
      <c r="P798" s="225"/>
      <c r="Q798" s="225"/>
      <c r="R798" s="225"/>
      <c r="S798" s="337"/>
      <c r="T798" s="224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69"/>
      <c r="H799" s="369"/>
      <c r="I799" s="376"/>
      <c r="J799" s="369"/>
      <c r="K799" s="370"/>
      <c r="L799" s="369"/>
      <c r="M799" s="369"/>
      <c r="N799" s="225"/>
      <c r="O799" s="225"/>
      <c r="P799" s="225"/>
      <c r="Q799" s="225"/>
      <c r="R799" s="225"/>
      <c r="S799" s="337"/>
      <c r="T799" s="224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69"/>
      <c r="H800" s="369"/>
      <c r="I800" s="376"/>
      <c r="J800" s="369"/>
      <c r="K800" s="370"/>
      <c r="L800" s="369"/>
      <c r="M800" s="369"/>
      <c r="N800" s="225"/>
      <c r="O800" s="225"/>
      <c r="P800" s="225"/>
      <c r="Q800" s="225"/>
      <c r="R800" s="225"/>
      <c r="S800" s="337"/>
      <c r="T800" s="224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69"/>
      <c r="H801" s="369"/>
      <c r="I801" s="376"/>
      <c r="J801" s="369"/>
      <c r="K801" s="370"/>
      <c r="L801" s="369"/>
      <c r="M801" s="369"/>
      <c r="N801" s="225"/>
      <c r="O801" s="225"/>
      <c r="P801" s="225"/>
      <c r="Q801" s="225"/>
      <c r="R801" s="225"/>
      <c r="S801" s="337"/>
      <c r="T801" s="224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69"/>
      <c r="H802" s="369"/>
      <c r="I802" s="376"/>
      <c r="J802" s="369"/>
      <c r="K802" s="370"/>
      <c r="L802" s="369"/>
      <c r="M802" s="369"/>
      <c r="N802" s="225"/>
      <c r="O802" s="225"/>
      <c r="P802" s="225"/>
      <c r="Q802" s="225"/>
      <c r="R802" s="225"/>
      <c r="S802" s="337"/>
      <c r="T802" s="224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69"/>
      <c r="H803" s="369"/>
      <c r="I803" s="376"/>
      <c r="J803" s="369"/>
      <c r="K803" s="370"/>
      <c r="L803" s="369"/>
      <c r="M803" s="369"/>
      <c r="N803" s="225"/>
      <c r="O803" s="225"/>
      <c r="P803" s="225"/>
      <c r="Q803" s="225"/>
      <c r="R803" s="225"/>
      <c r="S803" s="337"/>
      <c r="T803" s="224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69"/>
      <c r="H804" s="369"/>
      <c r="I804" s="376"/>
      <c r="J804" s="369"/>
      <c r="K804" s="370"/>
      <c r="L804" s="369"/>
      <c r="M804" s="369"/>
      <c r="N804" s="225"/>
      <c r="O804" s="225"/>
      <c r="P804" s="225"/>
      <c r="Q804" s="225"/>
      <c r="R804" s="225"/>
      <c r="S804" s="337"/>
      <c r="T804" s="224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69"/>
      <c r="H805" s="369"/>
      <c r="I805" s="376"/>
      <c r="J805" s="369"/>
      <c r="K805" s="370"/>
      <c r="L805" s="369"/>
      <c r="M805" s="369"/>
      <c r="N805" s="225"/>
      <c r="O805" s="225"/>
      <c r="P805" s="225"/>
      <c r="Q805" s="225"/>
      <c r="R805" s="225"/>
      <c r="S805" s="337"/>
      <c r="T805" s="224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69"/>
      <c r="H806" s="369"/>
      <c r="I806" s="376"/>
      <c r="J806" s="369"/>
      <c r="K806" s="370"/>
      <c r="L806" s="369"/>
      <c r="M806" s="369"/>
      <c r="N806" s="225"/>
      <c r="O806" s="225"/>
      <c r="P806" s="225"/>
      <c r="Q806" s="225"/>
      <c r="R806" s="225"/>
      <c r="S806" s="337"/>
      <c r="T806" s="224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69"/>
      <c r="H807" s="369"/>
      <c r="I807" s="376"/>
      <c r="J807" s="369"/>
      <c r="K807" s="370"/>
      <c r="L807" s="369"/>
      <c r="M807" s="369"/>
      <c r="N807" s="225"/>
      <c r="O807" s="225"/>
      <c r="P807" s="225"/>
      <c r="Q807" s="225"/>
      <c r="R807" s="225"/>
      <c r="S807" s="337"/>
      <c r="T807" s="224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69"/>
      <c r="H808" s="369"/>
      <c r="I808" s="376"/>
      <c r="J808" s="369"/>
      <c r="K808" s="370"/>
      <c r="L808" s="369"/>
      <c r="M808" s="369"/>
      <c r="N808" s="225"/>
      <c r="O808" s="225"/>
      <c r="P808" s="225"/>
      <c r="Q808" s="225"/>
      <c r="R808" s="225"/>
      <c r="S808" s="337"/>
      <c r="T808" s="224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69"/>
      <c r="H809" s="369"/>
      <c r="I809" s="376"/>
      <c r="J809" s="369"/>
      <c r="K809" s="370"/>
      <c r="L809" s="369"/>
      <c r="M809" s="369"/>
      <c r="N809" s="225"/>
      <c r="O809" s="225"/>
      <c r="P809" s="225"/>
      <c r="Q809" s="225"/>
      <c r="R809" s="225"/>
      <c r="S809" s="337"/>
      <c r="T809" s="224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69"/>
      <c r="H810" s="369"/>
      <c r="I810" s="376"/>
      <c r="J810" s="369"/>
      <c r="K810" s="370"/>
      <c r="L810" s="369"/>
      <c r="M810" s="369"/>
      <c r="N810" s="225"/>
      <c r="O810" s="225"/>
      <c r="P810" s="225"/>
      <c r="Q810" s="225"/>
      <c r="R810" s="225"/>
      <c r="S810" s="337"/>
      <c r="T810" s="224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69"/>
      <c r="H811" s="369"/>
      <c r="I811" s="376"/>
      <c r="J811" s="369"/>
      <c r="K811" s="370"/>
      <c r="L811" s="369"/>
      <c r="M811" s="369"/>
      <c r="N811" s="225"/>
      <c r="O811" s="225"/>
      <c r="P811" s="225"/>
      <c r="Q811" s="225"/>
      <c r="R811" s="225"/>
      <c r="S811" s="337"/>
      <c r="T811" s="224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69"/>
      <c r="H812" s="369"/>
      <c r="I812" s="376"/>
      <c r="J812" s="369"/>
      <c r="K812" s="370"/>
      <c r="L812" s="369"/>
      <c r="M812" s="369"/>
      <c r="N812" s="225"/>
      <c r="O812" s="225"/>
      <c r="P812" s="225"/>
      <c r="Q812" s="225"/>
      <c r="R812" s="225"/>
      <c r="S812" s="337"/>
      <c r="T812" s="224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69"/>
      <c r="H813" s="369"/>
      <c r="I813" s="376"/>
      <c r="J813" s="369"/>
      <c r="K813" s="370"/>
      <c r="L813" s="369"/>
      <c r="M813" s="369"/>
      <c r="N813" s="225"/>
      <c r="O813" s="225"/>
      <c r="P813" s="225"/>
      <c r="Q813" s="225"/>
      <c r="R813" s="225"/>
      <c r="S813" s="337"/>
      <c r="T813" s="224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69"/>
      <c r="H814" s="369"/>
      <c r="I814" s="376"/>
      <c r="J814" s="369"/>
      <c r="K814" s="370"/>
      <c r="L814" s="369"/>
      <c r="M814" s="369"/>
      <c r="N814" s="225"/>
      <c r="O814" s="225"/>
      <c r="P814" s="225"/>
      <c r="Q814" s="225"/>
      <c r="R814" s="225"/>
      <c r="S814" s="337"/>
      <c r="T814" s="224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69"/>
      <c r="H815" s="369"/>
      <c r="I815" s="376"/>
      <c r="J815" s="369"/>
      <c r="K815" s="370"/>
      <c r="L815" s="369"/>
      <c r="M815" s="369"/>
      <c r="N815" s="225"/>
      <c r="O815" s="225"/>
      <c r="P815" s="225"/>
      <c r="Q815" s="225"/>
      <c r="R815" s="225"/>
      <c r="S815" s="337"/>
      <c r="T815" s="224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69"/>
      <c r="H816" s="369"/>
      <c r="I816" s="376"/>
      <c r="J816" s="369"/>
      <c r="K816" s="370"/>
      <c r="L816" s="369"/>
      <c r="M816" s="369"/>
      <c r="N816" s="225"/>
      <c r="O816" s="225"/>
      <c r="P816" s="225"/>
      <c r="Q816" s="225"/>
      <c r="R816" s="225"/>
      <c r="S816" s="337"/>
      <c r="T816" s="224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69"/>
      <c r="H817" s="369"/>
      <c r="I817" s="376"/>
      <c r="J817" s="369"/>
      <c r="K817" s="370"/>
      <c r="L817" s="369"/>
      <c r="M817" s="369"/>
      <c r="N817" s="225"/>
      <c r="O817" s="225"/>
      <c r="P817" s="225"/>
      <c r="Q817" s="225"/>
      <c r="R817" s="225"/>
      <c r="S817" s="337"/>
      <c r="T817" s="224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69"/>
      <c r="H818" s="369"/>
      <c r="I818" s="376"/>
      <c r="J818" s="369"/>
      <c r="K818" s="370"/>
      <c r="L818" s="369"/>
      <c r="M818" s="369"/>
      <c r="N818" s="225"/>
      <c r="O818" s="225"/>
      <c r="P818" s="225"/>
      <c r="Q818" s="225"/>
      <c r="R818" s="225"/>
      <c r="S818" s="337"/>
      <c r="T818" s="224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69"/>
      <c r="H819" s="369"/>
      <c r="I819" s="376"/>
      <c r="J819" s="369"/>
      <c r="K819" s="370"/>
      <c r="L819" s="369"/>
      <c r="M819" s="369"/>
      <c r="N819" s="225"/>
      <c r="O819" s="225"/>
      <c r="P819" s="225"/>
      <c r="Q819" s="225"/>
      <c r="R819" s="225"/>
      <c r="S819" s="337"/>
      <c r="T819" s="224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69"/>
      <c r="H820" s="369"/>
      <c r="I820" s="376"/>
      <c r="J820" s="369"/>
      <c r="K820" s="370"/>
      <c r="L820" s="369"/>
      <c r="M820" s="369"/>
      <c r="N820" s="225"/>
      <c r="O820" s="225"/>
      <c r="P820" s="225"/>
      <c r="Q820" s="225"/>
      <c r="R820" s="225"/>
      <c r="S820" s="337"/>
      <c r="T820" s="224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69"/>
      <c r="H821" s="369"/>
      <c r="I821" s="376"/>
      <c r="J821" s="369"/>
      <c r="K821" s="370"/>
      <c r="L821" s="369"/>
      <c r="M821" s="369"/>
      <c r="N821" s="225"/>
      <c r="O821" s="225"/>
      <c r="P821" s="225"/>
      <c r="Q821" s="225"/>
      <c r="R821" s="225"/>
      <c r="S821" s="337"/>
      <c r="T821" s="224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69"/>
      <c r="H822" s="369"/>
      <c r="I822" s="376"/>
      <c r="J822" s="369"/>
      <c r="K822" s="370"/>
      <c r="L822" s="369"/>
      <c r="M822" s="369"/>
      <c r="N822" s="225"/>
      <c r="O822" s="225"/>
      <c r="P822" s="225"/>
      <c r="Q822" s="225"/>
      <c r="R822" s="225"/>
      <c r="S822" s="337"/>
      <c r="T822" s="224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69"/>
      <c r="H823" s="369"/>
      <c r="I823" s="376"/>
      <c r="J823" s="369"/>
      <c r="K823" s="370"/>
      <c r="L823" s="369"/>
      <c r="M823" s="369"/>
      <c r="N823" s="225"/>
      <c r="O823" s="225"/>
      <c r="P823" s="225"/>
      <c r="Q823" s="225"/>
      <c r="R823" s="225"/>
      <c r="S823" s="337"/>
      <c r="T823" s="224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69"/>
      <c r="H824" s="369"/>
      <c r="I824" s="376"/>
      <c r="J824" s="369"/>
      <c r="K824" s="370"/>
      <c r="L824" s="369"/>
      <c r="M824" s="369"/>
      <c r="N824" s="225"/>
      <c r="O824" s="225"/>
      <c r="P824" s="225"/>
      <c r="Q824" s="225"/>
      <c r="R824" s="225"/>
      <c r="S824" s="337"/>
      <c r="T824" s="224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69"/>
      <c r="H825" s="369"/>
      <c r="I825" s="376"/>
      <c r="J825" s="369"/>
      <c r="K825" s="370"/>
      <c r="L825" s="369"/>
      <c r="M825" s="369"/>
      <c r="N825" s="225"/>
      <c r="O825" s="225"/>
      <c r="P825" s="225"/>
      <c r="Q825" s="225"/>
      <c r="R825" s="225"/>
      <c r="S825" s="337"/>
      <c r="T825" s="224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69"/>
      <c r="H826" s="369"/>
      <c r="I826" s="376"/>
      <c r="J826" s="369"/>
      <c r="K826" s="370"/>
      <c r="L826" s="369"/>
      <c r="M826" s="369"/>
      <c r="N826" s="225"/>
      <c r="O826" s="225"/>
      <c r="P826" s="225"/>
      <c r="Q826" s="225"/>
      <c r="R826" s="225"/>
      <c r="S826" s="337"/>
      <c r="T826" s="224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69"/>
      <c r="H827" s="369"/>
      <c r="I827" s="376"/>
      <c r="J827" s="369"/>
      <c r="K827" s="370"/>
      <c r="L827" s="369"/>
      <c r="M827" s="369"/>
      <c r="N827" s="225"/>
      <c r="O827" s="225"/>
      <c r="P827" s="225"/>
      <c r="Q827" s="225"/>
      <c r="R827" s="225"/>
      <c r="S827" s="337"/>
      <c r="T827" s="224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69"/>
      <c r="H828" s="369"/>
      <c r="I828" s="376"/>
      <c r="J828" s="369"/>
      <c r="K828" s="370"/>
      <c r="L828" s="369"/>
      <c r="M828" s="369"/>
      <c r="N828" s="225"/>
      <c r="O828" s="225"/>
      <c r="P828" s="225"/>
      <c r="Q828" s="225"/>
      <c r="R828" s="225"/>
      <c r="S828" s="337"/>
      <c r="T828" s="224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69"/>
      <c r="H829" s="369"/>
      <c r="I829" s="376"/>
      <c r="J829" s="369"/>
      <c r="K829" s="370"/>
      <c r="L829" s="369"/>
      <c r="M829" s="369"/>
      <c r="N829" s="225"/>
      <c r="O829" s="225"/>
      <c r="P829" s="225"/>
      <c r="Q829" s="225"/>
      <c r="R829" s="225"/>
      <c r="S829" s="337"/>
      <c r="T829" s="224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69"/>
      <c r="H830" s="369"/>
      <c r="I830" s="376"/>
      <c r="J830" s="369"/>
      <c r="K830" s="370"/>
      <c r="L830" s="369"/>
      <c r="M830" s="369"/>
      <c r="N830" s="225"/>
      <c r="O830" s="225"/>
      <c r="P830" s="225"/>
      <c r="Q830" s="225"/>
      <c r="R830" s="225"/>
      <c r="S830" s="337"/>
      <c r="T830" s="224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69"/>
      <c r="H831" s="369"/>
      <c r="I831" s="376"/>
      <c r="J831" s="369"/>
      <c r="K831" s="370"/>
      <c r="L831" s="369"/>
      <c r="M831" s="369"/>
      <c r="N831" s="225"/>
      <c r="O831" s="225"/>
      <c r="P831" s="225"/>
      <c r="Q831" s="225"/>
      <c r="R831" s="225"/>
      <c r="S831" s="337"/>
      <c r="T831" s="224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69"/>
      <c r="H832" s="369"/>
      <c r="I832" s="376"/>
      <c r="J832" s="369"/>
      <c r="K832" s="370"/>
      <c r="L832" s="369"/>
      <c r="M832" s="369"/>
      <c r="N832" s="225"/>
      <c r="O832" s="225"/>
      <c r="P832" s="225"/>
      <c r="Q832" s="225"/>
      <c r="R832" s="225"/>
      <c r="S832" s="337"/>
      <c r="T832" s="224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69"/>
      <c r="H833" s="369"/>
      <c r="I833" s="376"/>
      <c r="J833" s="369"/>
      <c r="K833" s="370"/>
      <c r="L833" s="369"/>
      <c r="M833" s="369"/>
      <c r="N833" s="225"/>
      <c r="O833" s="225"/>
      <c r="P833" s="225"/>
      <c r="Q833" s="225"/>
      <c r="R833" s="225"/>
      <c r="S833" s="337"/>
      <c r="T833" s="224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69"/>
      <c r="H834" s="369"/>
      <c r="I834" s="376"/>
      <c r="J834" s="369"/>
      <c r="K834" s="370"/>
      <c r="L834" s="369"/>
      <c r="M834" s="369"/>
      <c r="N834" s="225"/>
      <c r="O834" s="225"/>
      <c r="P834" s="225"/>
      <c r="Q834" s="225"/>
      <c r="R834" s="225"/>
      <c r="S834" s="337"/>
      <c r="T834" s="224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69"/>
      <c r="H835" s="369"/>
      <c r="I835" s="376"/>
      <c r="J835" s="369"/>
      <c r="K835" s="370"/>
      <c r="L835" s="369"/>
      <c r="M835" s="369"/>
      <c r="N835" s="225"/>
      <c r="O835" s="225"/>
      <c r="P835" s="225"/>
      <c r="Q835" s="225"/>
      <c r="R835" s="225"/>
      <c r="S835" s="337"/>
      <c r="T835" s="224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69"/>
      <c r="H836" s="369"/>
      <c r="I836" s="376"/>
      <c r="J836" s="369"/>
      <c r="K836" s="370"/>
      <c r="L836" s="369"/>
      <c r="M836" s="369"/>
      <c r="N836" s="225"/>
      <c r="O836" s="225"/>
      <c r="P836" s="225"/>
      <c r="Q836" s="225"/>
      <c r="R836" s="225"/>
      <c r="S836" s="337"/>
      <c r="T836" s="224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69"/>
      <c r="H837" s="369"/>
      <c r="I837" s="376"/>
      <c r="J837" s="369"/>
      <c r="K837" s="370"/>
      <c r="L837" s="369"/>
      <c r="M837" s="369"/>
      <c r="N837" s="225"/>
      <c r="O837" s="225"/>
      <c r="P837" s="225"/>
      <c r="Q837" s="225"/>
      <c r="R837" s="225"/>
      <c r="S837" s="337"/>
      <c r="T837" s="224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69"/>
      <c r="H838" s="369"/>
      <c r="I838" s="376"/>
      <c r="J838" s="369"/>
      <c r="K838" s="370"/>
      <c r="L838" s="369"/>
      <c r="M838" s="369"/>
      <c r="N838" s="225"/>
      <c r="O838" s="225"/>
      <c r="P838" s="225"/>
      <c r="Q838" s="225"/>
      <c r="R838" s="225"/>
      <c r="S838" s="337"/>
      <c r="T838" s="224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69"/>
      <c r="H839" s="369"/>
      <c r="I839" s="376"/>
      <c r="J839" s="369"/>
      <c r="K839" s="370"/>
      <c r="L839" s="369"/>
      <c r="M839" s="369"/>
      <c r="N839" s="225"/>
      <c r="O839" s="225"/>
      <c r="P839" s="225"/>
      <c r="Q839" s="225"/>
      <c r="R839" s="225"/>
      <c r="S839" s="337"/>
      <c r="T839" s="224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69"/>
      <c r="H840" s="369"/>
      <c r="I840" s="376"/>
      <c r="J840" s="369"/>
      <c r="K840" s="370"/>
      <c r="L840" s="369"/>
      <c r="M840" s="369"/>
      <c r="N840" s="225"/>
      <c r="O840" s="225"/>
      <c r="P840" s="225"/>
      <c r="Q840" s="225"/>
      <c r="R840" s="225"/>
      <c r="S840" s="337"/>
      <c r="T840" s="224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69"/>
      <c r="H841" s="369"/>
      <c r="I841" s="376"/>
      <c r="J841" s="369"/>
      <c r="K841" s="370"/>
      <c r="L841" s="369"/>
      <c r="M841" s="369"/>
      <c r="N841" s="225"/>
      <c r="O841" s="225"/>
      <c r="P841" s="225"/>
      <c r="Q841" s="225"/>
      <c r="R841" s="225"/>
      <c r="S841" s="337"/>
      <c r="T841" s="224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69"/>
      <c r="H842" s="369"/>
      <c r="I842" s="376"/>
      <c r="J842" s="369"/>
      <c r="K842" s="370"/>
      <c r="L842" s="369"/>
      <c r="M842" s="369"/>
      <c r="N842" s="225"/>
      <c r="O842" s="225"/>
      <c r="P842" s="225"/>
      <c r="Q842" s="225"/>
      <c r="R842" s="225"/>
      <c r="S842" s="337"/>
      <c r="T842" s="224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69"/>
      <c r="H843" s="369"/>
      <c r="I843" s="376"/>
      <c r="J843" s="369"/>
      <c r="K843" s="370"/>
      <c r="L843" s="369"/>
      <c r="M843" s="369"/>
      <c r="N843" s="225"/>
      <c r="O843" s="225"/>
      <c r="P843" s="225"/>
      <c r="Q843" s="225"/>
      <c r="R843" s="225"/>
      <c r="S843" s="337"/>
      <c r="T843" s="224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69"/>
      <c r="H844" s="369"/>
      <c r="I844" s="376"/>
      <c r="J844" s="369"/>
      <c r="K844" s="370"/>
      <c r="L844" s="369"/>
      <c r="M844" s="369"/>
      <c r="N844" s="225"/>
      <c r="O844" s="225"/>
      <c r="P844" s="225"/>
      <c r="Q844" s="225"/>
      <c r="R844" s="225"/>
      <c r="S844" s="337"/>
      <c r="T844" s="224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69"/>
      <c r="H845" s="369"/>
      <c r="I845" s="376"/>
      <c r="J845" s="369"/>
      <c r="K845" s="370"/>
      <c r="L845" s="369"/>
      <c r="M845" s="369"/>
      <c r="N845" s="225"/>
      <c r="O845" s="225"/>
      <c r="P845" s="225"/>
      <c r="Q845" s="225"/>
      <c r="R845" s="225"/>
      <c r="S845" s="337"/>
      <c r="T845" s="224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69"/>
      <c r="H846" s="369"/>
      <c r="I846" s="376"/>
      <c r="J846" s="369"/>
      <c r="K846" s="370"/>
      <c r="L846" s="369"/>
      <c r="M846" s="369"/>
      <c r="N846" s="225"/>
      <c r="O846" s="225"/>
      <c r="P846" s="225"/>
      <c r="Q846" s="225"/>
      <c r="R846" s="225"/>
      <c r="S846" s="337"/>
      <c r="T846" s="224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69"/>
      <c r="H847" s="369"/>
      <c r="I847" s="376"/>
      <c r="J847" s="369"/>
      <c r="K847" s="370"/>
      <c r="L847" s="369"/>
      <c r="M847" s="369"/>
      <c r="N847" s="225"/>
      <c r="O847" s="225"/>
      <c r="P847" s="225"/>
      <c r="Q847" s="225"/>
      <c r="R847" s="225"/>
      <c r="S847" s="337"/>
      <c r="T847" s="224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69"/>
      <c r="H848" s="369"/>
      <c r="I848" s="376"/>
      <c r="J848" s="369"/>
      <c r="K848" s="370"/>
      <c r="L848" s="369"/>
      <c r="M848" s="369"/>
      <c r="N848" s="225"/>
      <c r="O848" s="225"/>
      <c r="P848" s="225"/>
      <c r="Q848" s="225"/>
      <c r="R848" s="225"/>
      <c r="S848" s="337"/>
      <c r="T848" s="224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69"/>
      <c r="H849" s="369"/>
      <c r="I849" s="376"/>
      <c r="J849" s="369"/>
      <c r="K849" s="370"/>
      <c r="L849" s="369"/>
      <c r="M849" s="369"/>
      <c r="N849" s="225"/>
      <c r="O849" s="225"/>
      <c r="P849" s="225"/>
      <c r="Q849" s="225"/>
      <c r="R849" s="225"/>
      <c r="S849" s="337"/>
      <c r="T849" s="224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69"/>
      <c r="H850" s="369"/>
      <c r="I850" s="376"/>
      <c r="J850" s="369"/>
      <c r="K850" s="370"/>
      <c r="L850" s="369"/>
      <c r="M850" s="369"/>
      <c r="N850" s="225"/>
      <c r="O850" s="225"/>
      <c r="P850" s="225"/>
      <c r="Q850" s="225"/>
      <c r="R850" s="225"/>
      <c r="S850" s="337"/>
      <c r="T850" s="224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69"/>
      <c r="H851" s="369"/>
      <c r="I851" s="376"/>
      <c r="J851" s="369"/>
      <c r="K851" s="370"/>
      <c r="L851" s="369"/>
      <c r="M851" s="369"/>
      <c r="N851" s="225"/>
      <c r="O851" s="225"/>
      <c r="P851" s="225"/>
      <c r="Q851" s="225"/>
      <c r="R851" s="225"/>
      <c r="S851" s="337"/>
      <c r="T851" s="224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69"/>
      <c r="H852" s="369"/>
      <c r="I852" s="376"/>
      <c r="J852" s="369"/>
      <c r="K852" s="370"/>
      <c r="L852" s="369"/>
      <c r="M852" s="369"/>
      <c r="N852" s="225"/>
      <c r="O852" s="225"/>
      <c r="P852" s="225"/>
      <c r="Q852" s="225"/>
      <c r="R852" s="225"/>
      <c r="S852" s="337"/>
      <c r="T852" s="224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69"/>
      <c r="H853" s="369"/>
      <c r="I853" s="376"/>
      <c r="J853" s="369"/>
      <c r="K853" s="370"/>
      <c r="L853" s="369"/>
      <c r="M853" s="369"/>
      <c r="N853" s="225"/>
      <c r="O853" s="225"/>
      <c r="P853" s="225"/>
      <c r="Q853" s="225"/>
      <c r="R853" s="225"/>
      <c r="S853" s="337"/>
      <c r="T853" s="224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69"/>
      <c r="H854" s="369"/>
      <c r="I854" s="376"/>
      <c r="J854" s="369"/>
      <c r="K854" s="370"/>
      <c r="L854" s="369"/>
      <c r="M854" s="369"/>
      <c r="N854" s="225"/>
      <c r="O854" s="225"/>
      <c r="P854" s="225"/>
      <c r="Q854" s="225"/>
      <c r="R854" s="225"/>
      <c r="S854" s="337"/>
      <c r="T854" s="224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69"/>
      <c r="H855" s="369"/>
      <c r="I855" s="376"/>
      <c r="J855" s="369"/>
      <c r="K855" s="370"/>
      <c r="L855" s="369"/>
      <c r="M855" s="369"/>
      <c r="N855" s="225"/>
      <c r="O855" s="225"/>
      <c r="P855" s="225"/>
      <c r="Q855" s="225"/>
      <c r="R855" s="225"/>
      <c r="S855" s="337"/>
      <c r="T855" s="224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69"/>
      <c r="H856" s="369"/>
      <c r="I856" s="376"/>
      <c r="J856" s="369"/>
      <c r="K856" s="370"/>
      <c r="L856" s="369"/>
      <c r="M856" s="369"/>
      <c r="N856" s="225"/>
      <c r="O856" s="225"/>
      <c r="P856" s="225"/>
      <c r="Q856" s="225"/>
      <c r="R856" s="225"/>
      <c r="S856" s="337"/>
      <c r="T856" s="224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69"/>
      <c r="H857" s="369"/>
      <c r="I857" s="376"/>
      <c r="J857" s="369"/>
      <c r="K857" s="370"/>
      <c r="L857" s="369"/>
      <c r="M857" s="369"/>
      <c r="N857" s="225"/>
      <c r="O857" s="225"/>
      <c r="P857" s="225"/>
      <c r="Q857" s="225"/>
      <c r="R857" s="225"/>
      <c r="S857" s="337"/>
      <c r="T857" s="224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69"/>
      <c r="H858" s="369"/>
      <c r="I858" s="376"/>
      <c r="J858" s="369"/>
      <c r="K858" s="370"/>
      <c r="L858" s="369"/>
      <c r="M858" s="369"/>
      <c r="N858" s="225"/>
      <c r="O858" s="225"/>
      <c r="P858" s="225"/>
      <c r="Q858" s="225"/>
      <c r="R858" s="225"/>
      <c r="S858" s="337"/>
      <c r="T858" s="224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69"/>
      <c r="H859" s="369"/>
      <c r="I859" s="376"/>
      <c r="J859" s="369"/>
      <c r="K859" s="370"/>
      <c r="L859" s="369"/>
      <c r="M859" s="369"/>
      <c r="N859" s="225"/>
      <c r="O859" s="225"/>
      <c r="P859" s="225"/>
      <c r="Q859" s="225"/>
      <c r="R859" s="225"/>
      <c r="S859" s="337"/>
      <c r="T859" s="224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69"/>
      <c r="H860" s="369"/>
      <c r="I860" s="376"/>
      <c r="J860" s="369"/>
      <c r="K860" s="370"/>
      <c r="L860" s="369"/>
      <c r="M860" s="369"/>
      <c r="N860" s="225"/>
      <c r="O860" s="225"/>
      <c r="P860" s="225"/>
      <c r="Q860" s="225"/>
      <c r="R860" s="225"/>
      <c r="S860" s="337"/>
      <c r="T860" s="224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69"/>
      <c r="H861" s="369"/>
      <c r="I861" s="376"/>
      <c r="J861" s="369"/>
      <c r="K861" s="370"/>
      <c r="L861" s="369"/>
      <c r="M861" s="369"/>
      <c r="N861" s="225"/>
      <c r="O861" s="225"/>
      <c r="P861" s="225"/>
      <c r="Q861" s="225"/>
      <c r="R861" s="225"/>
      <c r="S861" s="337"/>
      <c r="T861" s="224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69"/>
      <c r="H862" s="369"/>
      <c r="I862" s="376"/>
      <c r="J862" s="369"/>
      <c r="K862" s="370"/>
      <c r="L862" s="369"/>
      <c r="M862" s="369"/>
      <c r="N862" s="225"/>
      <c r="O862" s="225"/>
      <c r="P862" s="225"/>
      <c r="Q862" s="225"/>
      <c r="R862" s="225"/>
      <c r="S862" s="337"/>
      <c r="T862" s="224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69"/>
      <c r="H863" s="369"/>
      <c r="I863" s="376"/>
      <c r="J863" s="369"/>
      <c r="K863" s="370"/>
      <c r="L863" s="369"/>
      <c r="M863" s="369"/>
      <c r="N863" s="225"/>
      <c r="O863" s="225"/>
      <c r="P863" s="225"/>
      <c r="Q863" s="225"/>
      <c r="R863" s="225"/>
      <c r="S863" s="337"/>
      <c r="T863" s="224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69"/>
      <c r="H864" s="369"/>
      <c r="I864" s="376"/>
      <c r="J864" s="369"/>
      <c r="K864" s="370"/>
      <c r="L864" s="369"/>
      <c r="M864" s="369"/>
      <c r="N864" s="225"/>
      <c r="O864" s="225"/>
      <c r="P864" s="225"/>
      <c r="Q864" s="225"/>
      <c r="R864" s="225"/>
      <c r="S864" s="337"/>
      <c r="T864" s="224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69"/>
      <c r="H865" s="369"/>
      <c r="I865" s="376"/>
      <c r="J865" s="369"/>
      <c r="K865" s="370"/>
      <c r="L865" s="369"/>
      <c r="M865" s="369"/>
      <c r="N865" s="225"/>
      <c r="O865" s="225"/>
      <c r="P865" s="225"/>
      <c r="Q865" s="225"/>
      <c r="R865" s="225"/>
      <c r="S865" s="337"/>
      <c r="T865" s="224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69"/>
      <c r="H866" s="369"/>
      <c r="I866" s="376"/>
      <c r="J866" s="369"/>
      <c r="K866" s="370"/>
      <c r="L866" s="369"/>
      <c r="M866" s="369"/>
      <c r="N866" s="225"/>
      <c r="O866" s="225"/>
      <c r="P866" s="225"/>
      <c r="Q866" s="225"/>
      <c r="R866" s="225"/>
      <c r="S866" s="337"/>
      <c r="T866" s="224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69"/>
      <c r="H867" s="369"/>
      <c r="I867" s="376"/>
      <c r="J867" s="369"/>
      <c r="K867" s="370"/>
      <c r="L867" s="369"/>
      <c r="M867" s="369"/>
      <c r="N867" s="225"/>
      <c r="O867" s="225"/>
      <c r="P867" s="225"/>
      <c r="Q867" s="225"/>
      <c r="R867" s="225"/>
      <c r="S867" s="337"/>
      <c r="T867" s="224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69"/>
      <c r="H868" s="369"/>
      <c r="I868" s="376"/>
      <c r="J868" s="369"/>
      <c r="K868" s="370"/>
      <c r="L868" s="369"/>
      <c r="M868" s="369"/>
      <c r="N868" s="225"/>
      <c r="O868" s="225"/>
      <c r="P868" s="225"/>
      <c r="Q868" s="225"/>
      <c r="R868" s="225"/>
      <c r="S868" s="337"/>
      <c r="T868" s="224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69"/>
      <c r="H869" s="369"/>
      <c r="I869" s="376"/>
      <c r="J869" s="369"/>
      <c r="K869" s="370"/>
      <c r="L869" s="369"/>
      <c r="M869" s="369"/>
      <c r="N869" s="225"/>
      <c r="O869" s="225"/>
      <c r="P869" s="225"/>
      <c r="Q869" s="225"/>
      <c r="R869" s="225"/>
      <c r="S869" s="337"/>
      <c r="T869" s="224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69"/>
      <c r="H870" s="369"/>
      <c r="I870" s="376"/>
      <c r="J870" s="369"/>
      <c r="K870" s="370"/>
      <c r="L870" s="369"/>
      <c r="M870" s="369"/>
      <c r="N870" s="225"/>
      <c r="O870" s="225"/>
      <c r="P870" s="225"/>
      <c r="Q870" s="225"/>
      <c r="R870" s="225"/>
      <c r="S870" s="337"/>
      <c r="T870" s="224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69"/>
      <c r="H871" s="369"/>
      <c r="I871" s="376"/>
      <c r="J871" s="369"/>
      <c r="K871" s="370"/>
      <c r="L871" s="369"/>
      <c r="M871" s="369"/>
      <c r="N871" s="225"/>
      <c r="O871" s="225"/>
      <c r="P871" s="225"/>
      <c r="Q871" s="225"/>
      <c r="R871" s="225"/>
      <c r="S871" s="337"/>
      <c r="T871" s="224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69"/>
      <c r="H872" s="369"/>
      <c r="I872" s="376"/>
      <c r="J872" s="369"/>
      <c r="K872" s="370"/>
      <c r="L872" s="369"/>
      <c r="M872" s="369"/>
      <c r="N872" s="225"/>
      <c r="O872" s="225"/>
      <c r="P872" s="225"/>
      <c r="Q872" s="225"/>
      <c r="R872" s="225"/>
      <c r="S872" s="337"/>
      <c r="T872" s="224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69"/>
      <c r="H873" s="369"/>
      <c r="I873" s="376"/>
      <c r="J873" s="369"/>
      <c r="K873" s="370"/>
      <c r="L873" s="369"/>
      <c r="M873" s="369"/>
      <c r="N873" s="225"/>
      <c r="O873" s="225"/>
      <c r="P873" s="225"/>
      <c r="Q873" s="225"/>
      <c r="R873" s="225"/>
      <c r="S873" s="337"/>
      <c r="T873" s="224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69"/>
      <c r="H874" s="369"/>
      <c r="I874" s="376"/>
      <c r="J874" s="369"/>
      <c r="K874" s="370"/>
      <c r="L874" s="369"/>
      <c r="M874" s="369"/>
      <c r="N874" s="225"/>
      <c r="O874" s="225"/>
      <c r="P874" s="225"/>
      <c r="Q874" s="225"/>
      <c r="R874" s="225"/>
      <c r="S874" s="337"/>
      <c r="T874" s="224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69"/>
      <c r="H875" s="369"/>
      <c r="I875" s="376"/>
      <c r="J875" s="369"/>
      <c r="K875" s="370"/>
      <c r="L875" s="369"/>
      <c r="M875" s="369"/>
      <c r="N875" s="225"/>
      <c r="O875" s="225"/>
      <c r="P875" s="225"/>
      <c r="Q875" s="225"/>
      <c r="R875" s="225"/>
      <c r="S875" s="337"/>
      <c r="T875" s="224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69"/>
      <c r="H876" s="369"/>
      <c r="I876" s="376"/>
      <c r="J876" s="369"/>
      <c r="K876" s="370"/>
      <c r="L876" s="369"/>
      <c r="M876" s="369"/>
      <c r="N876" s="225"/>
      <c r="O876" s="225"/>
      <c r="P876" s="225"/>
      <c r="Q876" s="225"/>
      <c r="R876" s="225"/>
      <c r="S876" s="337"/>
      <c r="T876" s="224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69"/>
      <c r="H877" s="369"/>
      <c r="I877" s="376"/>
      <c r="J877" s="369"/>
      <c r="K877" s="370"/>
      <c r="L877" s="369"/>
      <c r="M877" s="369"/>
      <c r="N877" s="225"/>
      <c r="O877" s="225"/>
      <c r="P877" s="225"/>
      <c r="Q877" s="225"/>
      <c r="R877" s="225"/>
      <c r="S877" s="337"/>
      <c r="T877" s="224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69"/>
      <c r="H878" s="369"/>
      <c r="I878" s="376"/>
      <c r="J878" s="369"/>
      <c r="K878" s="370"/>
      <c r="L878" s="369"/>
      <c r="M878" s="369"/>
      <c r="N878" s="225"/>
      <c r="O878" s="225"/>
      <c r="P878" s="225"/>
      <c r="Q878" s="225"/>
      <c r="R878" s="225"/>
      <c r="S878" s="337"/>
      <c r="T878" s="224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69"/>
      <c r="H879" s="369"/>
      <c r="I879" s="376"/>
      <c r="J879" s="369"/>
      <c r="K879" s="370"/>
      <c r="L879" s="369"/>
      <c r="M879" s="369"/>
      <c r="N879" s="225"/>
      <c r="O879" s="225"/>
      <c r="P879" s="225"/>
      <c r="Q879" s="225"/>
      <c r="R879" s="225"/>
      <c r="S879" s="337"/>
      <c r="T879" s="224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69"/>
      <c r="H880" s="369"/>
      <c r="I880" s="376"/>
      <c r="J880" s="369"/>
      <c r="K880" s="370"/>
      <c r="L880" s="369"/>
      <c r="M880" s="369"/>
      <c r="N880" s="225"/>
      <c r="O880" s="225"/>
      <c r="P880" s="225"/>
      <c r="Q880" s="225"/>
      <c r="R880" s="225"/>
      <c r="S880" s="337"/>
      <c r="T880" s="224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69"/>
      <c r="H881" s="369"/>
      <c r="I881" s="376"/>
      <c r="J881" s="369"/>
      <c r="K881" s="370"/>
      <c r="L881" s="369"/>
      <c r="M881" s="369"/>
      <c r="N881" s="225"/>
      <c r="O881" s="225"/>
      <c r="P881" s="225"/>
      <c r="Q881" s="225"/>
      <c r="R881" s="225"/>
      <c r="S881" s="337"/>
      <c r="T881" s="224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69"/>
      <c r="H882" s="369"/>
      <c r="I882" s="376"/>
      <c r="J882" s="369"/>
      <c r="K882" s="370"/>
      <c r="L882" s="369"/>
      <c r="M882" s="369"/>
      <c r="N882" s="225"/>
      <c r="O882" s="225"/>
      <c r="P882" s="225"/>
      <c r="Q882" s="225"/>
      <c r="R882" s="225"/>
      <c r="S882" s="337"/>
      <c r="T882" s="224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69"/>
      <c r="H883" s="369"/>
      <c r="I883" s="376"/>
      <c r="J883" s="369"/>
      <c r="K883" s="370"/>
      <c r="L883" s="369"/>
      <c r="M883" s="369"/>
      <c r="N883" s="225"/>
      <c r="O883" s="225"/>
      <c r="P883" s="225"/>
      <c r="Q883" s="225"/>
      <c r="R883" s="225"/>
      <c r="S883" s="337"/>
      <c r="T883" s="224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69"/>
      <c r="H884" s="369"/>
      <c r="I884" s="376"/>
      <c r="J884" s="369"/>
      <c r="K884" s="370"/>
      <c r="L884" s="369"/>
      <c r="M884" s="369"/>
      <c r="N884" s="225"/>
      <c r="O884" s="225"/>
      <c r="P884" s="225"/>
      <c r="Q884" s="225"/>
      <c r="R884" s="225"/>
      <c r="S884" s="337"/>
      <c r="T884" s="224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69"/>
      <c r="H885" s="369"/>
      <c r="I885" s="376"/>
      <c r="J885" s="369"/>
      <c r="K885" s="370"/>
      <c r="L885" s="369"/>
      <c r="M885" s="369"/>
      <c r="N885" s="225"/>
      <c r="O885" s="225"/>
      <c r="P885" s="225"/>
      <c r="Q885" s="225"/>
      <c r="R885" s="225"/>
      <c r="S885" s="337"/>
      <c r="T885" s="224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69"/>
      <c r="H886" s="369"/>
      <c r="I886" s="376"/>
      <c r="J886" s="369"/>
      <c r="K886" s="370"/>
      <c r="L886" s="369"/>
      <c r="M886" s="369"/>
      <c r="N886" s="225"/>
      <c r="O886" s="225"/>
      <c r="P886" s="225"/>
      <c r="Q886" s="225"/>
      <c r="R886" s="225"/>
      <c r="S886" s="337"/>
      <c r="T886" s="224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69"/>
      <c r="H887" s="369"/>
      <c r="I887" s="376"/>
      <c r="J887" s="369"/>
      <c r="K887" s="370"/>
      <c r="L887" s="369"/>
      <c r="M887" s="369"/>
      <c r="N887" s="225"/>
      <c r="O887" s="225"/>
      <c r="P887" s="225"/>
      <c r="Q887" s="225"/>
      <c r="R887" s="225"/>
      <c r="S887" s="337"/>
      <c r="T887" s="224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69"/>
      <c r="H888" s="369"/>
      <c r="I888" s="376"/>
      <c r="J888" s="369"/>
      <c r="K888" s="370"/>
      <c r="L888" s="369"/>
      <c r="M888" s="369"/>
      <c r="N888" s="225"/>
      <c r="O888" s="225"/>
      <c r="P888" s="225"/>
      <c r="Q888" s="225"/>
      <c r="R888" s="225"/>
      <c r="S888" s="337"/>
      <c r="T888" s="224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69"/>
      <c r="H889" s="369"/>
      <c r="I889" s="376"/>
      <c r="J889" s="369"/>
      <c r="K889" s="370"/>
      <c r="L889" s="369"/>
      <c r="M889" s="369"/>
      <c r="N889" s="225"/>
      <c r="O889" s="225"/>
      <c r="P889" s="225"/>
      <c r="Q889" s="225"/>
      <c r="R889" s="225"/>
      <c r="S889" s="337"/>
      <c r="T889" s="224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69"/>
      <c r="H890" s="369"/>
      <c r="I890" s="376"/>
      <c r="J890" s="369"/>
      <c r="K890" s="370"/>
      <c r="L890" s="369"/>
      <c r="M890" s="369"/>
      <c r="N890" s="225"/>
      <c r="O890" s="225"/>
      <c r="P890" s="225"/>
      <c r="Q890" s="225"/>
      <c r="R890" s="225"/>
      <c r="S890" s="337"/>
      <c r="T890" s="224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69"/>
      <c r="H891" s="369"/>
      <c r="I891" s="376"/>
      <c r="J891" s="369"/>
      <c r="K891" s="370"/>
      <c r="L891" s="369"/>
      <c r="M891" s="369"/>
      <c r="N891" s="225"/>
      <c r="O891" s="225"/>
      <c r="P891" s="225"/>
      <c r="Q891" s="225"/>
      <c r="R891" s="225"/>
      <c r="S891" s="337"/>
      <c r="T891" s="224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69"/>
      <c r="H892" s="369"/>
      <c r="I892" s="376"/>
      <c r="J892" s="369"/>
      <c r="K892" s="370"/>
      <c r="L892" s="369"/>
      <c r="M892" s="369"/>
      <c r="N892" s="225"/>
      <c r="O892" s="225"/>
      <c r="P892" s="225"/>
      <c r="Q892" s="225"/>
      <c r="R892" s="225"/>
      <c r="S892" s="337"/>
      <c r="T892" s="224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69"/>
      <c r="H893" s="369"/>
      <c r="I893" s="376"/>
      <c r="J893" s="369"/>
      <c r="K893" s="370"/>
      <c r="L893" s="369"/>
      <c r="M893" s="369"/>
      <c r="N893" s="225"/>
      <c r="O893" s="225"/>
      <c r="P893" s="225"/>
      <c r="Q893" s="225"/>
      <c r="R893" s="225"/>
      <c r="S893" s="337"/>
      <c r="T893" s="224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69"/>
      <c r="H894" s="369"/>
      <c r="I894" s="376"/>
      <c r="J894" s="369"/>
      <c r="K894" s="370"/>
      <c r="L894" s="369"/>
      <c r="M894" s="369"/>
      <c r="N894" s="225"/>
      <c r="O894" s="225"/>
      <c r="P894" s="225"/>
      <c r="Q894" s="225"/>
      <c r="R894" s="225"/>
      <c r="S894" s="337"/>
      <c r="T894" s="224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69"/>
      <c r="H895" s="369"/>
      <c r="I895" s="376"/>
      <c r="J895" s="369"/>
      <c r="K895" s="370"/>
      <c r="L895" s="369"/>
      <c r="M895" s="369"/>
      <c r="N895" s="225"/>
      <c r="O895" s="225"/>
      <c r="P895" s="225"/>
      <c r="Q895" s="225"/>
      <c r="R895" s="225"/>
      <c r="S895" s="337"/>
      <c r="T895" s="224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69"/>
      <c r="H896" s="369"/>
      <c r="I896" s="376"/>
      <c r="J896" s="369"/>
      <c r="K896" s="370"/>
      <c r="L896" s="369"/>
      <c r="M896" s="369"/>
      <c r="N896" s="225"/>
      <c r="O896" s="225"/>
      <c r="P896" s="225"/>
      <c r="Q896" s="225"/>
      <c r="R896" s="225"/>
      <c r="S896" s="337"/>
      <c r="T896" s="224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69"/>
      <c r="H897" s="369"/>
      <c r="I897" s="376"/>
      <c r="J897" s="369"/>
      <c r="K897" s="370"/>
      <c r="L897" s="369"/>
      <c r="M897" s="369"/>
      <c r="N897" s="225"/>
      <c r="O897" s="225"/>
      <c r="P897" s="225"/>
      <c r="Q897" s="225"/>
      <c r="R897" s="225"/>
      <c r="S897" s="337"/>
      <c r="T897" s="224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69"/>
      <c r="H898" s="369"/>
      <c r="I898" s="376"/>
      <c r="J898" s="369"/>
      <c r="K898" s="370"/>
      <c r="L898" s="369"/>
      <c r="M898" s="369"/>
      <c r="N898" s="225"/>
      <c r="O898" s="225"/>
      <c r="P898" s="225"/>
      <c r="Q898" s="225"/>
      <c r="R898" s="225"/>
      <c r="S898" s="337"/>
      <c r="T898" s="224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69"/>
      <c r="H899" s="369"/>
      <c r="I899" s="376"/>
      <c r="J899" s="369"/>
      <c r="K899" s="370"/>
      <c r="L899" s="369"/>
      <c r="M899" s="369"/>
      <c r="N899" s="225"/>
      <c r="O899" s="225"/>
      <c r="P899" s="225"/>
      <c r="Q899" s="225"/>
      <c r="R899" s="225"/>
      <c r="S899" s="337"/>
      <c r="T899" s="224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69"/>
      <c r="H900" s="369"/>
      <c r="I900" s="376"/>
      <c r="J900" s="369"/>
      <c r="K900" s="370"/>
      <c r="L900" s="369"/>
      <c r="M900" s="369"/>
      <c r="N900" s="225"/>
      <c r="O900" s="225"/>
      <c r="P900" s="225"/>
      <c r="Q900" s="225"/>
      <c r="R900" s="225"/>
      <c r="S900" s="337"/>
      <c r="T900" s="224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69"/>
      <c r="H901" s="369"/>
      <c r="I901" s="376"/>
      <c r="J901" s="369"/>
      <c r="K901" s="370"/>
      <c r="L901" s="369"/>
      <c r="M901" s="369"/>
      <c r="N901" s="225"/>
      <c r="O901" s="225"/>
      <c r="P901" s="225"/>
      <c r="Q901" s="225"/>
      <c r="R901" s="225"/>
      <c r="S901" s="337"/>
      <c r="T901" s="224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69"/>
      <c r="H902" s="369"/>
      <c r="I902" s="376"/>
      <c r="J902" s="369"/>
      <c r="K902" s="370"/>
      <c r="L902" s="369"/>
      <c r="M902" s="369"/>
      <c r="N902" s="225"/>
      <c r="O902" s="225"/>
      <c r="P902" s="225"/>
      <c r="Q902" s="225"/>
      <c r="R902" s="225"/>
      <c r="S902" s="337"/>
      <c r="T902" s="224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69"/>
      <c r="H903" s="369"/>
      <c r="I903" s="376"/>
      <c r="J903" s="369"/>
      <c r="K903" s="370"/>
      <c r="L903" s="369"/>
      <c r="M903" s="369"/>
      <c r="N903" s="225"/>
      <c r="O903" s="225"/>
      <c r="P903" s="225"/>
      <c r="Q903" s="225"/>
      <c r="R903" s="225"/>
      <c r="S903" s="337"/>
      <c r="T903" s="224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69"/>
      <c r="H904" s="369"/>
      <c r="I904" s="376"/>
      <c r="J904" s="369"/>
      <c r="K904" s="370"/>
      <c r="L904" s="369"/>
      <c r="M904" s="369"/>
      <c r="N904" s="225"/>
      <c r="O904" s="225"/>
      <c r="P904" s="225"/>
      <c r="Q904" s="225"/>
      <c r="R904" s="225"/>
      <c r="S904" s="337"/>
      <c r="T904" s="224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69"/>
      <c r="H905" s="369"/>
      <c r="I905" s="376"/>
      <c r="J905" s="369"/>
      <c r="K905" s="370"/>
      <c r="L905" s="369"/>
      <c r="M905" s="369"/>
      <c r="N905" s="225"/>
      <c r="O905" s="225"/>
      <c r="P905" s="225"/>
      <c r="Q905" s="225"/>
      <c r="R905" s="225"/>
      <c r="S905" s="337"/>
      <c r="T905" s="224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69"/>
      <c r="H906" s="369"/>
      <c r="I906" s="376"/>
      <c r="J906" s="369"/>
      <c r="K906" s="370"/>
      <c r="L906" s="369"/>
      <c r="M906" s="369"/>
      <c r="N906" s="225"/>
      <c r="O906" s="225"/>
      <c r="P906" s="225"/>
      <c r="Q906" s="225"/>
      <c r="R906" s="225"/>
      <c r="S906" s="337"/>
      <c r="T906" s="224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69"/>
      <c r="H907" s="369"/>
      <c r="I907" s="376"/>
      <c r="J907" s="369"/>
      <c r="K907" s="370"/>
      <c r="L907" s="369"/>
      <c r="M907" s="369"/>
      <c r="N907" s="225"/>
      <c r="O907" s="225"/>
      <c r="P907" s="225"/>
      <c r="Q907" s="225"/>
      <c r="R907" s="225"/>
      <c r="S907" s="337"/>
      <c r="T907" s="224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69"/>
      <c r="H908" s="369"/>
      <c r="I908" s="376"/>
      <c r="J908" s="369"/>
      <c r="K908" s="370"/>
      <c r="L908" s="369"/>
      <c r="M908" s="369"/>
      <c r="N908" s="225"/>
      <c r="O908" s="225"/>
      <c r="P908" s="225"/>
      <c r="Q908" s="225"/>
      <c r="R908" s="225"/>
      <c r="S908" s="337"/>
      <c r="T908" s="224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69"/>
      <c r="H909" s="369"/>
      <c r="I909" s="376"/>
      <c r="J909" s="369"/>
      <c r="K909" s="370"/>
      <c r="L909" s="369"/>
      <c r="M909" s="369"/>
      <c r="N909" s="225"/>
      <c r="O909" s="225"/>
      <c r="P909" s="225"/>
      <c r="Q909" s="225"/>
      <c r="R909" s="225"/>
      <c r="S909" s="337"/>
      <c r="T909" s="224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69"/>
      <c r="H910" s="369"/>
      <c r="I910" s="376"/>
      <c r="J910" s="369"/>
      <c r="K910" s="370"/>
      <c r="L910" s="369"/>
      <c r="M910" s="369"/>
      <c r="N910" s="225"/>
      <c r="O910" s="225"/>
      <c r="P910" s="225"/>
      <c r="Q910" s="225"/>
      <c r="R910" s="225"/>
      <c r="S910" s="337"/>
      <c r="T910" s="224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69"/>
      <c r="H911" s="369"/>
      <c r="I911" s="376"/>
      <c r="J911" s="369"/>
      <c r="K911" s="370"/>
      <c r="L911" s="369"/>
      <c r="M911" s="369"/>
      <c r="N911" s="225"/>
      <c r="O911" s="225"/>
      <c r="P911" s="225"/>
      <c r="Q911" s="225"/>
      <c r="R911" s="225"/>
      <c r="S911" s="337"/>
      <c r="T911" s="224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69"/>
      <c r="H912" s="369"/>
      <c r="I912" s="376"/>
      <c r="J912" s="369"/>
      <c r="K912" s="370"/>
      <c r="L912" s="369"/>
      <c r="M912" s="369"/>
      <c r="N912" s="225"/>
      <c r="O912" s="225"/>
      <c r="P912" s="225"/>
      <c r="Q912" s="225"/>
      <c r="R912" s="225"/>
      <c r="S912" s="337"/>
      <c r="T912" s="224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69"/>
      <c r="H913" s="369"/>
      <c r="I913" s="376"/>
      <c r="J913" s="369"/>
      <c r="K913" s="370"/>
      <c r="L913" s="369"/>
      <c r="M913" s="369"/>
      <c r="N913" s="225"/>
      <c r="O913" s="225"/>
      <c r="P913" s="225"/>
      <c r="Q913" s="225"/>
      <c r="R913" s="225"/>
      <c r="S913" s="337"/>
      <c r="T913" s="224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69"/>
      <c r="H914" s="369"/>
      <c r="I914" s="376"/>
      <c r="J914" s="369"/>
      <c r="K914" s="370"/>
      <c r="L914" s="369"/>
      <c r="M914" s="369"/>
      <c r="N914" s="225"/>
      <c r="O914" s="225"/>
      <c r="P914" s="225"/>
      <c r="Q914" s="225"/>
      <c r="R914" s="225"/>
      <c r="S914" s="337"/>
      <c r="T914" s="224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69"/>
      <c r="H915" s="369"/>
      <c r="I915" s="376"/>
      <c r="J915" s="369"/>
      <c r="K915" s="370"/>
      <c r="L915" s="369"/>
      <c r="M915" s="369"/>
      <c r="N915" s="225"/>
      <c r="O915" s="225"/>
      <c r="P915" s="225"/>
      <c r="Q915" s="225"/>
      <c r="R915" s="225"/>
      <c r="S915" s="337"/>
      <c r="T915" s="224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69"/>
      <c r="H916" s="369"/>
      <c r="I916" s="376"/>
      <c r="J916" s="369"/>
      <c r="K916" s="370"/>
      <c r="L916" s="369"/>
      <c r="M916" s="369"/>
      <c r="N916" s="225"/>
      <c r="O916" s="225"/>
      <c r="P916" s="225"/>
      <c r="Q916" s="225"/>
      <c r="R916" s="225"/>
      <c r="S916" s="337"/>
      <c r="T916" s="224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69"/>
      <c r="H917" s="369"/>
      <c r="I917" s="376"/>
      <c r="J917" s="369"/>
      <c r="K917" s="370"/>
      <c r="L917" s="369"/>
      <c r="M917" s="369"/>
      <c r="N917" s="225"/>
      <c r="O917" s="225"/>
      <c r="P917" s="225"/>
      <c r="Q917" s="225"/>
      <c r="R917" s="225"/>
      <c r="S917" s="337"/>
      <c r="T917" s="224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69"/>
      <c r="H918" s="369"/>
      <c r="I918" s="376"/>
      <c r="J918" s="369"/>
      <c r="K918" s="370"/>
      <c r="L918" s="369"/>
      <c r="M918" s="369"/>
      <c r="N918" s="225"/>
      <c r="O918" s="225"/>
      <c r="P918" s="225"/>
      <c r="Q918" s="225"/>
      <c r="R918" s="225"/>
      <c r="S918" s="337"/>
      <c r="T918" s="224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69"/>
      <c r="H919" s="369"/>
      <c r="I919" s="376"/>
      <c r="J919" s="369"/>
      <c r="K919" s="370"/>
      <c r="L919" s="369"/>
      <c r="M919" s="369"/>
      <c r="N919" s="225"/>
      <c r="O919" s="225"/>
      <c r="P919" s="225"/>
      <c r="Q919" s="225"/>
      <c r="R919" s="225"/>
      <c r="S919" s="337"/>
      <c r="T919" s="224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69"/>
      <c r="H920" s="369"/>
      <c r="I920" s="376"/>
      <c r="J920" s="369"/>
      <c r="K920" s="370"/>
      <c r="L920" s="369"/>
      <c r="M920" s="369"/>
      <c r="N920" s="225"/>
      <c r="O920" s="225"/>
      <c r="P920" s="225"/>
      <c r="Q920" s="225"/>
      <c r="R920" s="225"/>
      <c r="S920" s="337"/>
      <c r="T920" s="224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69"/>
      <c r="H921" s="369"/>
      <c r="I921" s="376"/>
      <c r="J921" s="369"/>
      <c r="K921" s="370"/>
      <c r="L921" s="369"/>
      <c r="M921" s="369"/>
      <c r="N921" s="225"/>
      <c r="O921" s="225"/>
      <c r="P921" s="225"/>
      <c r="Q921" s="225"/>
      <c r="R921" s="225"/>
      <c r="S921" s="337"/>
      <c r="T921" s="224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69"/>
      <c r="H922" s="369"/>
      <c r="I922" s="376"/>
      <c r="J922" s="369"/>
      <c r="K922" s="370"/>
      <c r="L922" s="369"/>
      <c r="M922" s="369"/>
      <c r="N922" s="225"/>
      <c r="O922" s="225"/>
      <c r="P922" s="225"/>
      <c r="Q922" s="225"/>
      <c r="R922" s="225"/>
      <c r="S922" s="337"/>
      <c r="T922" s="224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69"/>
      <c r="H923" s="369"/>
      <c r="I923" s="376"/>
      <c r="J923" s="369"/>
      <c r="K923" s="370"/>
      <c r="L923" s="369"/>
      <c r="M923" s="369"/>
      <c r="N923" s="225"/>
      <c r="O923" s="225"/>
      <c r="P923" s="225"/>
      <c r="Q923" s="225"/>
      <c r="R923" s="225"/>
      <c r="S923" s="337"/>
      <c r="T923" s="224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69"/>
      <c r="H924" s="369"/>
      <c r="I924" s="376"/>
      <c r="J924" s="369"/>
      <c r="K924" s="370"/>
      <c r="L924" s="369"/>
      <c r="M924" s="369"/>
      <c r="N924" s="225"/>
      <c r="O924" s="225"/>
      <c r="P924" s="225"/>
      <c r="Q924" s="225"/>
      <c r="R924" s="225"/>
      <c r="S924" s="337"/>
      <c r="T924" s="224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69"/>
      <c r="H925" s="369"/>
      <c r="I925" s="376"/>
      <c r="J925" s="369"/>
      <c r="K925" s="370"/>
      <c r="L925" s="369"/>
      <c r="M925" s="369"/>
      <c r="N925" s="225"/>
      <c r="O925" s="225"/>
      <c r="P925" s="225"/>
      <c r="Q925" s="225"/>
      <c r="R925" s="225"/>
      <c r="S925" s="337"/>
      <c r="T925" s="224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69"/>
      <c r="H926" s="369"/>
      <c r="I926" s="376"/>
      <c r="J926" s="369"/>
      <c r="K926" s="370"/>
      <c r="L926" s="369"/>
      <c r="M926" s="369"/>
      <c r="N926" s="225"/>
      <c r="O926" s="225"/>
      <c r="P926" s="225"/>
      <c r="Q926" s="225"/>
      <c r="R926" s="225"/>
      <c r="S926" s="337"/>
      <c r="T926" s="224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69"/>
      <c r="H927" s="369"/>
      <c r="I927" s="376"/>
      <c r="J927" s="369"/>
      <c r="K927" s="370"/>
      <c r="L927" s="369"/>
      <c r="M927" s="369"/>
      <c r="N927" s="225"/>
      <c r="O927" s="225"/>
      <c r="P927" s="225"/>
      <c r="Q927" s="225"/>
      <c r="R927" s="225"/>
      <c r="S927" s="337"/>
      <c r="T927" s="224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69"/>
      <c r="H928" s="369"/>
      <c r="I928" s="376"/>
      <c r="J928" s="369"/>
      <c r="K928" s="370"/>
      <c r="L928" s="369"/>
      <c r="M928" s="369"/>
      <c r="N928" s="225"/>
      <c r="O928" s="225"/>
      <c r="P928" s="225"/>
      <c r="Q928" s="225"/>
      <c r="R928" s="225"/>
      <c r="S928" s="337"/>
      <c r="T928" s="224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69"/>
      <c r="H929" s="369"/>
      <c r="I929" s="376"/>
      <c r="J929" s="369"/>
      <c r="K929" s="370"/>
      <c r="L929" s="369"/>
      <c r="M929" s="369"/>
      <c r="N929" s="225"/>
      <c r="O929" s="225"/>
      <c r="P929" s="225"/>
      <c r="Q929" s="225"/>
      <c r="R929" s="225"/>
      <c r="S929" s="337"/>
      <c r="T929" s="224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69"/>
      <c r="H930" s="369"/>
      <c r="I930" s="376"/>
      <c r="J930" s="369"/>
      <c r="K930" s="370"/>
      <c r="L930" s="369"/>
      <c r="M930" s="369"/>
      <c r="N930" s="225"/>
      <c r="O930" s="225"/>
      <c r="P930" s="225"/>
      <c r="Q930" s="225"/>
      <c r="R930" s="225"/>
      <c r="S930" s="337"/>
      <c r="T930" s="224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69"/>
      <c r="H931" s="369"/>
      <c r="I931" s="376"/>
      <c r="J931" s="369"/>
      <c r="K931" s="370"/>
      <c r="L931" s="369"/>
      <c r="M931" s="369"/>
      <c r="N931" s="225"/>
      <c r="O931" s="225"/>
      <c r="P931" s="225"/>
      <c r="Q931" s="225"/>
      <c r="R931" s="225"/>
      <c r="S931" s="337"/>
      <c r="T931" s="224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69"/>
      <c r="H932" s="369"/>
      <c r="I932" s="376"/>
      <c r="J932" s="369"/>
      <c r="K932" s="370"/>
      <c r="L932" s="369"/>
      <c r="M932" s="369"/>
      <c r="N932" s="225"/>
      <c r="O932" s="225"/>
      <c r="P932" s="225"/>
      <c r="Q932" s="225"/>
      <c r="R932" s="225"/>
      <c r="S932" s="337"/>
      <c r="T932" s="224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69"/>
      <c r="H933" s="369"/>
      <c r="I933" s="376"/>
      <c r="J933" s="369"/>
      <c r="K933" s="370"/>
      <c r="L933" s="369"/>
      <c r="M933" s="369"/>
      <c r="N933" s="225"/>
      <c r="O933" s="225"/>
      <c r="P933" s="225"/>
      <c r="Q933" s="225"/>
      <c r="R933" s="225"/>
      <c r="S933" s="337"/>
      <c r="T933" s="224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69"/>
      <c r="H934" s="369"/>
      <c r="I934" s="376"/>
      <c r="J934" s="369"/>
      <c r="K934" s="370"/>
      <c r="L934" s="369"/>
      <c r="M934" s="369"/>
      <c r="N934" s="225"/>
      <c r="O934" s="225"/>
      <c r="P934" s="225"/>
      <c r="Q934" s="225"/>
      <c r="R934" s="225"/>
      <c r="S934" s="337"/>
      <c r="T934" s="224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69"/>
      <c r="H935" s="369"/>
      <c r="I935" s="376"/>
      <c r="J935" s="369"/>
      <c r="K935" s="370"/>
      <c r="L935" s="369"/>
      <c r="M935" s="369"/>
      <c r="N935" s="225"/>
      <c r="O935" s="225"/>
      <c r="P935" s="225"/>
      <c r="Q935" s="225"/>
      <c r="R935" s="225"/>
      <c r="S935" s="337"/>
      <c r="T935" s="224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69"/>
      <c r="H936" s="369"/>
      <c r="I936" s="376"/>
      <c r="J936" s="369"/>
      <c r="K936" s="370"/>
      <c r="L936" s="369"/>
      <c r="M936" s="369"/>
      <c r="N936" s="225"/>
      <c r="O936" s="225"/>
      <c r="P936" s="225"/>
      <c r="Q936" s="225"/>
      <c r="R936" s="225"/>
      <c r="S936" s="337"/>
      <c r="T936" s="224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69"/>
      <c r="H937" s="369"/>
      <c r="I937" s="376"/>
      <c r="J937" s="369"/>
      <c r="K937" s="370"/>
      <c r="L937" s="369"/>
      <c r="M937" s="369"/>
      <c r="N937" s="225"/>
      <c r="O937" s="225"/>
      <c r="P937" s="225"/>
      <c r="Q937" s="225"/>
      <c r="R937" s="225"/>
      <c r="S937" s="337"/>
      <c r="T937" s="224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69"/>
      <c r="H938" s="369"/>
      <c r="I938" s="376"/>
      <c r="J938" s="369"/>
      <c r="K938" s="370"/>
      <c r="L938" s="369"/>
      <c r="M938" s="369"/>
      <c r="N938" s="225"/>
      <c r="O938" s="225"/>
      <c r="P938" s="225"/>
      <c r="Q938" s="225"/>
      <c r="R938" s="225"/>
      <c r="S938" s="337"/>
      <c r="T938" s="224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69"/>
      <c r="H939" s="369"/>
      <c r="I939" s="376"/>
      <c r="J939" s="369"/>
      <c r="K939" s="370"/>
      <c r="L939" s="369"/>
      <c r="M939" s="369"/>
      <c r="N939" s="225"/>
      <c r="O939" s="225"/>
      <c r="P939" s="225"/>
      <c r="Q939" s="225"/>
      <c r="R939" s="225"/>
      <c r="S939" s="337"/>
      <c r="T939" s="224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69"/>
      <c r="H940" s="369"/>
      <c r="I940" s="376"/>
      <c r="J940" s="369"/>
      <c r="K940" s="370"/>
      <c r="L940" s="369"/>
      <c r="M940" s="369"/>
      <c r="N940" s="225"/>
      <c r="O940" s="225"/>
      <c r="P940" s="225"/>
      <c r="Q940" s="225"/>
      <c r="R940" s="225"/>
      <c r="S940" s="337"/>
      <c r="T940" s="224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69"/>
      <c r="H941" s="369"/>
      <c r="I941" s="376"/>
      <c r="J941" s="369"/>
      <c r="K941" s="370"/>
      <c r="L941" s="369"/>
      <c r="M941" s="369"/>
      <c r="N941" s="225"/>
      <c r="O941" s="225"/>
      <c r="P941" s="225"/>
      <c r="Q941" s="225"/>
      <c r="R941" s="225"/>
      <c r="S941" s="337"/>
      <c r="T941" s="224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69"/>
      <c r="H942" s="369"/>
      <c r="I942" s="376"/>
      <c r="J942" s="369"/>
      <c r="K942" s="370"/>
      <c r="L942" s="369"/>
      <c r="M942" s="369"/>
      <c r="N942" s="225"/>
      <c r="O942" s="225"/>
      <c r="P942" s="225"/>
      <c r="Q942" s="225"/>
      <c r="R942" s="225"/>
      <c r="S942" s="337"/>
      <c r="T942" s="224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69"/>
      <c r="H943" s="369"/>
      <c r="I943" s="376"/>
      <c r="J943" s="369"/>
      <c r="K943" s="370"/>
      <c r="L943" s="369"/>
      <c r="M943" s="369"/>
      <c r="N943" s="225"/>
      <c r="O943" s="225"/>
      <c r="P943" s="225"/>
      <c r="Q943" s="225"/>
      <c r="R943" s="225"/>
      <c r="S943" s="337"/>
      <c r="T943" s="224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69"/>
      <c r="H944" s="369"/>
      <c r="I944" s="376"/>
      <c r="J944" s="369"/>
      <c r="K944" s="370"/>
      <c r="L944" s="369"/>
      <c r="M944" s="369"/>
      <c r="N944" s="225"/>
      <c r="O944" s="225"/>
      <c r="P944" s="225"/>
      <c r="Q944" s="225"/>
      <c r="R944" s="225"/>
      <c r="S944" s="337"/>
      <c r="T944" s="224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69"/>
      <c r="H945" s="369"/>
      <c r="I945" s="376"/>
      <c r="J945" s="369"/>
      <c r="K945" s="370"/>
      <c r="L945" s="369"/>
      <c r="M945" s="369"/>
      <c r="N945" s="225"/>
      <c r="O945" s="225"/>
      <c r="P945" s="225"/>
      <c r="Q945" s="225"/>
      <c r="R945" s="225"/>
      <c r="S945" s="337"/>
      <c r="T945" s="224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69"/>
      <c r="H946" s="369"/>
      <c r="I946" s="376"/>
      <c r="J946" s="369"/>
      <c r="K946" s="370"/>
      <c r="L946" s="369"/>
      <c r="M946" s="369"/>
      <c r="N946" s="225"/>
      <c r="O946" s="225"/>
      <c r="P946" s="225"/>
      <c r="Q946" s="225"/>
      <c r="R946" s="225"/>
      <c r="S946" s="337"/>
      <c r="T946" s="224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78"/>
    </row>
  </sheetData>
  <mergeCells count="3">
    <mergeCell ref="B14:D14"/>
    <mergeCell ref="G1:H1"/>
    <mergeCell ref="B2:E2"/>
  </mergeCells>
  <conditionalFormatting sqref="A16:D1048576">
    <cfRule type="expression" dxfId="20" priority="3">
      <formula>$D16&gt;0</formula>
    </cfRule>
  </conditionalFormatting>
  <conditionalFormatting sqref="I4">
    <cfRule type="cellIs" dxfId="19" priority="4" operator="lessThan">
      <formula>0</formula>
    </cfRule>
    <cfRule type="cellIs" dxfId="18" priority="5" operator="greaterThan">
      <formula>0</formula>
    </cfRule>
  </conditionalFormatting>
  <conditionalFormatting sqref="K1">
    <cfRule type="expression" dxfId="17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I11" sqref="I11"/>
    </sheetView>
  </sheetViews>
  <sheetFormatPr defaultColWidth="11.25" defaultRowHeight="15" customHeight="1"/>
  <cols>
    <col min="1" max="1" width="1.625" customWidth="1"/>
    <col min="2" max="2" width="50.375" customWidth="1"/>
    <col min="3" max="3" width="19.25" customWidth="1"/>
    <col min="4" max="4" width="16.375" customWidth="1"/>
    <col min="5" max="5" width="17.5" customWidth="1"/>
    <col min="6" max="6" width="16.5" customWidth="1"/>
    <col min="7" max="7" width="17.75" customWidth="1"/>
    <col min="8" max="8" width="22.5" customWidth="1"/>
    <col min="9" max="9" width="19.75" customWidth="1"/>
    <col min="10" max="10" width="18.375" customWidth="1"/>
    <col min="11" max="11" width="20.5" customWidth="1"/>
    <col min="12" max="12" width="16.25" customWidth="1"/>
    <col min="13" max="13" width="19.75" customWidth="1"/>
    <col min="14" max="14" width="17.75" customWidth="1"/>
    <col min="15" max="15" width="19.75" customWidth="1"/>
    <col min="16" max="16" width="11.125" customWidth="1"/>
    <col min="17" max="17" width="13.1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.75">
      <c r="B2" s="585" t="s">
        <v>80</v>
      </c>
      <c r="C2" s="586"/>
      <c r="D2" s="443">
        <f t="shared" ref="D2:O2" si="0">$C$3</f>
        <v>2026</v>
      </c>
      <c r="E2" s="443">
        <f t="shared" si="0"/>
        <v>2026</v>
      </c>
      <c r="F2" s="443">
        <f t="shared" si="0"/>
        <v>2026</v>
      </c>
      <c r="G2" s="443">
        <f t="shared" si="0"/>
        <v>2026</v>
      </c>
      <c r="H2" s="443">
        <f t="shared" si="0"/>
        <v>2026</v>
      </c>
      <c r="I2" s="443">
        <f t="shared" si="0"/>
        <v>2026</v>
      </c>
      <c r="J2" s="443">
        <f t="shared" si="0"/>
        <v>2026</v>
      </c>
      <c r="K2" s="443">
        <f t="shared" si="0"/>
        <v>2026</v>
      </c>
      <c r="L2" s="443">
        <f t="shared" si="0"/>
        <v>2026</v>
      </c>
      <c r="M2" s="443">
        <f t="shared" si="0"/>
        <v>2026</v>
      </c>
      <c r="N2" s="443">
        <f t="shared" si="0"/>
        <v>2026</v>
      </c>
      <c r="O2" s="443">
        <f t="shared" si="0"/>
        <v>2026</v>
      </c>
    </row>
    <row r="3" spans="1:17" ht="20.25" customHeight="1">
      <c r="B3" s="444" t="s">
        <v>81</v>
      </c>
      <c r="C3" s="510">
        <v>2026</v>
      </c>
      <c r="D3" s="445" t="s">
        <v>82</v>
      </c>
      <c r="E3" s="445" t="s">
        <v>83</v>
      </c>
      <c r="F3" s="445" t="s">
        <v>84</v>
      </c>
      <c r="G3" s="445" t="s">
        <v>85</v>
      </c>
      <c r="H3" s="445" t="s">
        <v>86</v>
      </c>
      <c r="I3" s="445" t="s">
        <v>87</v>
      </c>
      <c r="J3" s="445" t="s">
        <v>88</v>
      </c>
      <c r="K3" s="445" t="s">
        <v>89</v>
      </c>
      <c r="L3" s="445" t="s">
        <v>90</v>
      </c>
      <c r="M3" s="445" t="s">
        <v>91</v>
      </c>
      <c r="N3" s="445" t="s">
        <v>92</v>
      </c>
      <c r="O3" s="445" t="s">
        <v>93</v>
      </c>
      <c r="Q3" s="363"/>
    </row>
    <row r="4" spans="1:17" ht="18.75">
      <c r="A4" s="75"/>
      <c r="B4" s="446" t="s">
        <v>94</v>
      </c>
      <c r="C4" s="447">
        <f t="shared" ref="C4:C6" si="1">SUMIFS($D4:$Q4,$D$2:$Q$2,$C$3)</f>
        <v>40500</v>
      </c>
      <c r="D4" s="447">
        <f>'🏭 DRE'!D6</f>
        <v>0</v>
      </c>
      <c r="E4" s="447">
        <f>'🏭 DRE'!E6</f>
        <v>0</v>
      </c>
      <c r="F4" s="447">
        <f>'🏭 DRE'!F6</f>
        <v>0</v>
      </c>
      <c r="G4" s="447">
        <f>'🏭 DRE'!G6</f>
        <v>0</v>
      </c>
      <c r="H4" s="447">
        <f>'🏭 DRE'!H6</f>
        <v>0</v>
      </c>
      <c r="I4" s="447">
        <f>'🏭 DRE'!I6</f>
        <v>10500</v>
      </c>
      <c r="J4" s="447">
        <f>'🏭 DRE'!J6</f>
        <v>10000</v>
      </c>
      <c r="K4" s="447">
        <f>'🏭 DRE'!K6</f>
        <v>10000</v>
      </c>
      <c r="L4" s="447">
        <f>'🏭 DRE'!L6</f>
        <v>10000</v>
      </c>
      <c r="M4" s="447">
        <f>'🏭 DRE'!M6</f>
        <v>0</v>
      </c>
      <c r="N4" s="447">
        <f>'🏭 DRE'!N6</f>
        <v>0</v>
      </c>
      <c r="O4" s="447">
        <f>'🏭 DRE'!O6</f>
        <v>0</v>
      </c>
      <c r="P4" s="75"/>
      <c r="Q4" s="75"/>
    </row>
    <row r="5" spans="1:17" ht="18.75">
      <c r="A5" s="75"/>
      <c r="B5" s="448" t="s">
        <v>214</v>
      </c>
      <c r="C5" s="449">
        <f t="shared" si="1"/>
        <v>0</v>
      </c>
      <c r="D5" s="449">
        <f t="shared" ref="D5:I5" si="2">D4-D6</f>
        <v>0</v>
      </c>
      <c r="E5" s="449">
        <f t="shared" si="2"/>
        <v>0</v>
      </c>
      <c r="F5" s="449">
        <f t="shared" si="2"/>
        <v>0</v>
      </c>
      <c r="G5" s="449">
        <f t="shared" si="2"/>
        <v>0</v>
      </c>
      <c r="H5" s="449">
        <f t="shared" si="2"/>
        <v>0</v>
      </c>
      <c r="I5" s="449">
        <f t="shared" si="2"/>
        <v>0</v>
      </c>
      <c r="J5" s="449">
        <f t="shared" ref="J5" si="3">J4-J6</f>
        <v>0</v>
      </c>
      <c r="K5" s="449">
        <f t="shared" ref="K5:O5" si="4">K4-K6</f>
        <v>0</v>
      </c>
      <c r="L5" s="449">
        <f t="shared" si="4"/>
        <v>0</v>
      </c>
      <c r="M5" s="449">
        <f t="shared" si="4"/>
        <v>0</v>
      </c>
      <c r="N5" s="449">
        <f t="shared" si="4"/>
        <v>0</v>
      </c>
      <c r="O5" s="449">
        <f t="shared" si="4"/>
        <v>0</v>
      </c>
      <c r="P5" s="75"/>
      <c r="Q5" s="75"/>
    </row>
    <row r="6" spans="1:17" ht="18.75">
      <c r="A6" s="75"/>
      <c r="B6" s="450" t="s">
        <v>95</v>
      </c>
      <c r="C6" s="451">
        <f t="shared" si="1"/>
        <v>40500</v>
      </c>
      <c r="D6" s="451">
        <f>SUMIFS('💸  Receitas'!$J$7:$J$681,'💸  Receitas'!$C$7:$C$681,D$2,'💸  Receitas'!$D$7:$D$681,'🏭 DRE'!D5)</f>
        <v>0</v>
      </c>
      <c r="E6" s="451">
        <f>SUMIFS('💸  Receitas'!$J$7:$J$681,'💸  Receitas'!$C$7:$C$681,E$2,'💸  Receitas'!$D$7:$D$681,'🏭 DRE'!E5)</f>
        <v>0</v>
      </c>
      <c r="F6" s="451">
        <f>SUMIFS('💸  Receitas'!$J$7:$J$681,'💸  Receitas'!$C$7:$C$681,F$2,'💸  Receitas'!$D$7:$D$681,'🏭 DRE'!F5)</f>
        <v>0</v>
      </c>
      <c r="G6" s="451">
        <f>SUMIFS('💸  Receitas'!$J$7:$J$681,'💸  Receitas'!$C$7:$C$681,G$2,'💸  Receitas'!$D$7:$D$681,'🏭 DRE'!G5)</f>
        <v>0</v>
      </c>
      <c r="H6" s="451">
        <f>SUMIFS('💸  Receitas'!$J$7:$J$681,'💸  Receitas'!$C$7:$C$681,H$2,'💸  Receitas'!$D$7:$D$681,'🏭 DRE'!H5)</f>
        <v>0</v>
      </c>
      <c r="I6" s="451">
        <f>SUMIFS('💸  Receitas'!$J$7:$J$681,'💸  Receitas'!$C$7:$C$681,I$2,'💸  Receitas'!$D$7:$D$681,'🏭 DRE'!I5)</f>
        <v>10500</v>
      </c>
      <c r="J6" s="451">
        <f>SUMIFS('💸  Receitas'!$J$7:$J$681,'💸  Receitas'!$C$7:$C$681,J$2,'💸  Receitas'!$D$7:$D$681,'🏭 DRE'!J5)</f>
        <v>10000</v>
      </c>
      <c r="K6" s="451">
        <f>SUMIFS('💸  Receitas'!$J$7:$J$681,'💸  Receitas'!$C$7:$C$681,K$2,'💸  Receitas'!$D$7:$D$681,'🏭 DRE'!K5)</f>
        <v>10000</v>
      </c>
      <c r="L6" s="451">
        <f>SUMIFS('💸  Receitas'!$J$7:$J$681,'💸  Receitas'!$C$7:$C$681,L$2,'💸  Receitas'!$D$7:$D$681,'🏭 DRE'!L5)</f>
        <v>10000</v>
      </c>
      <c r="M6" s="451">
        <f>SUMIFS('💸  Receitas'!$J$7:$J$681,'💸  Receitas'!$C$7:$C$681,M$2,'💸  Receitas'!$D$7:$D$681,'🏭 DRE'!M5)</f>
        <v>0</v>
      </c>
      <c r="N6" s="451">
        <f>SUMIFS('💸  Receitas'!$J$7:$J$681,'💸  Receitas'!$C$7:$C$681,N$2,'💸  Receitas'!$D$7:$D$681,'🏭 DRE'!N5)</f>
        <v>0</v>
      </c>
      <c r="O6" s="451">
        <f>SUMIFS('💸  Receitas'!$J$7:$J$681,'💸  Receitas'!$C$7:$C$681,O$2,'💸  Receitas'!$D$7:$D$681,'🏭 DRE'!O5)</f>
        <v>0</v>
      </c>
      <c r="P6" s="75"/>
      <c r="Q6" s="75"/>
    </row>
    <row r="7" spans="1:17" ht="28.5">
      <c r="A7" s="75"/>
      <c r="B7" s="518" t="s">
        <v>195</v>
      </c>
      <c r="C7" s="519">
        <f>SUMIFS($D7:$Q7,$D$2:$Q$2,$C$3)</f>
        <v>26213.27</v>
      </c>
      <c r="D7" s="519">
        <f>SUM(D8:D27)-D11</f>
        <v>0</v>
      </c>
      <c r="E7" s="519">
        <f t="shared" ref="E7:O7" si="5">SUM(E8:E27)-E11</f>
        <v>0</v>
      </c>
      <c r="F7" s="519">
        <f t="shared" si="5"/>
        <v>0</v>
      </c>
      <c r="G7" s="519">
        <f t="shared" si="5"/>
        <v>1715.44</v>
      </c>
      <c r="H7" s="519">
        <f t="shared" si="5"/>
        <v>3000</v>
      </c>
      <c r="I7" s="519">
        <f t="shared" si="5"/>
        <v>5024.5200000000004</v>
      </c>
      <c r="J7" s="519">
        <f t="shared" si="5"/>
        <v>5739.85</v>
      </c>
      <c r="K7" s="519">
        <f t="shared" si="5"/>
        <v>6543.46</v>
      </c>
      <c r="L7" s="519">
        <f t="shared" si="5"/>
        <v>4190</v>
      </c>
      <c r="M7" s="519">
        <f t="shared" si="5"/>
        <v>0</v>
      </c>
      <c r="N7" s="519">
        <f t="shared" si="5"/>
        <v>0</v>
      </c>
      <c r="O7" s="519">
        <f t="shared" si="5"/>
        <v>0</v>
      </c>
      <c r="P7" s="75"/>
      <c r="Q7" s="75"/>
    </row>
    <row r="8" spans="1:17" ht="6" customHeight="1">
      <c r="B8" s="452"/>
      <c r="C8" s="453"/>
      <c r="D8" s="454"/>
      <c r="E8" s="454"/>
      <c r="F8" s="454"/>
      <c r="G8" s="454"/>
      <c r="H8" s="454"/>
      <c r="I8" s="454"/>
      <c r="J8" s="454"/>
      <c r="K8" s="454"/>
      <c r="L8" s="454"/>
      <c r="M8" s="454"/>
      <c r="N8" s="454"/>
      <c r="O8" s="454"/>
    </row>
    <row r="9" spans="1:17" ht="18.75">
      <c r="A9" s="76"/>
      <c r="B9" s="455" t="s">
        <v>24</v>
      </c>
      <c r="C9" s="456">
        <f t="shared" ref="C9:C27" si="6">SUM(D9:O9)</f>
        <v>14863</v>
      </c>
      <c r="D9" s="456">
        <f>SUMIFS('📋 Despesas'!$J$7:$J$17833,'📋 Despesas'!$F$7:$F$17833,$B9,'📋 Despesas'!$C$7:$C$17833,D$3,'📋 Despesas'!$D$7:$D$17833,D$2)</f>
        <v>0</v>
      </c>
      <c r="E9" s="456">
        <f>SUMIFS('📋 Despesas'!$J$7:$J$17833,'📋 Despesas'!$F$7:$F$17833,$B9,'📋 Despesas'!$C$7:$C$17833,E$3,'📋 Despesas'!$D$7:$D$17833,E$2)</f>
        <v>0</v>
      </c>
      <c r="F9" s="456">
        <f>SUMIFS('📋 Despesas'!$J$7:$J$17833,'📋 Despesas'!$F$7:$F$17833,$B9,'📋 Despesas'!$C$7:$C$17833,F$3,'📋 Despesas'!$D$7:$D$17833,F$2)</f>
        <v>0</v>
      </c>
      <c r="G9" s="456">
        <f>SUMIFS('📋 Despesas'!$J$7:$J$17833,'📋 Despesas'!$F$7:$F$17833,$B9,'📋 Despesas'!$C$7:$C$17833,G$3,'📋 Despesas'!$D$7:$D$17833,G$2)</f>
        <v>1513</v>
      </c>
      <c r="H9" s="456">
        <f>SUMIFS('📋 Despesas'!$J$7:$J$17833,'📋 Despesas'!$F$7:$F$17833,$B9,'📋 Despesas'!$C$7:$C$17833,H$3,'📋 Despesas'!$D$7:$D$17833,H$2)</f>
        <v>2670</v>
      </c>
      <c r="I9" s="456">
        <f>SUMIFS('📋 Despesas'!$J$7:$J$17833,'📋 Despesas'!$F$7:$F$17833,$B9,'📋 Despesas'!$C$7:$C$17833,I$3,'📋 Despesas'!$D$7:$D$17833,I$2)</f>
        <v>2670</v>
      </c>
      <c r="J9" s="456">
        <f>SUMIFS('📋 Despesas'!$J$7:$J$17833,'📋 Despesas'!$F$7:$F$17833,$B9,'📋 Despesas'!$C$7:$C$17833,J$3,'📋 Despesas'!$D$7:$D$17833,J$2)</f>
        <v>2670</v>
      </c>
      <c r="K9" s="456">
        <f>SUMIFS('📋 Despesas'!$J$7:$J$17833,'📋 Despesas'!$F$7:$F$17833,$B9,'📋 Despesas'!$C$7:$C$17833,K$3,'📋 Despesas'!$D$7:$D$17833,K$2)</f>
        <v>2670</v>
      </c>
      <c r="L9" s="456">
        <f>SUMIFS('📋 Despesas'!$J$7:$J$17833,'📋 Despesas'!$F$7:$F$17833,$B9,'📋 Despesas'!$C$7:$C$17833,L$3,'📋 Despesas'!$D$7:$D$17833,L$2)</f>
        <v>2670</v>
      </c>
      <c r="M9" s="456">
        <f>SUMIFS('📋 Despesas'!$J$7:$J$17833,'📋 Despesas'!$F$7:$F$17833,$B9,'📋 Despesas'!$C$7:$C$17833,M$3,'📋 Despesas'!$D$7:$D$17833,M$2)</f>
        <v>0</v>
      </c>
      <c r="N9" s="456">
        <f>SUMIFS('📋 Despesas'!$J$7:$J$17833,'📋 Despesas'!$F$7:$F$17833,$B9,'📋 Despesas'!$C$7:$C$17833,N$3,'📋 Despesas'!$D$7:$D$17833,N$2)</f>
        <v>0</v>
      </c>
      <c r="O9" s="456">
        <f>SUMIFS('📋 Despesas'!$J$7:$J$17833,'📋 Despesas'!$F$7:$F$17833,$B9,'📋 Despesas'!$C$7:$C$17833,O$3,'📋 Despesas'!$D$7:$D$17833,O$2)</f>
        <v>0</v>
      </c>
      <c r="P9" s="78"/>
      <c r="Q9" s="76" t="str" cm="1">
        <f t="array" ref="Q9:Q16">_xlfn._xlws.FILTER($B$9:$B$27,$B$9:$B$27&lt;&gt;"")</f>
        <v>PROLABORE</v>
      </c>
    </row>
    <row r="10" spans="1:17" ht="18.75">
      <c r="A10" s="76"/>
      <c r="B10" s="455" t="s">
        <v>210</v>
      </c>
      <c r="C10" s="456">
        <f t="shared" si="6"/>
        <v>1852.44</v>
      </c>
      <c r="D10" s="456">
        <f>SUMIFS('📋 Despesas'!$J$7:$J$17833,'📋 Despesas'!$F$7:$F$17833,$B10,'📋 Despesas'!$C$7:$C$17833,D$3,'📋 Despesas'!$D$7:$D$17833,D$2)</f>
        <v>0</v>
      </c>
      <c r="E10" s="456">
        <f>SUMIFS('📋 Despesas'!$J$7:$J$17833,'📋 Despesas'!$F$7:$F$17833,$B10,'📋 Despesas'!$C$7:$C$17833,E$3,'📋 Despesas'!$D$7:$D$17833,E$2)</f>
        <v>0</v>
      </c>
      <c r="F10" s="456">
        <f>SUMIFS('📋 Despesas'!$J$7:$J$17833,'📋 Despesas'!$F$7:$F$17833,$B10,'📋 Despesas'!$C$7:$C$17833,F$3,'📋 Despesas'!$D$7:$D$17833,F$2)</f>
        <v>0</v>
      </c>
      <c r="G10" s="456">
        <f>SUMIFS('📋 Despesas'!$J$7:$J$17833,'📋 Despesas'!$F$7:$F$17833,$B10,'📋 Despesas'!$C$7:$C$17833,G$3,'📋 Despesas'!$D$7:$D$17833,G$2)</f>
        <v>202.44</v>
      </c>
      <c r="H10" s="456">
        <f>SUMIFS('📋 Despesas'!$J$7:$J$17833,'📋 Despesas'!$F$7:$F$17833,$B10,'📋 Despesas'!$C$7:$C$17833,H$3,'📋 Despesas'!$D$7:$D$17833,H$2)</f>
        <v>330</v>
      </c>
      <c r="I10" s="456">
        <f>SUMIFS('📋 Despesas'!$J$7:$J$17833,'📋 Despesas'!$F$7:$F$17833,$B10,'📋 Despesas'!$C$7:$C$17833,I$3,'📋 Despesas'!$D$7:$D$17833,I$2)</f>
        <v>330</v>
      </c>
      <c r="J10" s="456">
        <f>SUMIFS('📋 Despesas'!$J$7:$J$17833,'📋 Despesas'!$F$7:$F$17833,$B10,'📋 Despesas'!$C$7:$C$17833,J$3,'📋 Despesas'!$D$7:$D$17833,J$2)</f>
        <v>330</v>
      </c>
      <c r="K10" s="456">
        <f>SUMIFS('📋 Despesas'!$J$7:$J$17833,'📋 Despesas'!$F$7:$F$17833,$B10,'📋 Despesas'!$C$7:$C$17833,K$3,'📋 Despesas'!$D$7:$D$17833,K$2)</f>
        <v>330</v>
      </c>
      <c r="L10" s="456">
        <f>SUMIFS('📋 Despesas'!$J$7:$J$17833,'📋 Despesas'!$F$7:$F$17833,$B10,'📋 Despesas'!$C$7:$C$17833,L$3,'📋 Despesas'!$D$7:$D$17833,L$2)</f>
        <v>330</v>
      </c>
      <c r="M10" s="456">
        <f>SUMIFS('📋 Despesas'!$J$7:$J$17833,'📋 Despesas'!$F$7:$F$17833,$B10,'📋 Despesas'!$C$7:$C$17833,M$3,'📋 Despesas'!$D$7:$D$17833,M$2)</f>
        <v>0</v>
      </c>
      <c r="N10" s="456">
        <f>SUMIFS('📋 Despesas'!$J$7:$J$17833,'📋 Despesas'!$F$7:$F$17833,$B10,'📋 Despesas'!$C$7:$C$17833,N$3,'📋 Despesas'!$D$7:$D$17833,N$2)</f>
        <v>0</v>
      </c>
      <c r="O10" s="456">
        <f>SUMIFS('📋 Despesas'!$J$7:$J$17833,'📋 Despesas'!$F$7:$F$17833,$B10,'📋 Despesas'!$C$7:$C$17833,O$3,'📋 Despesas'!$D$7:$D$17833,O$2)</f>
        <v>0</v>
      </c>
      <c r="P10" s="78"/>
      <c r="Q10" s="76" t="str">
        <v>INSS</v>
      </c>
    </row>
    <row r="11" spans="1:17" ht="18.75">
      <c r="A11" s="76"/>
      <c r="B11" s="546" t="s">
        <v>239</v>
      </c>
      <c r="C11" s="547">
        <f t="shared" si="6"/>
        <v>1660</v>
      </c>
      <c r="D11" s="547">
        <f>SUMIFS('📋 Despesas'!$J$7:$J$17833,'📋 Despesas'!$F$7:$F$17833,$B11,'📋 Despesas'!$C$7:$C$17833,D$3,'📋 Despesas'!$D$7:$D$17833,D$2)</f>
        <v>0</v>
      </c>
      <c r="E11" s="547">
        <f>SUMIFS('📋 Despesas'!$J$7:$J$17833,'📋 Despesas'!$F$7:$F$17833,$B11,'📋 Despesas'!$C$7:$C$17833,E$3,'📋 Despesas'!$D$7:$D$17833,E$2)</f>
        <v>0</v>
      </c>
      <c r="F11" s="547">
        <f>SUMIFS('📋 Despesas'!$J$7:$J$17833,'📋 Despesas'!$F$7:$F$17833,$B11,'📋 Despesas'!$C$7:$C$17833,F$3,'📋 Despesas'!$D$7:$D$17833,F$2)</f>
        <v>0</v>
      </c>
      <c r="G11" s="547">
        <f>SUMIFS('📋 Despesas'!$J$7:$J$17833,'📋 Despesas'!$F$7:$F$17833,$B11,'📋 Despesas'!$C$7:$C$17833,G$3,'📋 Despesas'!$D$7:$D$17833,G$2)</f>
        <v>0</v>
      </c>
      <c r="H11" s="547">
        <f>SUMIFS('📋 Despesas'!$J$7:$J$17833,'📋 Despesas'!$F$7:$F$17833,$B11,'📋 Despesas'!$C$7:$C$17833,H$3,'📋 Despesas'!$D$7:$D$17833,H$2)</f>
        <v>0</v>
      </c>
      <c r="I11" s="547">
        <f>SUMIFS('📋 Despesas'!$J$7:$J$17833,'📋 Despesas'!$F$7:$F$17833,$B11,'📋 Despesas'!$C$7:$C$17833,I$3,'📋 Despesas'!$D$7:$D$17833,I$2)</f>
        <v>0</v>
      </c>
      <c r="J11" s="547">
        <f>SUMIFS('📋 Despesas'!$J$7:$J$17833,'📋 Despesas'!$F$7:$F$17833,$B11,'📋 Despesas'!$C$7:$C$17833,J$3,'📋 Despesas'!$D$7:$D$17833,J$2)</f>
        <v>1660</v>
      </c>
      <c r="K11" s="547">
        <f>SUMIFS('📋 Despesas'!$J$7:$J$17833,'📋 Despesas'!$F$7:$F$17833,$B11,'📋 Despesas'!$C$7:$C$17833,K$3,'📋 Despesas'!$D$7:$D$17833,K$2)</f>
        <v>0</v>
      </c>
      <c r="L11" s="547">
        <f>SUMIFS('📋 Despesas'!$J$7:$J$17833,'📋 Despesas'!$F$7:$F$17833,$B11,'📋 Despesas'!$C$7:$C$17833,L$3,'📋 Despesas'!$D$7:$D$17833,L$2)</f>
        <v>0</v>
      </c>
      <c r="M11" s="547">
        <f>SUMIFS('📋 Despesas'!$J$7:$J$17833,'📋 Despesas'!$F$7:$F$17833,$B11,'📋 Despesas'!$C$7:$C$17833,M$3,'📋 Despesas'!$D$7:$D$17833,M$2)</f>
        <v>0</v>
      </c>
      <c r="N11" s="547">
        <f>SUMIFS('📋 Despesas'!$J$7:$J$17833,'📋 Despesas'!$F$7:$F$17833,$B11,'📋 Despesas'!$C$7:$C$17833,N$3,'📋 Despesas'!$D$7:$D$17833,N$2)</f>
        <v>0</v>
      </c>
      <c r="O11" s="547">
        <f>SUMIFS('📋 Despesas'!$J$7:$J$17833,'📋 Despesas'!$F$7:$F$17833,$B11,'📋 Despesas'!$C$7:$C$17833,O$3,'📋 Despesas'!$D$7:$D$17833,O$2)</f>
        <v>0</v>
      </c>
      <c r="P11" s="78"/>
      <c r="Q11" s="76" t="str">
        <v>DL</v>
      </c>
    </row>
    <row r="12" spans="1:17" ht="18.75">
      <c r="A12" s="76"/>
      <c r="B12" s="455" t="s">
        <v>54</v>
      </c>
      <c r="C12" s="456">
        <f t="shared" si="6"/>
        <v>2720</v>
      </c>
      <c r="D12" s="456">
        <f>SUMIFS('📋 Despesas'!$J$7:$J$17833,'📋 Despesas'!$F$7:$F$17833,$B12,'📋 Despesas'!$C$7:$C$17833,D$3,'📋 Despesas'!$D$7:$D$17833,D$2)</f>
        <v>0</v>
      </c>
      <c r="E12" s="456">
        <f>SUMIFS('📋 Despesas'!$J$7:$J$17833,'📋 Despesas'!$F$7:$F$17833,$B12,'📋 Despesas'!$C$7:$C$17833,E$3,'📋 Despesas'!$D$7:$D$17833,E$2)</f>
        <v>0</v>
      </c>
      <c r="F12" s="456">
        <f>SUMIFS('📋 Despesas'!$J$7:$J$17833,'📋 Despesas'!$F$7:$F$17833,$B12,'📋 Despesas'!$C$7:$C$17833,F$3,'📋 Despesas'!$D$7:$D$17833,F$2)</f>
        <v>0</v>
      </c>
      <c r="G12" s="456">
        <f>SUMIFS('📋 Despesas'!$J$7:$J$17833,'📋 Despesas'!$F$7:$F$17833,$B12,'📋 Despesas'!$C$7:$C$17833,G$3,'📋 Despesas'!$D$7:$D$17833,G$2)</f>
        <v>0</v>
      </c>
      <c r="H12" s="456">
        <f>SUMIFS('📋 Despesas'!$J$7:$J$17833,'📋 Despesas'!$F$7:$F$17833,$B12,'📋 Despesas'!$C$7:$C$17833,H$3,'📋 Despesas'!$D$7:$D$17833,H$2)</f>
        <v>0</v>
      </c>
      <c r="I12" s="456">
        <f>SUMIFS('📋 Despesas'!$J$7:$J$17833,'📋 Despesas'!$F$7:$F$17833,$B12,'📋 Despesas'!$C$7:$C$17833,I$3,'📋 Despesas'!$D$7:$D$17833,I$2)</f>
        <v>950</v>
      </c>
      <c r="J12" s="456">
        <f>SUMIFS('📋 Despesas'!$J$7:$J$17833,'📋 Despesas'!$F$7:$F$17833,$B12,'📋 Despesas'!$C$7:$C$17833,J$3,'📋 Despesas'!$D$7:$D$17833,J$2)</f>
        <v>590</v>
      </c>
      <c r="K12" s="456">
        <f>SUMIFS('📋 Despesas'!$J$7:$J$17833,'📋 Despesas'!$F$7:$F$17833,$B12,'📋 Despesas'!$C$7:$C$17833,K$3,'📋 Despesas'!$D$7:$D$17833,K$2)</f>
        <v>590</v>
      </c>
      <c r="L12" s="456">
        <f>SUMIFS('📋 Despesas'!$J$7:$J$17833,'📋 Despesas'!$F$7:$F$17833,$B12,'📋 Despesas'!$C$7:$C$17833,L$3,'📋 Despesas'!$D$7:$D$17833,L$2)</f>
        <v>590</v>
      </c>
      <c r="M12" s="456">
        <f>SUMIFS('📋 Despesas'!$J$7:$J$17833,'📋 Despesas'!$F$7:$F$17833,$B12,'📋 Despesas'!$C$7:$C$17833,M$3,'📋 Despesas'!$D$7:$D$17833,M$2)</f>
        <v>0</v>
      </c>
      <c r="N12" s="456">
        <f>SUMIFS('📋 Despesas'!$J$7:$J$17833,'📋 Despesas'!$F$7:$F$17833,$B12,'📋 Despesas'!$C$7:$C$17833,N$3,'📋 Despesas'!$D$7:$D$17833,N$2)</f>
        <v>0</v>
      </c>
      <c r="O12" s="456">
        <f>SUMIFS('📋 Despesas'!$J$7:$J$17833,'📋 Despesas'!$F$7:$F$17833,$B12,'📋 Despesas'!$C$7:$C$17833,O$3,'📋 Despesas'!$D$7:$D$17833,O$2)</f>
        <v>0</v>
      </c>
      <c r="P12" s="78"/>
      <c r="Q12" s="76" t="str">
        <v>CONTABILIDADE</v>
      </c>
    </row>
    <row r="13" spans="1:17" ht="18.75">
      <c r="A13" s="76"/>
      <c r="B13" s="455" t="s">
        <v>213</v>
      </c>
      <c r="C13" s="456">
        <f t="shared" si="6"/>
        <v>2.92</v>
      </c>
      <c r="D13" s="456">
        <f>SUMIFS('📋 Despesas'!$J$7:$J$17833,'📋 Despesas'!$F$7:$F$17833,$B13,'📋 Despesas'!$C$7:$C$17833,D$3,'📋 Despesas'!$D$7:$D$17833,D$2)</f>
        <v>0</v>
      </c>
      <c r="E13" s="456">
        <f>SUMIFS('📋 Despesas'!$J$7:$J$17833,'📋 Despesas'!$F$7:$F$17833,$B13,'📋 Despesas'!$C$7:$C$17833,E$3,'📋 Despesas'!$D$7:$D$17833,E$2)</f>
        <v>0</v>
      </c>
      <c r="F13" s="456">
        <f>SUMIFS('📋 Despesas'!$J$7:$J$17833,'📋 Despesas'!$F$7:$F$17833,$B13,'📋 Despesas'!$C$7:$C$17833,F$3,'📋 Despesas'!$D$7:$D$17833,F$2)</f>
        <v>0</v>
      </c>
      <c r="G13" s="456">
        <f>SUMIFS('📋 Despesas'!$J$7:$J$17833,'📋 Despesas'!$F$7:$F$17833,$B13,'📋 Despesas'!$C$7:$C$17833,G$3,'📋 Despesas'!$D$7:$D$17833,G$2)</f>
        <v>0</v>
      </c>
      <c r="H13" s="456">
        <f>SUMIFS('📋 Despesas'!$J$7:$J$17833,'📋 Despesas'!$F$7:$F$17833,$B13,'📋 Despesas'!$C$7:$C$17833,H$3,'📋 Despesas'!$D$7:$D$17833,H$2)</f>
        <v>0</v>
      </c>
      <c r="I13" s="456">
        <f>SUMIFS('📋 Despesas'!$J$7:$J$17833,'📋 Despesas'!$F$7:$F$17833,$B13,'📋 Despesas'!$C$7:$C$17833,I$3,'📋 Despesas'!$D$7:$D$17833,I$2)</f>
        <v>2.92</v>
      </c>
      <c r="J13" s="456">
        <f>SUMIFS('📋 Despesas'!$J$7:$J$17833,'📋 Despesas'!$F$7:$F$17833,$B13,'📋 Despesas'!$C$7:$C$17833,J$3,'📋 Despesas'!$D$7:$D$17833,J$2)</f>
        <v>0</v>
      </c>
      <c r="K13" s="456">
        <f>SUMIFS('📋 Despesas'!$J$7:$J$17833,'📋 Despesas'!$F$7:$F$17833,$B13,'📋 Despesas'!$C$7:$C$17833,K$3,'📋 Despesas'!$D$7:$D$17833,K$2)</f>
        <v>0</v>
      </c>
      <c r="L13" s="456">
        <f>SUMIFS('📋 Despesas'!$J$7:$J$17833,'📋 Despesas'!$F$7:$F$17833,$B13,'📋 Despesas'!$C$7:$C$17833,L$3,'📋 Despesas'!$D$7:$D$17833,L$2)</f>
        <v>0</v>
      </c>
      <c r="M13" s="456">
        <f>SUMIFS('📋 Despesas'!$J$7:$J$17833,'📋 Despesas'!$F$7:$F$17833,$B13,'📋 Despesas'!$C$7:$C$17833,M$3,'📋 Despesas'!$D$7:$D$17833,M$2)</f>
        <v>0</v>
      </c>
      <c r="N13" s="456">
        <f>SUMIFS('📋 Despesas'!$J$7:$J$17833,'📋 Despesas'!$F$7:$F$17833,$B13,'📋 Despesas'!$C$7:$C$17833,N$3,'📋 Despesas'!$D$7:$D$17833,N$2)</f>
        <v>0</v>
      </c>
      <c r="O13" s="456">
        <f>SUMIFS('📋 Despesas'!$J$7:$J$17833,'📋 Despesas'!$F$7:$F$17833,$B13,'📋 Despesas'!$C$7:$C$17833,O$3,'📋 Despesas'!$D$7:$D$17833,O$2)</f>
        <v>0</v>
      </c>
      <c r="P13" s="78"/>
      <c r="Q13" s="76" t="str">
        <v>OUTROS</v>
      </c>
    </row>
    <row r="14" spans="1:17" ht="18.75">
      <c r="A14" s="76"/>
      <c r="B14" s="455" t="s">
        <v>224</v>
      </c>
      <c r="C14" s="456">
        <f t="shared" si="6"/>
        <v>4374.91</v>
      </c>
      <c r="D14" s="456">
        <f>SUMIFS('📋 Despesas'!$J$7:$J$17833,'📋 Despesas'!$F$7:$F$17833,$B14,'📋 Despesas'!$C$7:$C$17833,D$3,'📋 Despesas'!$D$7:$D$17833,D$2)</f>
        <v>0</v>
      </c>
      <c r="E14" s="456">
        <f>SUMIFS('📋 Despesas'!$J$7:$J$17833,'📋 Despesas'!$F$7:$F$17833,$B14,'📋 Despesas'!$C$7:$C$17833,E$3,'📋 Despesas'!$D$7:$D$17833,E$2)</f>
        <v>0</v>
      </c>
      <c r="F14" s="456">
        <f>SUMIFS('📋 Despesas'!$J$7:$J$17833,'📋 Despesas'!$F$7:$F$17833,$B14,'📋 Despesas'!$C$7:$C$17833,F$3,'📋 Despesas'!$D$7:$D$17833,F$2)</f>
        <v>0</v>
      </c>
      <c r="G14" s="456">
        <f>SUMIFS('📋 Despesas'!$J$7:$J$17833,'📋 Despesas'!$F$7:$F$17833,$B14,'📋 Despesas'!$C$7:$C$17833,G$3,'📋 Despesas'!$D$7:$D$17833,G$2)</f>
        <v>0</v>
      </c>
      <c r="H14" s="456">
        <f>SUMIFS('📋 Despesas'!$J$7:$J$17833,'📋 Despesas'!$F$7:$F$17833,$B14,'📋 Despesas'!$C$7:$C$17833,H$3,'📋 Despesas'!$D$7:$D$17833,H$2)</f>
        <v>0</v>
      </c>
      <c r="I14" s="456">
        <f>SUMIFS('📋 Despesas'!$J$7:$J$17833,'📋 Despesas'!$F$7:$F$17833,$B14,'📋 Despesas'!$C$7:$C$17833,I$3,'📋 Despesas'!$D$7:$D$17833,I$2)</f>
        <v>471.6</v>
      </c>
      <c r="J14" s="456">
        <f>SUMIFS('📋 Despesas'!$J$7:$J$17833,'📋 Despesas'!$F$7:$F$17833,$B14,'📋 Despesas'!$C$7:$C$17833,J$3,'📋 Despesas'!$D$7:$D$17833,J$2)</f>
        <v>1549.85</v>
      </c>
      <c r="K14" s="456">
        <f>SUMIFS('📋 Despesas'!$J$7:$J$17833,'📋 Despesas'!$F$7:$F$17833,$B14,'📋 Despesas'!$C$7:$C$17833,K$3,'📋 Despesas'!$D$7:$D$17833,K$2)</f>
        <v>2353.46</v>
      </c>
      <c r="L14" s="456">
        <f>SUMIFS('📋 Despesas'!$J$7:$J$17833,'📋 Despesas'!$F$7:$F$17833,$B14,'📋 Despesas'!$C$7:$C$17833,L$3,'📋 Despesas'!$D$7:$D$17833,L$2)</f>
        <v>0</v>
      </c>
      <c r="M14" s="456">
        <f>SUMIFS('📋 Despesas'!$J$7:$J$17833,'📋 Despesas'!$F$7:$F$17833,$B14,'📋 Despesas'!$C$7:$C$17833,M$3,'📋 Despesas'!$D$7:$D$17833,M$2)</f>
        <v>0</v>
      </c>
      <c r="N14" s="456">
        <f>SUMIFS('📋 Despesas'!$J$7:$J$17833,'📋 Despesas'!$F$7:$F$17833,$B14,'📋 Despesas'!$C$7:$C$17833,N$3,'📋 Despesas'!$D$7:$D$17833,N$2)</f>
        <v>0</v>
      </c>
      <c r="O14" s="456">
        <f>SUMIFS('📋 Despesas'!$J$7:$J$17833,'📋 Despesas'!$F$7:$F$17833,$B14,'📋 Despesas'!$C$7:$C$17833,O$3,'📋 Despesas'!$D$7:$D$17833,O$2)</f>
        <v>0</v>
      </c>
      <c r="P14" s="78"/>
      <c r="Q14" s="76" t="str">
        <v>ADM</v>
      </c>
    </row>
    <row r="15" spans="1:17" ht="18.75">
      <c r="A15" s="79"/>
      <c r="B15" s="452"/>
      <c r="C15" s="453">
        <f t="shared" si="6"/>
        <v>0</v>
      </c>
      <c r="D15" s="457">
        <f>SUMIFS('📋 Despesas'!$J$7:$J$17833,'📋 Despesas'!$F$7:$F$17833,$B15,'📋 Despesas'!$C$7:$C$17833,D$3,'📋 Despesas'!$D$7:$D$17833,D$2)</f>
        <v>0</v>
      </c>
      <c r="E15" s="457">
        <f>SUMIFS('📋 Despesas'!$J$7:$J$17833,'📋 Despesas'!$F$7:$F$17833,$B15,'📋 Despesas'!$C$7:$C$17833,E$3,'📋 Despesas'!$D$7:$D$17833,E$2)</f>
        <v>0</v>
      </c>
      <c r="F15" s="457">
        <f>SUMIFS('📋 Despesas'!$J$7:$J$17833,'📋 Despesas'!$F$7:$F$17833,$B15,'📋 Despesas'!$C$7:$C$17833,F$3,'📋 Despesas'!$D$7:$D$17833,F$2)</f>
        <v>0</v>
      </c>
      <c r="G15" s="457">
        <f>SUMIFS('📋 Despesas'!$J$7:$J$17833,'📋 Despesas'!$F$7:$F$17833,$B15,'📋 Despesas'!$C$7:$C$17833,G$3,'📋 Despesas'!$D$7:$D$17833,G$2)</f>
        <v>0</v>
      </c>
      <c r="H15" s="457">
        <f>SUMIFS('📋 Despesas'!$J$7:$J$17833,'📋 Despesas'!$F$7:$F$17833,$B15,'📋 Despesas'!$C$7:$C$17833,H$3,'📋 Despesas'!$D$7:$D$17833,H$2)</f>
        <v>0</v>
      </c>
      <c r="I15" s="457">
        <f>SUMIFS('📋 Despesas'!$J$7:$J$17833,'📋 Despesas'!$F$7:$F$17833,$B15,'📋 Despesas'!$C$7:$C$17833,I$3,'📋 Despesas'!$D$7:$D$17833,I$2)</f>
        <v>0</v>
      </c>
      <c r="J15" s="457">
        <f>SUMIFS('📋 Despesas'!$J$7:$J$17833,'📋 Despesas'!$F$7:$F$17833,$B15,'📋 Despesas'!$C$7:$C$17833,J$3,'📋 Despesas'!$D$7:$D$17833,J$2)</f>
        <v>0</v>
      </c>
      <c r="K15" s="457">
        <f>SUMIFS('📋 Despesas'!$J$7:$J$17833,'📋 Despesas'!$F$7:$F$17833,$B15,'📋 Despesas'!$C$7:$C$17833,K$3,'📋 Despesas'!$D$7:$D$17833,K$2)</f>
        <v>0</v>
      </c>
      <c r="L15" s="457">
        <f>SUMIFS('📋 Despesas'!$J$7:$J$17833,'📋 Despesas'!$F$7:$F$17833,$B15,'📋 Despesas'!$C$7:$C$17833,L$3,'📋 Despesas'!$D$7:$D$17833,L$2)</f>
        <v>0</v>
      </c>
      <c r="M15" s="457">
        <f>SUMIFS('📋 Despesas'!$J$7:$J$17833,'📋 Despesas'!$F$7:$F$17833,$B15,'📋 Despesas'!$C$7:$C$17833,M$3,'📋 Despesas'!$D$7:$D$17833,M$2)</f>
        <v>0</v>
      </c>
      <c r="N15" s="457">
        <f>SUMIFS('📋 Despesas'!$J$7:$J$17833,'📋 Despesas'!$F$7:$F$17833,$B15,'📋 Despesas'!$C$7:$C$17833,N$3,'📋 Despesas'!$D$7:$D$17833,N$2)</f>
        <v>0</v>
      </c>
      <c r="O15" s="457">
        <f>SUMIFS('📋 Despesas'!$J$7:$J$17833,'📋 Despesas'!$F$7:$F$17833,$B15,'📋 Despesas'!$C$7:$C$17833,O$3,'📋 Despesas'!$D$7:$D$17833,O$2)</f>
        <v>0</v>
      </c>
      <c r="P15" s="250"/>
      <c r="Q15" s="251" t="str">
        <v>DAS</v>
      </c>
    </row>
    <row r="16" spans="1:17" ht="18.75">
      <c r="B16" s="452"/>
      <c r="C16" s="453">
        <f t="shared" si="6"/>
        <v>0</v>
      </c>
      <c r="D16" s="457">
        <f>SUMIFS('📋 Despesas'!$J$7:$J$17833,'📋 Despesas'!$F$7:$F$17833,$B16,'📋 Despesas'!$C$7:$C$17833,D$3,'📋 Despesas'!$D$7:$D$17833,D$2)</f>
        <v>0</v>
      </c>
      <c r="E16" s="457">
        <f>SUMIFS('📋 Despesas'!$J$7:$J$17833,'📋 Despesas'!$F$7:$F$17833,$B16,'📋 Despesas'!$C$7:$C$17833,E$3,'📋 Despesas'!$D$7:$D$17833,E$2)</f>
        <v>0</v>
      </c>
      <c r="F16" s="457">
        <f>SUMIFS('📋 Despesas'!$J$7:$J$17833,'📋 Despesas'!$F$7:$F$17833,$B16,'📋 Despesas'!$C$7:$C$17833,F$3,'📋 Despesas'!$D$7:$D$17833,F$2)</f>
        <v>0</v>
      </c>
      <c r="G16" s="457">
        <f>SUMIFS('📋 Despesas'!$J$7:$J$17833,'📋 Despesas'!$F$7:$F$17833,$B16,'📋 Despesas'!$C$7:$C$17833,G$3,'📋 Despesas'!$D$7:$D$17833,G$2)</f>
        <v>0</v>
      </c>
      <c r="H16" s="457">
        <f>SUMIFS('📋 Despesas'!$J$7:$J$17833,'📋 Despesas'!$F$7:$F$17833,$B16,'📋 Despesas'!$C$7:$C$17833,H$3,'📋 Despesas'!$D$7:$D$17833,H$2)</f>
        <v>0</v>
      </c>
      <c r="I16" s="457">
        <f>SUMIFS('📋 Despesas'!$J$7:$J$17833,'📋 Despesas'!$F$7:$F$17833,$B16,'📋 Despesas'!$C$7:$C$17833,I$3,'📋 Despesas'!$D$7:$D$17833,I$2)</f>
        <v>0</v>
      </c>
      <c r="J16" s="457">
        <f>SUMIFS('📋 Despesas'!$J$7:$J$17833,'📋 Despesas'!$F$7:$F$17833,$B16,'📋 Despesas'!$C$7:$C$17833,J$3,'📋 Despesas'!$D$7:$D$17833,J$2)</f>
        <v>0</v>
      </c>
      <c r="K16" s="457">
        <f>SUMIFS('📋 Despesas'!$J$7:$J$17833,'📋 Despesas'!$F$7:$F$17833,$B16,'📋 Despesas'!$C$7:$C$17833,K$3,'📋 Despesas'!$D$7:$D$17833,K$2)</f>
        <v>0</v>
      </c>
      <c r="L16" s="457">
        <f>SUMIFS('📋 Despesas'!$J$7:$J$17833,'📋 Despesas'!$F$7:$F$17833,$B16,'📋 Despesas'!$C$7:$C$17833,L$3,'📋 Despesas'!$D$7:$D$17833,L$2)</f>
        <v>0</v>
      </c>
      <c r="M16" s="457">
        <f>SUMIFS('📋 Despesas'!$J$7:$J$17833,'📋 Despesas'!$F$7:$F$17833,$B16,'📋 Despesas'!$C$7:$C$17833,M$3,'📋 Despesas'!$D$7:$D$17833,M$2)</f>
        <v>0</v>
      </c>
      <c r="N16" s="457">
        <f>SUMIFS('📋 Despesas'!$J$7:$J$17833,'📋 Despesas'!$F$7:$F$17833,$B16,'📋 Despesas'!$C$7:$C$17833,N$3,'📋 Despesas'!$D$7:$D$17833,N$2)</f>
        <v>0</v>
      </c>
      <c r="O16" s="457">
        <f>SUMIFS('📋 Despesas'!$J$7:$J$17833,'📋 Despesas'!$F$7:$F$17833,$B16,'📋 Despesas'!$C$7:$C$17833,O$3,'📋 Despesas'!$D$7:$D$17833,O$2)</f>
        <v>0</v>
      </c>
      <c r="P16" s="250"/>
      <c r="Q16" s="251" t="str">
        <v>TAXAS</v>
      </c>
    </row>
    <row r="17" spans="1:17" ht="18.75">
      <c r="B17" s="452"/>
      <c r="C17" s="453">
        <f t="shared" si="6"/>
        <v>0</v>
      </c>
      <c r="D17" s="457">
        <f>SUMIFS('📋 Despesas'!$J$7:$J$17833,'📋 Despesas'!$F$7:$F$17833,$B17,'📋 Despesas'!$C$7:$C$17833,D$3,'📋 Despesas'!$D$7:$D$17833,D$2)</f>
        <v>0</v>
      </c>
      <c r="E17" s="457">
        <f>SUMIFS('📋 Despesas'!$J$7:$J$17833,'📋 Despesas'!$F$7:$F$17833,$B17,'📋 Despesas'!$C$7:$C$17833,E$3,'📋 Despesas'!$D$7:$D$17833,E$2)</f>
        <v>0</v>
      </c>
      <c r="F17" s="457">
        <f>SUMIFS('📋 Despesas'!$J$7:$J$17833,'📋 Despesas'!$F$7:$F$17833,$B17,'📋 Despesas'!$C$7:$C$17833,F$3,'📋 Despesas'!$D$7:$D$17833,F$2)</f>
        <v>0</v>
      </c>
      <c r="G17" s="457">
        <f>SUMIFS('📋 Despesas'!$J$7:$J$17833,'📋 Despesas'!$F$7:$F$17833,$B17,'📋 Despesas'!$C$7:$C$17833,G$3,'📋 Despesas'!$D$7:$D$17833,G$2)</f>
        <v>0</v>
      </c>
      <c r="H17" s="457">
        <f>SUMIFS('📋 Despesas'!$J$7:$J$17833,'📋 Despesas'!$F$7:$F$17833,$B17,'📋 Despesas'!$C$7:$C$17833,H$3,'📋 Despesas'!$D$7:$D$17833,H$2)</f>
        <v>0</v>
      </c>
      <c r="I17" s="457">
        <f>SUMIFS('📋 Despesas'!$J$7:$J$17833,'📋 Despesas'!$F$7:$F$17833,$B17,'📋 Despesas'!$C$7:$C$17833,I$3,'📋 Despesas'!$D$7:$D$17833,I$2)</f>
        <v>0</v>
      </c>
      <c r="J17" s="457">
        <f>SUMIFS('📋 Despesas'!$J$7:$J$17833,'📋 Despesas'!$F$7:$F$17833,$B17,'📋 Despesas'!$C$7:$C$17833,J$3,'📋 Despesas'!$D$7:$D$17833,J$2)</f>
        <v>0</v>
      </c>
      <c r="K17" s="457">
        <f>SUMIFS('📋 Despesas'!$J$7:$J$17833,'📋 Despesas'!$F$7:$F$17833,$B17,'📋 Despesas'!$C$7:$C$17833,K$3,'📋 Despesas'!$D$7:$D$17833,K$2)</f>
        <v>0</v>
      </c>
      <c r="L17" s="457">
        <f>SUMIFS('📋 Despesas'!$J$7:$J$17833,'📋 Despesas'!$F$7:$F$17833,$B17,'📋 Despesas'!$C$7:$C$17833,L$3,'📋 Despesas'!$D$7:$D$17833,L$2)</f>
        <v>0</v>
      </c>
      <c r="M17" s="457">
        <f>SUMIFS('📋 Despesas'!$J$7:$J$17833,'📋 Despesas'!$F$7:$F$17833,$B17,'📋 Despesas'!$C$7:$C$17833,M$3,'📋 Despesas'!$D$7:$D$17833,M$2)</f>
        <v>0</v>
      </c>
      <c r="N17" s="457">
        <f>SUMIFS('📋 Despesas'!$J$7:$J$17833,'📋 Despesas'!$F$7:$F$17833,$B17,'📋 Despesas'!$C$7:$C$17833,N$3,'📋 Despesas'!$D$7:$D$17833,N$2)</f>
        <v>0</v>
      </c>
      <c r="O17" s="457">
        <f>SUMIFS('📋 Despesas'!$J$7:$J$17833,'📋 Despesas'!$F$7:$F$17833,$B17,'📋 Despesas'!$C$7:$C$17833,O$3,'📋 Despesas'!$D$7:$D$17833,O$2)</f>
        <v>0</v>
      </c>
      <c r="P17" s="250"/>
      <c r="Q17" s="251"/>
    </row>
    <row r="18" spans="1:17" ht="18.75" hidden="1">
      <c r="A18" s="79"/>
      <c r="B18" s="452"/>
      <c r="C18" s="453">
        <f t="shared" si="6"/>
        <v>0</v>
      </c>
      <c r="D18" s="457">
        <f>SUMIFS('📋 Despesas'!$J$7:$J$17833,'📋 Despesas'!$F$7:$F$17833,$B18,'📋 Despesas'!$C$7:$C$17833,D$3,'📋 Despesas'!$D$7:$D$17833,D$2)</f>
        <v>0</v>
      </c>
      <c r="E18" s="457">
        <f>SUMIFS('📋 Despesas'!$J$7:$J$17833,'📋 Despesas'!$F$7:$F$17833,$B18,'📋 Despesas'!$C$7:$C$17833,E$3,'📋 Despesas'!$D$7:$D$17833,E$2)</f>
        <v>0</v>
      </c>
      <c r="F18" s="457">
        <f>SUMIFS('📋 Despesas'!$J$7:$J$17833,'📋 Despesas'!$F$7:$F$17833,$B18,'📋 Despesas'!$C$7:$C$17833,F$3,'📋 Despesas'!$D$7:$D$17833,F$2)</f>
        <v>0</v>
      </c>
      <c r="G18" s="457">
        <f>SUMIFS('📋 Despesas'!$J$7:$J$17833,'📋 Despesas'!$F$7:$F$17833,$B18,'📋 Despesas'!$C$7:$C$17833,G$3,'📋 Despesas'!$D$7:$D$17833,G$2)</f>
        <v>0</v>
      </c>
      <c r="H18" s="457">
        <f>SUMIFS('📋 Despesas'!$J$7:$J$17833,'📋 Despesas'!$F$7:$F$17833,$B18,'📋 Despesas'!$C$7:$C$17833,H$3,'📋 Despesas'!$D$7:$D$17833,H$2)</f>
        <v>0</v>
      </c>
      <c r="I18" s="457">
        <f>SUMIFS('📋 Despesas'!$J$7:$J$17833,'📋 Despesas'!$F$7:$F$17833,$B18,'📋 Despesas'!$C$7:$C$17833,I$3,'📋 Despesas'!$D$7:$D$17833,I$2)</f>
        <v>0</v>
      </c>
      <c r="J18" s="457">
        <f>SUMIFS('📋 Despesas'!$J$7:$J$17833,'📋 Despesas'!$F$7:$F$17833,$B18,'📋 Despesas'!$C$7:$C$17833,J$3,'📋 Despesas'!$D$7:$D$17833,J$2)</f>
        <v>0</v>
      </c>
      <c r="K18" s="457">
        <f>SUMIFS('📋 Despesas'!$J$7:$J$17833,'📋 Despesas'!$F$7:$F$17833,$B18,'📋 Despesas'!$C$7:$C$17833,K$3,'📋 Despesas'!$D$7:$D$17833,K$2)</f>
        <v>0</v>
      </c>
      <c r="L18" s="457">
        <f>SUMIFS('📋 Despesas'!$J$7:$J$17833,'📋 Despesas'!$F$7:$F$17833,$B18,'📋 Despesas'!$C$7:$C$17833,L$3,'📋 Despesas'!$D$7:$D$17833,L$2)</f>
        <v>0</v>
      </c>
      <c r="M18" s="457">
        <f>SUMIFS('📋 Despesas'!$J$7:$J$17833,'📋 Despesas'!$F$7:$F$17833,$B18,'📋 Despesas'!$C$7:$C$17833,M$3,'📋 Despesas'!$D$7:$D$17833,M$2)</f>
        <v>0</v>
      </c>
      <c r="N18" s="457">
        <f>SUMIFS('📋 Despesas'!$J$7:$J$17833,'📋 Despesas'!$F$7:$F$17833,$B18,'📋 Despesas'!$C$7:$C$17833,N$3,'📋 Despesas'!$D$7:$D$17833,N$2)</f>
        <v>0</v>
      </c>
      <c r="O18" s="457">
        <f>SUMIFS('📋 Despesas'!$J$7:$J$17833,'📋 Despesas'!$F$7:$F$17833,$B18,'📋 Despesas'!$C$7:$C$17833,O$3,'📋 Despesas'!$D$7:$D$17833,O$2)</f>
        <v>0</v>
      </c>
      <c r="P18" s="250"/>
      <c r="Q18" s="251"/>
    </row>
    <row r="19" spans="1:17" ht="18.75">
      <c r="B19" s="452"/>
      <c r="C19" s="453">
        <f t="shared" si="6"/>
        <v>0</v>
      </c>
      <c r="D19" s="457">
        <f>SUMIFS('📋 Despesas'!$J$7:$J$17833,'📋 Despesas'!$F$7:$F$17833,$B19,'📋 Despesas'!$C$7:$C$17833,D$3,'📋 Despesas'!$D$7:$D$17833,D$2)</f>
        <v>0</v>
      </c>
      <c r="E19" s="457">
        <f>SUMIFS('📋 Despesas'!$J$7:$J$17833,'📋 Despesas'!$F$7:$F$17833,$B19,'📋 Despesas'!$C$7:$C$17833,E$3,'📋 Despesas'!$D$7:$D$17833,E$2)</f>
        <v>0</v>
      </c>
      <c r="F19" s="457">
        <f>SUMIFS('📋 Despesas'!$J$7:$J$17833,'📋 Despesas'!$F$7:$F$17833,$B19,'📋 Despesas'!$C$7:$C$17833,F$3,'📋 Despesas'!$D$7:$D$17833,F$2)</f>
        <v>0</v>
      </c>
      <c r="G19" s="457">
        <f>SUMIFS('📋 Despesas'!$J$7:$J$17833,'📋 Despesas'!$F$7:$F$17833,$B19,'📋 Despesas'!$C$7:$C$17833,G$3,'📋 Despesas'!$D$7:$D$17833,G$2)</f>
        <v>0</v>
      </c>
      <c r="H19" s="457">
        <f>SUMIFS('📋 Despesas'!$J$7:$J$17833,'📋 Despesas'!$F$7:$F$17833,$B19,'📋 Despesas'!$C$7:$C$17833,H$3,'📋 Despesas'!$D$7:$D$17833,H$2)</f>
        <v>0</v>
      </c>
      <c r="I19" s="457">
        <f>SUMIFS('📋 Despesas'!$J$7:$J$17833,'📋 Despesas'!$F$7:$F$17833,$B19,'📋 Despesas'!$C$7:$C$17833,I$3,'📋 Despesas'!$D$7:$D$17833,I$2)</f>
        <v>0</v>
      </c>
      <c r="J19" s="457">
        <f>SUMIFS('📋 Despesas'!$J$7:$J$17833,'📋 Despesas'!$F$7:$F$17833,$B19,'📋 Despesas'!$C$7:$C$17833,J$3,'📋 Despesas'!$D$7:$D$17833,J$2)</f>
        <v>0</v>
      </c>
      <c r="K19" s="457">
        <f>SUMIFS('📋 Despesas'!$J$7:$J$17833,'📋 Despesas'!$F$7:$F$17833,$B19,'📋 Despesas'!$C$7:$C$17833,K$3,'📋 Despesas'!$D$7:$D$17833,K$2)</f>
        <v>0</v>
      </c>
      <c r="L19" s="457">
        <f>SUMIFS('📋 Despesas'!$J$7:$J$17833,'📋 Despesas'!$F$7:$F$17833,$B19,'📋 Despesas'!$C$7:$C$17833,L$3,'📋 Despesas'!$D$7:$D$17833,L$2)</f>
        <v>0</v>
      </c>
      <c r="M19" s="457">
        <f>SUMIFS('📋 Despesas'!$J$7:$J$17833,'📋 Despesas'!$F$7:$F$17833,$B19,'📋 Despesas'!$C$7:$C$17833,M$3,'📋 Despesas'!$D$7:$D$17833,M$2)</f>
        <v>0</v>
      </c>
      <c r="N19" s="457">
        <f>SUMIFS('📋 Despesas'!$J$7:$J$17833,'📋 Despesas'!$F$7:$F$17833,$B19,'📋 Despesas'!$C$7:$C$17833,N$3,'📋 Despesas'!$D$7:$D$17833,N$2)</f>
        <v>0</v>
      </c>
      <c r="O19" s="457">
        <f>SUMIFS('📋 Despesas'!$J$7:$J$17833,'📋 Despesas'!$F$7:$F$17833,$B19,'📋 Despesas'!$C$7:$C$17833,O$3,'📋 Despesas'!$D$7:$D$17833,O$2)</f>
        <v>0</v>
      </c>
      <c r="P19" s="250"/>
      <c r="Q19" s="251"/>
    </row>
    <row r="20" spans="1:17" ht="18.75">
      <c r="B20" s="452"/>
      <c r="C20" s="453">
        <f t="shared" si="6"/>
        <v>0</v>
      </c>
      <c r="D20" s="457">
        <f>SUMIFS('📋 Despesas'!$J$7:$J$17833,'📋 Despesas'!$F$7:$F$17833,$B20,'📋 Despesas'!$C$7:$C$17833,D$3,'📋 Despesas'!$D$7:$D$17833,D$2)</f>
        <v>0</v>
      </c>
      <c r="E20" s="457">
        <f>SUMIFS('📋 Despesas'!$J$7:$J$17833,'📋 Despesas'!$F$7:$F$17833,$B20,'📋 Despesas'!$C$7:$C$17833,E$3,'📋 Despesas'!$D$7:$D$17833,E$2)</f>
        <v>0</v>
      </c>
      <c r="F20" s="457">
        <f>SUMIFS('📋 Despesas'!$J$7:$J$17833,'📋 Despesas'!$F$7:$F$17833,$B20,'📋 Despesas'!$C$7:$C$17833,F$3,'📋 Despesas'!$D$7:$D$17833,F$2)</f>
        <v>0</v>
      </c>
      <c r="G20" s="457">
        <f>SUMIFS('📋 Despesas'!$J$7:$J$17833,'📋 Despesas'!$F$7:$F$17833,$B20,'📋 Despesas'!$C$7:$C$17833,G$3,'📋 Despesas'!$D$7:$D$17833,G$2)</f>
        <v>0</v>
      </c>
      <c r="H20" s="457">
        <f>SUMIFS('📋 Despesas'!$J$7:$J$17833,'📋 Despesas'!$F$7:$F$17833,$B20,'📋 Despesas'!$C$7:$C$17833,H$3,'📋 Despesas'!$D$7:$D$17833,H$2)</f>
        <v>0</v>
      </c>
      <c r="I20" s="457">
        <f>SUMIFS('📋 Despesas'!$J$7:$J$17833,'📋 Despesas'!$F$7:$F$17833,$B20,'📋 Despesas'!$C$7:$C$17833,I$3,'📋 Despesas'!$D$7:$D$17833,I$2)</f>
        <v>0</v>
      </c>
      <c r="J20" s="457">
        <f>SUMIFS('📋 Despesas'!$J$7:$J$17833,'📋 Despesas'!$F$7:$F$17833,$B20,'📋 Despesas'!$C$7:$C$17833,J$3,'📋 Despesas'!$D$7:$D$17833,J$2)</f>
        <v>0</v>
      </c>
      <c r="K20" s="457">
        <f>SUMIFS('📋 Despesas'!$J$7:$J$17833,'📋 Despesas'!$F$7:$F$17833,$B20,'📋 Despesas'!$C$7:$C$17833,K$3,'📋 Despesas'!$D$7:$D$17833,K$2)</f>
        <v>0</v>
      </c>
      <c r="L20" s="457">
        <f>SUMIFS('📋 Despesas'!$J$7:$J$17833,'📋 Despesas'!$F$7:$F$17833,$B20,'📋 Despesas'!$C$7:$C$17833,L$3,'📋 Despesas'!$D$7:$D$17833,L$2)</f>
        <v>0</v>
      </c>
      <c r="M20" s="457">
        <f>SUMIFS('📋 Despesas'!$J$7:$J$17833,'📋 Despesas'!$F$7:$F$17833,$B20,'📋 Despesas'!$C$7:$C$17833,M$3,'📋 Despesas'!$D$7:$D$17833,M$2)</f>
        <v>0</v>
      </c>
      <c r="N20" s="457">
        <f>SUMIFS('📋 Despesas'!$J$7:$J$17833,'📋 Despesas'!$F$7:$F$17833,$B20,'📋 Despesas'!$C$7:$C$17833,N$3,'📋 Despesas'!$D$7:$D$17833,N$2)</f>
        <v>0</v>
      </c>
      <c r="O20" s="457">
        <f>SUMIFS('📋 Despesas'!$J$7:$J$17833,'📋 Despesas'!$F$7:$F$17833,$B20,'📋 Despesas'!$C$7:$C$17833,O$3,'📋 Despesas'!$D$7:$D$17833,O$2)</f>
        <v>0</v>
      </c>
      <c r="P20" s="250"/>
      <c r="Q20" s="251"/>
    </row>
    <row r="21" spans="1:17" ht="15.75" customHeight="1">
      <c r="B21" s="452"/>
      <c r="C21" s="453">
        <f t="shared" si="6"/>
        <v>0</v>
      </c>
      <c r="D21" s="457">
        <f>SUMIFS('📋 Despesas'!$J$7:$J$17833,'📋 Despesas'!$F$7:$F$17833,$B21,'📋 Despesas'!$C$7:$C$17833,D$3,'📋 Despesas'!$D$7:$D$17833,D$2)</f>
        <v>0</v>
      </c>
      <c r="E21" s="457">
        <f>SUMIFS('📋 Despesas'!$J$7:$J$17833,'📋 Despesas'!$F$7:$F$17833,$B21,'📋 Despesas'!$C$7:$C$17833,E$3,'📋 Despesas'!$D$7:$D$17833,E$2)</f>
        <v>0</v>
      </c>
      <c r="F21" s="457">
        <f>SUMIFS('📋 Despesas'!$J$7:$J$17833,'📋 Despesas'!$F$7:$F$17833,$B21,'📋 Despesas'!$C$7:$C$17833,F$3,'📋 Despesas'!$D$7:$D$17833,F$2)</f>
        <v>0</v>
      </c>
      <c r="G21" s="457">
        <f>SUMIFS('📋 Despesas'!$J$7:$J$17833,'📋 Despesas'!$F$7:$F$17833,$B21,'📋 Despesas'!$C$7:$C$17833,G$3,'📋 Despesas'!$D$7:$D$17833,G$2)</f>
        <v>0</v>
      </c>
      <c r="H21" s="457">
        <f>SUMIFS('📋 Despesas'!$J$7:$J$17833,'📋 Despesas'!$F$7:$F$17833,$B21,'📋 Despesas'!$C$7:$C$17833,H$3,'📋 Despesas'!$D$7:$D$17833,H$2)</f>
        <v>0</v>
      </c>
      <c r="I21" s="457">
        <f>SUMIFS('📋 Despesas'!$J$7:$J$17833,'📋 Despesas'!$F$7:$F$17833,$B21,'📋 Despesas'!$C$7:$C$17833,I$3,'📋 Despesas'!$D$7:$D$17833,I$2)</f>
        <v>0</v>
      </c>
      <c r="J21" s="457">
        <f>SUMIFS('📋 Despesas'!$J$7:$J$17833,'📋 Despesas'!$F$7:$F$17833,$B21,'📋 Despesas'!$C$7:$C$17833,J$3,'📋 Despesas'!$D$7:$D$17833,J$2)</f>
        <v>0</v>
      </c>
      <c r="K21" s="457">
        <f>SUMIFS('📋 Despesas'!$J$7:$J$17833,'📋 Despesas'!$F$7:$F$17833,$B21,'📋 Despesas'!$C$7:$C$17833,K$3,'📋 Despesas'!$D$7:$D$17833,K$2)</f>
        <v>0</v>
      </c>
      <c r="L21" s="457">
        <f>SUMIFS('📋 Despesas'!$J$7:$J$17833,'📋 Despesas'!$F$7:$F$17833,$B21,'📋 Despesas'!$C$7:$C$17833,L$3,'📋 Despesas'!$D$7:$D$17833,L$2)</f>
        <v>0</v>
      </c>
      <c r="M21" s="457">
        <f>SUMIFS('📋 Despesas'!$J$7:$J$17833,'📋 Despesas'!$F$7:$F$17833,$B21,'📋 Despesas'!$C$7:$C$17833,M$3,'📋 Despesas'!$D$7:$D$17833,M$2)</f>
        <v>0</v>
      </c>
      <c r="N21" s="457">
        <f>SUMIFS('📋 Despesas'!$J$7:$J$17833,'📋 Despesas'!$F$7:$F$17833,$B21,'📋 Despesas'!$C$7:$C$17833,N$3,'📋 Despesas'!$D$7:$D$17833,N$2)</f>
        <v>0</v>
      </c>
      <c r="O21" s="457">
        <f>SUMIFS('📋 Despesas'!$J$7:$J$17833,'📋 Despesas'!$F$7:$F$17833,$B21,'📋 Despesas'!$C$7:$C$17833,O$3,'📋 Despesas'!$D$7:$D$17833,O$2)</f>
        <v>0</v>
      </c>
      <c r="P21" s="250"/>
      <c r="Q21" s="251"/>
    </row>
    <row r="22" spans="1:17" ht="15.75" customHeight="1">
      <c r="B22" s="480" t="s">
        <v>229</v>
      </c>
      <c r="C22" s="482">
        <f t="shared" si="6"/>
        <v>2400</v>
      </c>
      <c r="D22" s="482">
        <f>SUMIFS('📋 Despesas'!$J$7:$J$17833,'📋 Despesas'!$F$7:$F$17833,$B22,'📋 Despesas'!$C$7:$C$17833,D$3,'📋 Despesas'!$D$7:$D$17833,D$2)</f>
        <v>0</v>
      </c>
      <c r="E22" s="482">
        <f>SUMIFS('📋 Despesas'!$J$7:$J$17833,'📋 Despesas'!$F$7:$F$17833,$B22,'📋 Despesas'!$C$7:$C$17833,E$3,'📋 Despesas'!$D$7:$D$17833,E$2)</f>
        <v>0</v>
      </c>
      <c r="F22" s="482">
        <f>SUMIFS('📋 Despesas'!$J$7:$J$17833,'📋 Despesas'!$F$7:$F$17833,$B22,'📋 Despesas'!$C$7:$C$17833,F$3,'📋 Despesas'!$D$7:$D$17833,F$2)</f>
        <v>0</v>
      </c>
      <c r="G22" s="482">
        <f>SUMIFS('📋 Despesas'!$J$7:$J$17833,'📋 Despesas'!$F$7:$F$17833,$B22,'📋 Despesas'!$C$7:$C$17833,G$3,'📋 Despesas'!$D$7:$D$17833,G$2)</f>
        <v>0</v>
      </c>
      <c r="H22" s="482">
        <f>SUMIFS('📋 Despesas'!$J$7:$J$17833,'📋 Despesas'!$F$7:$F$17833,$B22,'📋 Despesas'!$C$7:$C$17833,H$3,'📋 Despesas'!$D$7:$D$17833,H$2)</f>
        <v>0</v>
      </c>
      <c r="I22" s="482">
        <f>SUMIFS('📋 Despesas'!$J$7:$J$17833,'📋 Despesas'!$F$7:$F$17833,$B22,'📋 Despesas'!$C$7:$C$17833,I$3,'📋 Despesas'!$D$7:$D$17833,I$2)</f>
        <v>600</v>
      </c>
      <c r="J22" s="482">
        <f>SUMIFS('📋 Despesas'!$J$7:$J$17833,'📋 Despesas'!$F$7:$F$17833,$B22,'📋 Despesas'!$C$7:$C$17833,J$3,'📋 Despesas'!$D$7:$D$17833,J$2)</f>
        <v>600</v>
      </c>
      <c r="K22" s="482">
        <f>SUMIFS('📋 Despesas'!$J$7:$J$17833,'📋 Despesas'!$F$7:$F$17833,$B22,'📋 Despesas'!$C$7:$C$17833,K$3,'📋 Despesas'!$D$7:$D$17833,K$2)</f>
        <v>600</v>
      </c>
      <c r="L22" s="482">
        <f>SUMIFS('📋 Despesas'!$J$7:$J$17833,'📋 Despesas'!$F$7:$F$17833,$B22,'📋 Despesas'!$C$7:$C$17833,L$3,'📋 Despesas'!$D$7:$D$17833,L$2)</f>
        <v>600</v>
      </c>
      <c r="M22" s="482">
        <f>SUMIFS('📋 Despesas'!$J$7:$J$17833,'📋 Despesas'!$F$7:$F$17833,$B22,'📋 Despesas'!$C$7:$C$17833,M$3,'📋 Despesas'!$D$7:$D$17833,M$2)</f>
        <v>0</v>
      </c>
      <c r="N22" s="482">
        <f>SUMIFS('📋 Despesas'!$J$7:$J$17833,'📋 Despesas'!$F$7:$F$17833,$B22,'📋 Despesas'!$C$7:$C$17833,N$3,'📋 Despesas'!$D$7:$D$17833,N$2)</f>
        <v>0</v>
      </c>
      <c r="O22" s="482">
        <f>SUMIFS('📋 Despesas'!$J$7:$J$17833,'📋 Despesas'!$F$7:$F$17833,$B22,'📋 Despesas'!$C$7:$C$17833,O$3,'📋 Despesas'!$D$7:$D$17833,O$2)</f>
        <v>0</v>
      </c>
      <c r="P22" s="250"/>
      <c r="Q22" s="251"/>
    </row>
    <row r="23" spans="1:17" ht="15.75" customHeight="1">
      <c r="B23" s="481" t="s">
        <v>200</v>
      </c>
      <c r="C23" s="483">
        <f t="shared" si="6"/>
        <v>0</v>
      </c>
      <c r="D23" s="483">
        <f>SUMIFS('📋 Despesas'!$J$7:$J$17833,'📋 Despesas'!$F$7:$F$17833,$B23,'📋 Despesas'!$C$7:$C$17833,D$3,'📋 Despesas'!$D$7:$D$17833,D$2)</f>
        <v>0</v>
      </c>
      <c r="E23" s="483">
        <f>SUMIFS('📋 Despesas'!$J$7:$J$17833,'📋 Despesas'!$F$7:$F$17833,$B23,'📋 Despesas'!$C$7:$C$17833,E$3,'📋 Despesas'!$D$7:$D$17833,E$2)</f>
        <v>0</v>
      </c>
      <c r="F23" s="483">
        <f>SUMIFS('📋 Despesas'!$J$7:$J$17833,'📋 Despesas'!$F$7:$F$17833,$B23,'📋 Despesas'!$C$7:$C$17833,F$3,'📋 Despesas'!$D$7:$D$17833,F$2)</f>
        <v>0</v>
      </c>
      <c r="G23" s="483">
        <f>SUMIFS('📋 Despesas'!$J$7:$J$17833,'📋 Despesas'!$F$7:$F$17833,$B23,'📋 Despesas'!$C$7:$C$17833,G$3,'📋 Despesas'!$D$7:$D$17833,G$2)</f>
        <v>0</v>
      </c>
      <c r="H23" s="483">
        <f>SUMIFS('📋 Despesas'!$J$7:$J$17833,'📋 Despesas'!$F$7:$F$17833,$B23,'📋 Despesas'!$C$7:$C$17833,H$3,'📋 Despesas'!$D$7:$D$17833,H$2)</f>
        <v>0</v>
      </c>
      <c r="I23" s="483">
        <f>SUMIFS('📋 Despesas'!$J$7:$J$17833,'📋 Despesas'!$F$7:$F$17833,$B23,'📋 Despesas'!$C$7:$C$17833,I$3,'📋 Despesas'!$D$7:$D$17833,I$2)</f>
        <v>0</v>
      </c>
      <c r="J23" s="483">
        <f>SUMIFS('📋 Despesas'!$J$7:$J$17833,'📋 Despesas'!$F$7:$F$17833,$B23,'📋 Despesas'!$C$7:$C$17833,J$3,'📋 Despesas'!$D$7:$D$17833,J$2)</f>
        <v>0</v>
      </c>
      <c r="K23" s="483">
        <f>SUMIFS('📋 Despesas'!$J$7:$J$17833,'📋 Despesas'!$F$7:$F$17833,$B23,'📋 Despesas'!$C$7:$C$17833,K$3,'📋 Despesas'!$D$7:$D$17833,K$2)</f>
        <v>0</v>
      </c>
      <c r="L23" s="483">
        <f>SUMIFS('📋 Despesas'!$J$7:$J$17833,'📋 Despesas'!$F$7:$F$17833,$B23,'📋 Despesas'!$C$7:$C$17833,L$3,'📋 Despesas'!$D$7:$D$17833,L$2)</f>
        <v>0</v>
      </c>
      <c r="M23" s="483">
        <f>SUMIFS('📋 Despesas'!$J$7:$J$17833,'📋 Despesas'!$F$7:$F$17833,$B23,'📋 Despesas'!$C$7:$C$17833,M$3,'📋 Despesas'!$D$7:$D$17833,M$2)</f>
        <v>0</v>
      </c>
      <c r="N23" s="483">
        <f>SUMIFS('📋 Despesas'!$J$7:$J$17833,'📋 Despesas'!$F$7:$F$17833,$B23,'📋 Despesas'!$C$7:$C$17833,N$3,'📋 Despesas'!$D$7:$D$17833,N$2)</f>
        <v>0</v>
      </c>
      <c r="O23" s="483">
        <f>SUMIFS('📋 Despesas'!$J$7:$J$17833,'📋 Despesas'!$F$7:$F$17833,$B23,'📋 Despesas'!$C$7:$C$17833,O$3,'📋 Despesas'!$D$7:$D$17833,O$2)</f>
        <v>0</v>
      </c>
      <c r="P23" s="250"/>
      <c r="Q23" s="251"/>
    </row>
    <row r="24" spans="1:17" ht="15.75" customHeight="1">
      <c r="A24" s="79"/>
      <c r="B24" s="452"/>
      <c r="C24" s="453">
        <f t="shared" si="6"/>
        <v>0</v>
      </c>
      <c r="D24" s="457">
        <f>SUMIFS('📋 Despesas'!$J$7:$J$17833,'📋 Despesas'!$F$7:$F$17833,$B24,'📋 Despesas'!$C$7:$C$17833,D$3,'📋 Despesas'!$D$7:$D$17833,D$2)</f>
        <v>0</v>
      </c>
      <c r="E24" s="457">
        <f>SUMIFS('📋 Despesas'!$J$7:$J$17833,'📋 Despesas'!$F$7:$F$17833,$B24,'📋 Despesas'!$C$7:$C$17833,E$3,'📋 Despesas'!$D$7:$D$17833,E$2)</f>
        <v>0</v>
      </c>
      <c r="F24" s="457">
        <f>SUMIFS('📋 Despesas'!$J$7:$J$17833,'📋 Despesas'!$F$7:$F$17833,$B24,'📋 Despesas'!$C$7:$C$17833,F$3,'📋 Despesas'!$D$7:$D$17833,F$2)</f>
        <v>0</v>
      </c>
      <c r="G24" s="457">
        <f>SUMIFS('📋 Despesas'!$J$7:$J$17833,'📋 Despesas'!$F$7:$F$17833,$B24,'📋 Despesas'!$C$7:$C$17833,G$3,'📋 Despesas'!$D$7:$D$17833,G$2)</f>
        <v>0</v>
      </c>
      <c r="H24" s="457">
        <f>SUMIFS('📋 Despesas'!$J$7:$J$17833,'📋 Despesas'!$F$7:$F$17833,$B24,'📋 Despesas'!$C$7:$C$17833,H$3,'📋 Despesas'!$D$7:$D$17833,H$2)</f>
        <v>0</v>
      </c>
      <c r="I24" s="457">
        <f>SUMIFS('📋 Despesas'!$J$7:$J$17833,'📋 Despesas'!$F$7:$F$17833,$B24,'📋 Despesas'!$C$7:$C$17833,I$3,'📋 Despesas'!$D$7:$D$17833,I$2)</f>
        <v>0</v>
      </c>
      <c r="J24" s="457">
        <f>SUMIFS('📋 Despesas'!$J$7:$J$17833,'📋 Despesas'!$F$7:$F$17833,$B24,'📋 Despesas'!$C$7:$C$17833,J$3,'📋 Despesas'!$D$7:$D$17833,J$2)</f>
        <v>0</v>
      </c>
      <c r="K24" s="457">
        <f>SUMIFS('📋 Despesas'!$J$7:$J$17833,'📋 Despesas'!$F$7:$F$17833,$B24,'📋 Despesas'!$C$7:$C$17833,K$3,'📋 Despesas'!$D$7:$D$17833,K$2)</f>
        <v>0</v>
      </c>
      <c r="L24" s="457">
        <f>SUMIFS('📋 Despesas'!$J$7:$J$17833,'📋 Despesas'!$F$7:$F$17833,$B24,'📋 Despesas'!$C$7:$C$17833,L$3,'📋 Despesas'!$D$7:$D$17833,L$2)</f>
        <v>0</v>
      </c>
      <c r="M24" s="457">
        <f>SUMIFS('📋 Despesas'!$J$7:$J$17833,'📋 Despesas'!$F$7:$F$17833,$B24,'📋 Despesas'!$C$7:$C$17833,M$3,'📋 Despesas'!$D$7:$D$17833,M$2)</f>
        <v>0</v>
      </c>
      <c r="N24" s="457">
        <f>SUMIFS('📋 Despesas'!$J$7:$J$17833,'📋 Despesas'!$F$7:$F$17833,$B24,'📋 Despesas'!$C$7:$C$17833,N$3,'📋 Despesas'!$D$7:$D$17833,N$2)</f>
        <v>0</v>
      </c>
      <c r="O24" s="457">
        <f>SUMIFS('📋 Despesas'!$J$7:$J$17833,'📋 Despesas'!$F$7:$F$17833,$B24,'📋 Despesas'!$C$7:$C$17833,O$3,'📋 Despesas'!$D$7:$D$17833,O$2)</f>
        <v>0</v>
      </c>
      <c r="P24" s="250"/>
      <c r="Q24" s="251"/>
    </row>
    <row r="25" spans="1:17" ht="15.75" customHeight="1">
      <c r="A25" s="79"/>
      <c r="B25" s="480"/>
      <c r="C25" s="482">
        <f t="shared" si="6"/>
        <v>0</v>
      </c>
      <c r="D25" s="482">
        <f>SUMIFS('📋 Despesas'!$J$7:$J$17833,'📋 Despesas'!$F$7:$F$17833,$B25,'📋 Despesas'!$C$7:$C$17833,D$3,'📋 Despesas'!$D$7:$D$17833,D$2)</f>
        <v>0</v>
      </c>
      <c r="E25" s="482">
        <f>SUMIFS('📋 Despesas'!$J$7:$J$17833,'📋 Despesas'!$F$7:$F$17833,$B25,'📋 Despesas'!$C$7:$C$17833,E$3,'📋 Despesas'!$D$7:$D$17833,E$2)</f>
        <v>0</v>
      </c>
      <c r="F25" s="482">
        <f>SUMIFS('📋 Despesas'!$J$7:$J$17833,'📋 Despesas'!$F$7:$F$17833,$B25,'📋 Despesas'!$C$7:$C$17833,F$3,'📋 Despesas'!$D$7:$D$17833,F$2)</f>
        <v>0</v>
      </c>
      <c r="G25" s="482">
        <f>SUMIFS('📋 Despesas'!$J$7:$J$17833,'📋 Despesas'!$F$7:$F$17833,$B25,'📋 Despesas'!$C$7:$C$17833,G$3,'📋 Despesas'!$D$7:$D$17833,G$2)</f>
        <v>0</v>
      </c>
      <c r="H25" s="482">
        <f>SUMIFS('📋 Despesas'!$J$7:$J$17833,'📋 Despesas'!$F$7:$F$17833,$B25,'📋 Despesas'!$C$7:$C$17833,H$3,'📋 Despesas'!$D$7:$D$17833,H$2)</f>
        <v>0</v>
      </c>
      <c r="I25" s="482">
        <f>SUMIFS('📋 Despesas'!$J$7:$J$17833,'📋 Despesas'!$F$7:$F$17833,$B25,'📋 Despesas'!$C$7:$C$17833,I$3,'📋 Despesas'!$D$7:$D$17833,I$2)</f>
        <v>0</v>
      </c>
      <c r="J25" s="482">
        <f>SUMIFS('📋 Despesas'!$J$7:$J$17833,'📋 Despesas'!$F$7:$F$17833,$B25,'📋 Despesas'!$C$7:$C$17833,J$3,'📋 Despesas'!$D$7:$D$17833,J$2)</f>
        <v>0</v>
      </c>
      <c r="K25" s="482">
        <f>SUMIFS('📋 Despesas'!$J$7:$J$17833,'📋 Despesas'!$F$7:$F$17833,$B25,'📋 Despesas'!$C$7:$C$17833,K$3,'📋 Despesas'!$D$7:$D$17833,K$2)</f>
        <v>0</v>
      </c>
      <c r="L25" s="482">
        <f>SUMIFS('📋 Despesas'!$J$7:$J$17833,'📋 Despesas'!$F$7:$F$17833,$B25,'📋 Despesas'!$C$7:$C$17833,L$3,'📋 Despesas'!$D$7:$D$17833,L$2)</f>
        <v>0</v>
      </c>
      <c r="M25" s="482">
        <f>SUMIFS('📋 Despesas'!$J$7:$J$17833,'📋 Despesas'!$F$7:$F$17833,$B25,'📋 Despesas'!$C$7:$C$17833,M$3,'📋 Despesas'!$D$7:$D$17833,M$2)</f>
        <v>0</v>
      </c>
      <c r="N25" s="482">
        <f>SUMIFS('📋 Despesas'!$J$7:$J$17833,'📋 Despesas'!$F$7:$F$17833,$B25,'📋 Despesas'!$C$7:$C$17833,N$3,'📋 Despesas'!$D$7:$D$17833,N$2)</f>
        <v>0</v>
      </c>
      <c r="O25" s="482">
        <f>SUMIFS('📋 Despesas'!$J$7:$J$17833,'📋 Despesas'!$F$7:$F$17833,$B25,'📋 Despesas'!$C$7:$C$17833,O$3,'📋 Despesas'!$D$7:$D$17833,O$2)</f>
        <v>0</v>
      </c>
      <c r="P25" s="250"/>
      <c r="Q25" s="251"/>
    </row>
    <row r="26" spans="1:17" ht="15.75" customHeight="1">
      <c r="A26" s="79"/>
      <c r="B26" s="480"/>
      <c r="C26" s="482">
        <f t="shared" si="6"/>
        <v>0</v>
      </c>
      <c r="D26" s="482">
        <f>SUMIFS('📋 Despesas'!$J$7:$J$17833,'📋 Despesas'!$F$7:$F$17833,$B26,'📋 Despesas'!$C$7:$C$17833,D$3,'📋 Despesas'!$D$7:$D$17833,D$2)</f>
        <v>0</v>
      </c>
      <c r="E26" s="482">
        <f>SUMIFS('📋 Despesas'!$J$7:$J$17833,'📋 Despesas'!$F$7:$F$17833,$B26,'📋 Despesas'!$C$7:$C$17833,E$3,'📋 Despesas'!$D$7:$D$17833,E$2)</f>
        <v>0</v>
      </c>
      <c r="F26" s="482">
        <f>SUMIFS('📋 Despesas'!$J$7:$J$17833,'📋 Despesas'!$F$7:$F$17833,$B26,'📋 Despesas'!$C$7:$C$17833,F$3,'📋 Despesas'!$D$7:$D$17833,F$2)</f>
        <v>0</v>
      </c>
      <c r="G26" s="482">
        <f>SUMIFS('📋 Despesas'!$J$7:$J$17833,'📋 Despesas'!$F$7:$F$17833,$B26,'📋 Despesas'!$C$7:$C$17833,G$3,'📋 Despesas'!$D$7:$D$17833,G$2)</f>
        <v>0</v>
      </c>
      <c r="H26" s="482">
        <f>SUMIFS('📋 Despesas'!$J$7:$J$17833,'📋 Despesas'!$F$7:$F$17833,$B26,'📋 Despesas'!$C$7:$C$17833,H$3,'📋 Despesas'!$D$7:$D$17833,H$2)</f>
        <v>0</v>
      </c>
      <c r="I26" s="482">
        <f>SUMIFS('📋 Despesas'!$J$7:$J$17833,'📋 Despesas'!$F$7:$F$17833,$B26,'📋 Despesas'!$C$7:$C$17833,I$3,'📋 Despesas'!$D$7:$D$17833,I$2)</f>
        <v>0</v>
      </c>
      <c r="J26" s="482">
        <f>SUMIFS('📋 Despesas'!$J$7:$J$17833,'📋 Despesas'!$F$7:$F$17833,$B26,'📋 Despesas'!$C$7:$C$17833,J$3,'📋 Despesas'!$D$7:$D$17833,J$2)</f>
        <v>0</v>
      </c>
      <c r="K26" s="482">
        <f>SUMIFS('📋 Despesas'!$J$7:$J$17833,'📋 Despesas'!$F$7:$F$17833,$B26,'📋 Despesas'!$C$7:$C$17833,K$3,'📋 Despesas'!$D$7:$D$17833,K$2)</f>
        <v>0</v>
      </c>
      <c r="L26" s="482">
        <f>SUMIFS('📋 Despesas'!$J$7:$J$17833,'📋 Despesas'!$F$7:$F$17833,$B26,'📋 Despesas'!$C$7:$C$17833,L$3,'📋 Despesas'!$D$7:$D$17833,L$2)</f>
        <v>0</v>
      </c>
      <c r="M26" s="482">
        <f>SUMIFS('📋 Despesas'!$J$7:$J$17833,'📋 Despesas'!$F$7:$F$17833,$B26,'📋 Despesas'!$C$7:$C$17833,M$3,'📋 Despesas'!$D$7:$D$17833,M$2)</f>
        <v>0</v>
      </c>
      <c r="N26" s="482">
        <f>SUMIFS('📋 Despesas'!$J$7:$J$17833,'📋 Despesas'!$F$7:$F$17833,$B26,'📋 Despesas'!$C$7:$C$17833,N$3,'📋 Despesas'!$D$7:$D$17833,N$2)</f>
        <v>0</v>
      </c>
      <c r="O26" s="482">
        <f>SUMIFS('📋 Despesas'!$J$7:$J$17833,'📋 Despesas'!$F$7:$F$17833,$B26,'📋 Despesas'!$C$7:$C$17833,O$3,'📋 Despesas'!$D$7:$D$17833,O$2)</f>
        <v>0</v>
      </c>
      <c r="P26" s="250"/>
      <c r="Q26" s="251"/>
    </row>
    <row r="27" spans="1:17" ht="15.6" customHeight="1">
      <c r="A27" s="192" t="s">
        <v>97</v>
      </c>
      <c r="B27" s="452"/>
      <c r="C27" s="453">
        <f t="shared" si="6"/>
        <v>0</v>
      </c>
      <c r="D27" s="458">
        <f>SUMIFS('📋 Despesas'!$J$7:$J$17833,'📋 Despesas'!$F$7:$F$17833,$B27,'📋 Despesas'!$C$7:$C$17833,D$3,'📋 Despesas'!$D$7:$D$17833,D$2)</f>
        <v>0</v>
      </c>
      <c r="E27" s="458">
        <f>SUMIFS('📋 Despesas'!$J$7:$J$17833,'📋 Despesas'!$F$7:$F$17833,$B27,'📋 Despesas'!$C$7:$C$17833,E$3,'📋 Despesas'!$D$7:$D$17833,E$2)</f>
        <v>0</v>
      </c>
      <c r="F27" s="458">
        <f>SUMIFS('📋 Despesas'!$J$7:$J$17833,'📋 Despesas'!$F$7:$F$17833,$B27,'📋 Despesas'!$C$7:$C$17833,F$3,'📋 Despesas'!$D$7:$D$17833,F$2)</f>
        <v>0</v>
      </c>
      <c r="G27" s="458">
        <f>SUMIFS('📋 Despesas'!$J$7:$J$17833,'📋 Despesas'!$F$7:$F$17833,$B27,'📋 Despesas'!$C$7:$C$17833,G$3,'📋 Despesas'!$D$7:$D$17833,G$2)</f>
        <v>0</v>
      </c>
      <c r="H27" s="458">
        <f>SUMIFS('📋 Despesas'!$J$7:$J$17833,'📋 Despesas'!$F$7:$F$17833,$B27,'📋 Despesas'!$C$7:$C$17833,H$3,'📋 Despesas'!$D$7:$D$17833,H$2)</f>
        <v>0</v>
      </c>
      <c r="I27" s="458">
        <f>SUMIFS('📋 Despesas'!$J$7:$J$17833,'📋 Despesas'!$F$7:$F$17833,$B27,'📋 Despesas'!$C$7:$C$17833,I$3,'📋 Despesas'!$D$7:$D$17833,I$2)</f>
        <v>0</v>
      </c>
      <c r="J27" s="458">
        <f>SUMIFS('📋 Despesas'!$J$7:$J$17833,'📋 Despesas'!$F$7:$F$17833,$B27,'📋 Despesas'!$C$7:$C$17833,J$3,'📋 Despesas'!$D$7:$D$17833,J$2)</f>
        <v>0</v>
      </c>
      <c r="K27" s="458">
        <f>SUMIFS('📋 Despesas'!$J$7:$J$17833,'📋 Despesas'!$F$7:$F$17833,$B27,'📋 Despesas'!$C$7:$C$17833,K$3,'📋 Despesas'!$D$7:$D$17833,K$2)</f>
        <v>0</v>
      </c>
      <c r="L27" s="458">
        <f>SUMIFS('📋 Despesas'!$J$7:$J$17833,'📋 Despesas'!$F$7:$F$17833,$B27,'📋 Despesas'!$C$7:$C$17833,L$3,'📋 Despesas'!$D$7:$D$17833,L$2)</f>
        <v>0</v>
      </c>
      <c r="M27" s="458">
        <f>SUMIFS('📋 Despesas'!$J$7:$J$17833,'📋 Despesas'!$F$7:$F$17833,$B27,'📋 Despesas'!$C$7:$C$17833,M$3,'📋 Despesas'!$D$7:$D$17833,M$2)</f>
        <v>0</v>
      </c>
      <c r="N27" s="458">
        <f>SUMIFS('📋 Despesas'!$J$7:$J$17833,'📋 Despesas'!$F$7:$F$17833,$B27,'📋 Despesas'!$C$7:$C$17833,N$3,'📋 Despesas'!$D$7:$D$17833,N$2)</f>
        <v>0</v>
      </c>
      <c r="O27" s="458">
        <f>SUMIFS('📋 Despesas'!$J$7:$J$17833,'📋 Despesas'!$F$7:$F$17833,$B27,'📋 Despesas'!$C$7:$C$17833,O$3,'📋 Despesas'!$D$7:$D$17833,O$2)</f>
        <v>0</v>
      </c>
      <c r="P27" s="250"/>
      <c r="Q27" s="251"/>
    </row>
    <row r="28" spans="1:17" ht="6" customHeight="1">
      <c r="B28" s="459"/>
      <c r="C28" s="460"/>
      <c r="D28" s="461"/>
      <c r="E28" s="461"/>
      <c r="F28" s="461"/>
      <c r="G28" s="461"/>
      <c r="H28" s="461"/>
      <c r="I28" s="461"/>
      <c r="J28" s="461"/>
      <c r="K28" s="461"/>
      <c r="L28" s="461"/>
      <c r="M28" s="461"/>
      <c r="N28" s="461"/>
      <c r="O28" s="461"/>
      <c r="P28" s="250"/>
      <c r="Q28" s="80"/>
    </row>
    <row r="29" spans="1:17" ht="6" customHeight="1">
      <c r="B29" s="452"/>
      <c r="C29" s="453"/>
      <c r="D29" s="454"/>
      <c r="E29" s="454"/>
      <c r="F29" s="454"/>
      <c r="G29" s="454"/>
      <c r="H29" s="454"/>
      <c r="I29" s="454"/>
      <c r="J29" s="462"/>
      <c r="K29" s="454"/>
      <c r="L29" s="454"/>
      <c r="M29" s="454"/>
      <c r="N29" s="454"/>
      <c r="O29" s="454"/>
    </row>
    <row r="30" spans="1:17" ht="21" customHeight="1">
      <c r="B30" s="478" t="s">
        <v>98</v>
      </c>
      <c r="C30" s="479">
        <f t="shared" ref="C30:O30" si="7">C6-C7</f>
        <v>14286.73</v>
      </c>
      <c r="D30" s="479">
        <f t="shared" si="7"/>
        <v>0</v>
      </c>
      <c r="E30" s="479">
        <f t="shared" si="7"/>
        <v>0</v>
      </c>
      <c r="F30" s="479">
        <f t="shared" si="7"/>
        <v>0</v>
      </c>
      <c r="G30" s="479">
        <f t="shared" si="7"/>
        <v>-1715.44</v>
      </c>
      <c r="H30" s="479">
        <f t="shared" si="7"/>
        <v>-3000</v>
      </c>
      <c r="I30" s="479">
        <f t="shared" si="7"/>
        <v>5475.48</v>
      </c>
      <c r="J30" s="479">
        <f t="shared" si="7"/>
        <v>4260.1499999999996</v>
      </c>
      <c r="K30" s="479">
        <f t="shared" si="7"/>
        <v>3456.54</v>
      </c>
      <c r="L30" s="479">
        <f t="shared" si="7"/>
        <v>5810</v>
      </c>
      <c r="M30" s="479">
        <f t="shared" si="7"/>
        <v>0</v>
      </c>
      <c r="N30" s="479">
        <f t="shared" si="7"/>
        <v>0</v>
      </c>
      <c r="O30" s="479">
        <f t="shared" si="7"/>
        <v>0</v>
      </c>
    </row>
    <row r="31" spans="1:17" ht="15.75" customHeight="1">
      <c r="B31" s="463" t="s">
        <v>99</v>
      </c>
      <c r="C31" s="464">
        <f>IFERROR((C30/C4),0)</f>
        <v>0.35275876543209878</v>
      </c>
      <c r="D31" s="464" t="str">
        <f t="shared" ref="D31:O31" si="8">IFERROR(IF(D30=0,"",D30/D4),0)</f>
        <v/>
      </c>
      <c r="E31" s="464" t="str">
        <f t="shared" si="8"/>
        <v/>
      </c>
      <c r="F31" s="464" t="str">
        <f t="shared" si="8"/>
        <v/>
      </c>
      <c r="G31" s="464">
        <f t="shared" si="8"/>
        <v>0</v>
      </c>
      <c r="H31" s="464">
        <f t="shared" si="8"/>
        <v>0</v>
      </c>
      <c r="I31" s="464">
        <f t="shared" si="8"/>
        <v>0.52147428571428567</v>
      </c>
      <c r="J31" s="464">
        <f t="shared" si="8"/>
        <v>0.42601499999999998</v>
      </c>
      <c r="K31" s="464">
        <f t="shared" si="8"/>
        <v>0.34565400000000002</v>
      </c>
      <c r="L31" s="464">
        <f t="shared" si="8"/>
        <v>0.58099999999999996</v>
      </c>
      <c r="M31" s="464" t="str">
        <f t="shared" si="8"/>
        <v/>
      </c>
      <c r="N31" s="464" t="str">
        <f t="shared" si="8"/>
        <v/>
      </c>
      <c r="O31" s="464" t="str">
        <f t="shared" si="8"/>
        <v/>
      </c>
      <c r="P31" s="81"/>
    </row>
    <row r="32" spans="1:17" ht="6.75" customHeight="1">
      <c r="B32" s="465"/>
      <c r="C32" s="466"/>
      <c r="D32" s="467"/>
      <c r="E32" s="467"/>
      <c r="F32" s="467"/>
      <c r="G32" s="467"/>
      <c r="H32" s="467"/>
      <c r="I32" s="467"/>
      <c r="J32" s="467"/>
      <c r="K32" s="467"/>
      <c r="L32" s="467"/>
      <c r="M32" s="467"/>
      <c r="N32" s="467"/>
      <c r="O32" s="467"/>
    </row>
    <row r="33" spans="1:17" ht="15.75" customHeight="1">
      <c r="A33" s="511"/>
      <c r="B33" s="512" t="s">
        <v>207</v>
      </c>
      <c r="C33" s="513">
        <f t="shared" ref="C33:O33" si="9">SUM(C9:C13)</f>
        <v>21098.359999999997</v>
      </c>
      <c r="D33" s="513">
        <f t="shared" si="9"/>
        <v>0</v>
      </c>
      <c r="E33" s="513">
        <f t="shared" si="9"/>
        <v>0</v>
      </c>
      <c r="F33" s="513">
        <f t="shared" si="9"/>
        <v>0</v>
      </c>
      <c r="G33" s="513">
        <f t="shared" si="9"/>
        <v>1715.44</v>
      </c>
      <c r="H33" s="513">
        <f t="shared" si="9"/>
        <v>3000</v>
      </c>
      <c r="I33" s="513">
        <f t="shared" si="9"/>
        <v>3952.92</v>
      </c>
      <c r="J33" s="513">
        <f t="shared" si="9"/>
        <v>5250</v>
      </c>
      <c r="K33" s="513">
        <f t="shared" si="9"/>
        <v>3590</v>
      </c>
      <c r="L33" s="513">
        <f t="shared" si="9"/>
        <v>3590</v>
      </c>
      <c r="M33" s="513">
        <f t="shared" si="9"/>
        <v>0</v>
      </c>
      <c r="N33" s="513">
        <f t="shared" si="9"/>
        <v>0</v>
      </c>
      <c r="O33" s="513">
        <f t="shared" si="9"/>
        <v>0</v>
      </c>
      <c r="P33" s="75"/>
      <c r="Q33" s="75"/>
    </row>
    <row r="34" spans="1:17" ht="20.45" customHeight="1">
      <c r="A34" s="511"/>
      <c r="B34" s="514" t="s">
        <v>208</v>
      </c>
      <c r="C34" s="517">
        <f t="shared" ref="C34:O34" si="10">IFERROR((C33/C4),0)</f>
        <v>0.52094716049382706</v>
      </c>
      <c r="D34" s="517">
        <f t="shared" si="10"/>
        <v>0</v>
      </c>
      <c r="E34" s="517">
        <f t="shared" si="10"/>
        <v>0</v>
      </c>
      <c r="F34" s="517">
        <f t="shared" si="10"/>
        <v>0</v>
      </c>
      <c r="G34" s="517">
        <f t="shared" si="10"/>
        <v>0</v>
      </c>
      <c r="H34" s="517">
        <f t="shared" si="10"/>
        <v>0</v>
      </c>
      <c r="I34" s="517">
        <f t="shared" si="10"/>
        <v>0.37646857142857143</v>
      </c>
      <c r="J34" s="517">
        <f t="shared" si="10"/>
        <v>0.52500000000000002</v>
      </c>
      <c r="K34" s="517">
        <f t="shared" si="10"/>
        <v>0.35899999999999999</v>
      </c>
      <c r="L34" s="517">
        <f t="shared" si="10"/>
        <v>0.35899999999999999</v>
      </c>
      <c r="M34" s="517">
        <f t="shared" si="10"/>
        <v>0</v>
      </c>
      <c r="N34" s="517">
        <f t="shared" si="10"/>
        <v>0</v>
      </c>
      <c r="O34" s="517">
        <f t="shared" si="10"/>
        <v>0</v>
      </c>
      <c r="P34" s="75"/>
      <c r="Q34" s="75"/>
    </row>
    <row r="35" spans="1:17" ht="15.75" hidden="1" customHeight="1">
      <c r="A35" s="75"/>
      <c r="B35" s="452" t="s">
        <v>100</v>
      </c>
      <c r="C35" s="468">
        <v>0</v>
      </c>
      <c r="D35" s="468" t="e">
        <f>SUMIFS('💸  Receitas'!#REF!,'💸  Receitas'!$D:$D,D3,'💸  Receitas'!$C:$C,D2)</f>
        <v>#REF!</v>
      </c>
      <c r="E35" s="468" t="e">
        <f>SUMIFS('💸  Receitas'!#REF!,'💸  Receitas'!$D:$D,E3,'💸  Receitas'!$C:$C,E2)</f>
        <v>#REF!</v>
      </c>
      <c r="F35" s="468" t="e">
        <f>SUMIFS('💸  Receitas'!#REF!,'💸  Receitas'!$D:$D,F3,'💸  Receitas'!$C:$C,F2)</f>
        <v>#REF!</v>
      </c>
      <c r="G35" s="468" t="e">
        <f>SUMIFS('💸  Receitas'!#REF!,'💸  Receitas'!$D:$D,G3,'💸  Receitas'!$C:$C,G2)</f>
        <v>#REF!</v>
      </c>
      <c r="H35" s="468" t="e">
        <f>SUMIFS('💸  Receitas'!#REF!,'💸  Receitas'!$D:$D,H3,'💸  Receitas'!$C:$C,H2)</f>
        <v>#REF!</v>
      </c>
      <c r="I35" s="468" t="e">
        <f>SUMIFS('💸  Receitas'!#REF!,'💸  Receitas'!$D:$D,I3,'💸  Receitas'!$C:$C,I2)</f>
        <v>#REF!</v>
      </c>
      <c r="J35" s="468" t="e">
        <f>SUMIFS('💸  Receitas'!#REF!,'💸  Receitas'!$D:$D,J3,'💸  Receitas'!$C:$C,J2)</f>
        <v>#REF!</v>
      </c>
      <c r="K35" s="468" t="e">
        <f>SUMIFS('💸  Receitas'!#REF!,'💸  Receitas'!$D:$D,K3,'💸  Receitas'!$C:$C,K2)</f>
        <v>#REF!</v>
      </c>
      <c r="L35" s="468" t="e">
        <f>SUMIFS('💸  Receitas'!#REF!,'💸  Receitas'!$D:$D,L3,'💸  Receitas'!$C:$C,L2)</f>
        <v>#REF!</v>
      </c>
      <c r="M35" s="468" t="e">
        <f>SUMIFS('💸  Receitas'!#REF!,'💸  Receitas'!$D:$D,M3,'💸  Receitas'!$C:$C,M2)</f>
        <v>#REF!</v>
      </c>
      <c r="N35" s="468" t="e">
        <f>SUMIFS('💸  Receitas'!#REF!,'💸  Receitas'!$D:$D,N3,'💸  Receitas'!$C:$C,N2)</f>
        <v>#REF!</v>
      </c>
      <c r="O35" s="468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59" t="s">
        <v>204</v>
      </c>
      <c r="C36" s="469">
        <f>IFERROR((C4/C35),0)</f>
        <v>0</v>
      </c>
      <c r="D36" s="469" t="e">
        <f t="shared" ref="D36:O36" si="11">IF(D35=0,"",D4/D35)</f>
        <v>#REF!</v>
      </c>
      <c r="E36" s="469" t="e">
        <f t="shared" si="11"/>
        <v>#REF!</v>
      </c>
      <c r="F36" s="469" t="e">
        <f t="shared" si="11"/>
        <v>#REF!</v>
      </c>
      <c r="G36" s="469" t="e">
        <f t="shared" si="11"/>
        <v>#REF!</v>
      </c>
      <c r="H36" s="469" t="e">
        <f t="shared" si="11"/>
        <v>#REF!</v>
      </c>
      <c r="I36" s="469" t="e">
        <f t="shared" si="11"/>
        <v>#REF!</v>
      </c>
      <c r="J36" s="469" t="e">
        <f t="shared" si="11"/>
        <v>#REF!</v>
      </c>
      <c r="K36" s="469" t="e">
        <f t="shared" si="11"/>
        <v>#REF!</v>
      </c>
      <c r="L36" s="469" t="e">
        <f t="shared" si="11"/>
        <v>#REF!</v>
      </c>
      <c r="M36" s="469" t="e">
        <f t="shared" si="11"/>
        <v>#REF!</v>
      </c>
      <c r="N36" s="469" t="e">
        <f t="shared" si="11"/>
        <v>#REF!</v>
      </c>
      <c r="O36" s="469" t="e">
        <f t="shared" si="11"/>
        <v>#REF!</v>
      </c>
    </row>
    <row r="37" spans="1:17" ht="15.75" customHeight="1">
      <c r="B37" s="470" t="s">
        <v>101</v>
      </c>
      <c r="C37" s="471">
        <f>SUM(D37:O37)</f>
        <v>2400</v>
      </c>
      <c r="D37" s="472">
        <f t="shared" ref="D37:O37" si="12">SUM(D17:D27)</f>
        <v>0</v>
      </c>
      <c r="E37" s="472">
        <f t="shared" si="12"/>
        <v>0</v>
      </c>
      <c r="F37" s="472">
        <f t="shared" si="12"/>
        <v>0</v>
      </c>
      <c r="G37" s="472">
        <f t="shared" si="12"/>
        <v>0</v>
      </c>
      <c r="H37" s="472">
        <f t="shared" si="12"/>
        <v>0</v>
      </c>
      <c r="I37" s="472">
        <f t="shared" si="12"/>
        <v>600</v>
      </c>
      <c r="J37" s="472">
        <f t="shared" si="12"/>
        <v>600</v>
      </c>
      <c r="K37" s="472">
        <f t="shared" si="12"/>
        <v>600</v>
      </c>
      <c r="L37" s="472">
        <f t="shared" si="12"/>
        <v>600</v>
      </c>
      <c r="M37" s="472">
        <f t="shared" si="12"/>
        <v>0</v>
      </c>
      <c r="N37" s="472">
        <f t="shared" si="12"/>
        <v>0</v>
      </c>
      <c r="O37" s="472">
        <f t="shared" si="12"/>
        <v>0</v>
      </c>
    </row>
    <row r="38" spans="1:17" ht="15.75" customHeight="1">
      <c r="A38" s="206"/>
      <c r="B38" s="515" t="s">
        <v>102</v>
      </c>
      <c r="C38" s="516">
        <f t="shared" ref="C38:O38" si="13">IFERROR((C37/C4),0)</f>
        <v>5.9259259259259262E-2</v>
      </c>
      <c r="D38" s="516">
        <f t="shared" si="13"/>
        <v>0</v>
      </c>
      <c r="E38" s="516">
        <f t="shared" si="13"/>
        <v>0</v>
      </c>
      <c r="F38" s="516">
        <f t="shared" si="13"/>
        <v>0</v>
      </c>
      <c r="G38" s="516">
        <f t="shared" si="13"/>
        <v>0</v>
      </c>
      <c r="H38" s="516">
        <f t="shared" si="13"/>
        <v>0</v>
      </c>
      <c r="I38" s="516">
        <f t="shared" si="13"/>
        <v>5.7142857142857141E-2</v>
      </c>
      <c r="J38" s="516">
        <f t="shared" si="13"/>
        <v>0.06</v>
      </c>
      <c r="K38" s="516">
        <f t="shared" si="13"/>
        <v>0.06</v>
      </c>
      <c r="L38" s="516">
        <f t="shared" si="13"/>
        <v>0.06</v>
      </c>
      <c r="M38" s="516">
        <f t="shared" si="13"/>
        <v>0</v>
      </c>
      <c r="N38" s="516">
        <f t="shared" si="13"/>
        <v>0</v>
      </c>
      <c r="O38" s="516">
        <f t="shared" si="13"/>
        <v>0</v>
      </c>
      <c r="P38" s="80"/>
      <c r="Q38" s="80"/>
    </row>
    <row r="39" spans="1:17" ht="15.75" customHeight="1">
      <c r="B39" s="452" t="s">
        <v>205</v>
      </c>
      <c r="C39" s="473">
        <f t="shared" ref="C39:O39" si="14">IFERROR((C17/C4),0)</f>
        <v>0</v>
      </c>
      <c r="D39" s="473">
        <f t="shared" si="14"/>
        <v>0</v>
      </c>
      <c r="E39" s="473">
        <f t="shared" si="14"/>
        <v>0</v>
      </c>
      <c r="F39" s="473">
        <f t="shared" si="14"/>
        <v>0</v>
      </c>
      <c r="G39" s="473">
        <f t="shared" si="14"/>
        <v>0</v>
      </c>
      <c r="H39" s="473">
        <f t="shared" si="14"/>
        <v>0</v>
      </c>
      <c r="I39" s="473">
        <f t="shared" si="14"/>
        <v>0</v>
      </c>
      <c r="J39" s="473">
        <f t="shared" si="14"/>
        <v>0</v>
      </c>
      <c r="K39" s="473">
        <f t="shared" si="14"/>
        <v>0</v>
      </c>
      <c r="L39" s="473">
        <f t="shared" si="14"/>
        <v>0</v>
      </c>
      <c r="M39" s="473">
        <f t="shared" si="14"/>
        <v>0</v>
      </c>
      <c r="N39" s="473">
        <f t="shared" si="14"/>
        <v>0</v>
      </c>
      <c r="O39" s="473">
        <f t="shared" si="14"/>
        <v>0</v>
      </c>
    </row>
    <row r="40" spans="1:17" ht="15.75" customHeight="1">
      <c r="B40" s="452" t="s">
        <v>206</v>
      </c>
      <c r="C40" s="474">
        <f t="shared" ref="C40:O40" si="15">IFERROR(C4/C17,0)</f>
        <v>0</v>
      </c>
      <c r="D40" s="474">
        <f t="shared" si="15"/>
        <v>0</v>
      </c>
      <c r="E40" s="474">
        <f t="shared" si="15"/>
        <v>0</v>
      </c>
      <c r="F40" s="474">
        <f t="shared" si="15"/>
        <v>0</v>
      </c>
      <c r="G40" s="474">
        <f t="shared" si="15"/>
        <v>0</v>
      </c>
      <c r="H40" s="474">
        <f t="shared" si="15"/>
        <v>0</v>
      </c>
      <c r="I40" s="474">
        <f t="shared" si="15"/>
        <v>0</v>
      </c>
      <c r="J40" s="474">
        <f t="shared" si="15"/>
        <v>0</v>
      </c>
      <c r="K40" s="474">
        <f t="shared" si="15"/>
        <v>0</v>
      </c>
      <c r="L40" s="474">
        <f t="shared" si="15"/>
        <v>0</v>
      </c>
      <c r="M40" s="474">
        <f t="shared" si="15"/>
        <v>0</v>
      </c>
      <c r="N40" s="474">
        <f t="shared" si="15"/>
        <v>0</v>
      </c>
      <c r="O40" s="474">
        <f t="shared" si="15"/>
        <v>0</v>
      </c>
    </row>
    <row r="41" spans="1:17" ht="15.75" customHeight="1">
      <c r="B41" s="475" t="s">
        <v>103</v>
      </c>
      <c r="C41" s="476">
        <f t="shared" ref="C41:O41" si="16">IFERROR((C21/C4),0)</f>
        <v>0</v>
      </c>
      <c r="D41" s="476">
        <f t="shared" si="16"/>
        <v>0</v>
      </c>
      <c r="E41" s="476">
        <f t="shared" si="16"/>
        <v>0</v>
      </c>
      <c r="F41" s="476">
        <f t="shared" si="16"/>
        <v>0</v>
      </c>
      <c r="G41" s="476">
        <f t="shared" si="16"/>
        <v>0</v>
      </c>
      <c r="H41" s="476">
        <f t="shared" si="16"/>
        <v>0</v>
      </c>
      <c r="I41" s="476">
        <f t="shared" si="16"/>
        <v>0</v>
      </c>
      <c r="J41" s="476">
        <f t="shared" si="16"/>
        <v>0</v>
      </c>
      <c r="K41" s="476">
        <f t="shared" si="16"/>
        <v>0</v>
      </c>
      <c r="L41" s="476">
        <f t="shared" si="16"/>
        <v>0</v>
      </c>
      <c r="M41" s="476">
        <f t="shared" si="16"/>
        <v>0</v>
      </c>
      <c r="N41" s="476">
        <f t="shared" si="16"/>
        <v>0</v>
      </c>
      <c r="O41" s="476">
        <f t="shared" si="16"/>
        <v>0</v>
      </c>
    </row>
    <row r="42" spans="1:17" ht="6" customHeight="1">
      <c r="B42" s="477"/>
      <c r="C42" s="477"/>
      <c r="D42" s="477"/>
      <c r="E42" s="477"/>
      <c r="F42" s="477"/>
      <c r="G42" s="477"/>
      <c r="H42" s="477"/>
      <c r="I42" s="477"/>
      <c r="J42" s="477"/>
      <c r="K42" s="477"/>
      <c r="L42" s="477"/>
      <c r="M42" s="477"/>
      <c r="N42" s="477"/>
      <c r="O42" s="477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6" priority="1" operator="lessThan">
      <formula>0</formula>
    </cfRule>
  </conditionalFormatting>
  <conditionalFormatting sqref="C34:O34">
    <cfRule type="cellIs" dxfId="15" priority="4" operator="greaterThan">
      <formula>0.35</formula>
    </cfRule>
  </conditionalFormatting>
  <conditionalFormatting sqref="P9:P28">
    <cfRule type="cellIs" dxfId="14" priority="17" operator="greaterThan">
      <formula>0</formula>
    </cfRule>
  </conditionalFormatting>
  <conditionalFormatting sqref="P9:Q28 D30:O31">
    <cfRule type="cellIs" dxfId="13" priority="14" operator="lessThan">
      <formula>0</formula>
    </cfRule>
  </conditionalFormatting>
  <conditionalFormatting sqref="Q9:Q29">
    <cfRule type="cellIs" dxfId="12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18" activePane="bottomRight" state="frozen"/>
      <selection pane="topRight" activeCell="D1" sqref="D1"/>
      <selection pane="bottomLeft" activeCell="A6" sqref="A6"/>
      <selection pane="bottomRight" activeCell="K36" activeCellId="4" sqref="G36 H36 I36 J36 K36"/>
    </sheetView>
  </sheetViews>
  <sheetFormatPr defaultColWidth="11.25" defaultRowHeight="15" customHeight="1"/>
  <cols>
    <col min="1" max="1" width="1.625" customWidth="1"/>
    <col min="2" max="2" width="45.5" customWidth="1"/>
    <col min="3" max="3" width="20.625" customWidth="1"/>
    <col min="4" max="4" width="16.75" customWidth="1"/>
    <col min="5" max="5" width="23" customWidth="1"/>
    <col min="6" max="6" width="18" customWidth="1"/>
    <col min="7" max="7" width="17.5" customWidth="1"/>
    <col min="8" max="8" width="24" customWidth="1"/>
    <col min="9" max="9" width="20.625" customWidth="1"/>
    <col min="10" max="10" width="19.75" customWidth="1"/>
    <col min="11" max="11" width="20.125" customWidth="1"/>
    <col min="12" max="12" width="16" customWidth="1"/>
    <col min="13" max="13" width="16.5" customWidth="1"/>
    <col min="14" max="14" width="16.625" customWidth="1"/>
    <col min="15" max="15" width="19.25" customWidth="1"/>
    <col min="16" max="16" width="2.25" customWidth="1"/>
    <col min="17" max="17" width="13.1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75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75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75">
      <c r="B4" s="587"/>
      <c r="C4" s="568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75">
      <c r="B5" s="252" t="s">
        <v>104</v>
      </c>
      <c r="C5" s="252">
        <f>'📈Det. Resultados'!C3</f>
        <v>2026</v>
      </c>
      <c r="D5" s="74" t="s">
        <v>82</v>
      </c>
      <c r="E5" s="74" t="s">
        <v>83</v>
      </c>
      <c r="F5" s="74" t="s">
        <v>84</v>
      </c>
      <c r="G5" s="74" t="s">
        <v>85</v>
      </c>
      <c r="H5" s="74" t="s">
        <v>86</v>
      </c>
      <c r="I5" s="74" t="s">
        <v>87</v>
      </c>
      <c r="J5" s="74" t="s">
        <v>88</v>
      </c>
      <c r="K5" s="74" t="s">
        <v>89</v>
      </c>
      <c r="L5" s="74" t="s">
        <v>90</v>
      </c>
      <c r="M5" s="74" t="s">
        <v>91</v>
      </c>
      <c r="N5" s="74" t="s">
        <v>92</v>
      </c>
      <c r="O5" s="89" t="s">
        <v>93</v>
      </c>
    </row>
    <row r="6" spans="2:15" ht="15.75">
      <c r="B6" s="90" t="s">
        <v>105</v>
      </c>
      <c r="C6" s="91">
        <f>SUMIFS('🏭 DRE'!$D6:$R6,'🏭 DRE'!$D$4:$R$4,$C$5)</f>
        <v>40500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10000</v>
      </c>
      <c r="K6" s="92">
        <f t="shared" si="1"/>
        <v>10000</v>
      </c>
      <c r="L6" s="92">
        <f t="shared" si="1"/>
        <v>10000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75">
      <c r="B7" s="253" t="s">
        <v>106</v>
      </c>
      <c r="C7" s="254">
        <f>SUMIFS('🏭 DRE'!$D7:$R7,'🏭 DRE'!$D$4:$R$4,$C$5)</f>
        <v>40500</v>
      </c>
      <c r="D7" s="255">
        <f>SUMIFS('💸  Receitas'!$I$7:$I$681,'💸  Receitas'!$C$7:$C$681,D$4,'💸  Receitas'!$D$7:$D$681,D5)</f>
        <v>0</v>
      </c>
      <c r="E7" s="255">
        <f>SUMIFS('💸  Receitas'!$I$7:$I$681,'💸  Receitas'!$C$7:$C$681,E$4,'💸  Receitas'!$D$7:$D$681,E5)</f>
        <v>0</v>
      </c>
      <c r="F7" s="255">
        <f>SUMIFS('💸  Receitas'!$I$7:$I$681,'💸  Receitas'!$C$7:$C$681,F$4,'💸  Receitas'!$D$7:$D$681,F5)</f>
        <v>0</v>
      </c>
      <c r="G7" s="255">
        <f>SUMIFS('💸  Receitas'!$I$7:$I$681,'💸  Receitas'!$C$7:$C$681,G$4,'💸  Receitas'!$D$7:$D$681,G5)</f>
        <v>0</v>
      </c>
      <c r="H7" s="255">
        <f>SUMIFS('💸  Receitas'!$I$7:$I$681,'💸  Receitas'!$C$7:$C$681,H$4,'💸  Receitas'!$D$7:$D$681,H5)</f>
        <v>0</v>
      </c>
      <c r="I7" s="255">
        <f>SUMIFS('💸  Receitas'!$I$7:$I$681,'💸  Receitas'!$C$7:$C$681,I$4,'💸  Receitas'!$D$7:$D$681,I5)</f>
        <v>10500</v>
      </c>
      <c r="J7" s="255">
        <f>SUMIFS('💸  Receitas'!$I$7:$I$20001,'💸  Receitas'!$C$7:$C$20001,J$4,'💸  Receitas'!$D$7:$D$20001,J5)</f>
        <v>10000</v>
      </c>
      <c r="K7" s="255">
        <f>SUMIFS('💸  Receitas'!$I$7:$I$20001,'💸  Receitas'!$C$7:$C$20001,K$4,'💸  Receitas'!$D$7:$D$20001,K5)</f>
        <v>10000</v>
      </c>
      <c r="L7" s="255">
        <f>SUMIFS('💸  Receitas'!$I$7:$I$20001,'💸  Receitas'!$C$7:$C$20001,L$4,'💸  Receitas'!$D$7:$D$20001,L5)</f>
        <v>10000</v>
      </c>
      <c r="M7" s="255">
        <f>SUMIFS('💸  Receitas'!$I$7:$I$20001,'💸  Receitas'!$C$7:$C$20001,M$4,'💸  Receitas'!$D$7:$D$20001,M5)</f>
        <v>0</v>
      </c>
      <c r="N7" s="255">
        <f>SUMIFS('💸  Receitas'!$I$7:$I$20001,'💸  Receitas'!$C$7:$C$20001,N$4,'💸  Receitas'!$D$7:$D$20001,N5)</f>
        <v>0</v>
      </c>
      <c r="O7" s="255">
        <f>SUMIFS('💸  Receitas'!$I$7:$I$20001,'💸  Receitas'!$C$7:$C$20001,O$4,'💸  Receitas'!$D$7:$D$20001,O5)</f>
        <v>0</v>
      </c>
    </row>
    <row r="8" spans="2:15" ht="18.75">
      <c r="B8" s="417" t="s">
        <v>107</v>
      </c>
      <c r="C8" s="418">
        <f>SUMIFS('🏭 DRE'!$D8:$R8,'🏭 DRE'!$D$4:$R$4,$C$5)</f>
        <v>0</v>
      </c>
      <c r="D8" s="419">
        <f t="shared" ref="D8:O8" si="2">D9+D10+D11</f>
        <v>0</v>
      </c>
      <c r="E8" s="419">
        <f t="shared" si="2"/>
        <v>0</v>
      </c>
      <c r="F8" s="419">
        <f t="shared" si="2"/>
        <v>0</v>
      </c>
      <c r="G8" s="419">
        <f t="shared" si="2"/>
        <v>0</v>
      </c>
      <c r="H8" s="419">
        <f t="shared" si="2"/>
        <v>0</v>
      </c>
      <c r="I8" s="419">
        <f t="shared" si="2"/>
        <v>0</v>
      </c>
      <c r="J8" s="419">
        <f t="shared" si="2"/>
        <v>0</v>
      </c>
      <c r="K8" s="419">
        <f t="shared" si="2"/>
        <v>0</v>
      </c>
      <c r="L8" s="419">
        <f t="shared" si="2"/>
        <v>0</v>
      </c>
      <c r="M8" s="419">
        <f t="shared" si="2"/>
        <v>0</v>
      </c>
      <c r="N8" s="419">
        <f t="shared" si="2"/>
        <v>0</v>
      </c>
      <c r="O8" s="420">
        <f t="shared" si="2"/>
        <v>0</v>
      </c>
    </row>
    <row r="9" spans="2:15" ht="15.75">
      <c r="B9" s="256" t="s">
        <v>203</v>
      </c>
      <c r="C9" s="498">
        <f>SUMIFS('🏭 DRE'!$D9:$R9,'🏭 DRE'!$D$4:$R$4,$C$5)</f>
        <v>0</v>
      </c>
      <c r="D9" s="499">
        <f>-'📈Det. Resultados'!D15</f>
        <v>0</v>
      </c>
      <c r="E9" s="499">
        <f>-'📈Det. Resultados'!E15</f>
        <v>0</v>
      </c>
      <c r="F9" s="499">
        <f>-'📈Det. Resultados'!F15</f>
        <v>0</v>
      </c>
      <c r="G9" s="499">
        <f>-'📈Det. Resultados'!G15</f>
        <v>0</v>
      </c>
      <c r="H9" s="499">
        <f>-'📈Det. Resultados'!H15</f>
        <v>0</v>
      </c>
      <c r="I9" s="499">
        <f>-'📈Det. Resultados'!I15</f>
        <v>0</v>
      </c>
      <c r="J9" s="499">
        <f>-'📈Det. Resultados'!J15</f>
        <v>0</v>
      </c>
      <c r="K9" s="499">
        <f>-'📈Det. Resultados'!K15</f>
        <v>0</v>
      </c>
      <c r="L9" s="499">
        <f>-'📈Det. Resultados'!L15</f>
        <v>0</v>
      </c>
      <c r="M9" s="499">
        <f>-'📈Det. Resultados'!M15</f>
        <v>0</v>
      </c>
      <c r="N9" s="499">
        <f>-'📈Det. Resultados'!N15</f>
        <v>0</v>
      </c>
      <c r="O9" s="500">
        <f>-'📈Det. Resultados'!O15</f>
        <v>0</v>
      </c>
    </row>
    <row r="10" spans="2:15" ht="15.75">
      <c r="B10" s="421" t="s">
        <v>108</v>
      </c>
      <c r="C10" s="422">
        <f>SUMIFS('🏭 DRE'!$D10:$R10,'🏭 DRE'!$D$4:$R$4,$C$5)</f>
        <v>0</v>
      </c>
      <c r="D10" s="423">
        <f>-(D7-'📈Det. Resultados'!D6)</f>
        <v>0</v>
      </c>
      <c r="E10" s="423">
        <f>-(E7-'📈Det. Resultados'!E6)</f>
        <v>0</v>
      </c>
      <c r="F10" s="423">
        <f>-(F7-'📈Det. Resultados'!F6)</f>
        <v>0</v>
      </c>
      <c r="G10" s="423">
        <f>-(G7-'📈Det. Resultados'!G6)</f>
        <v>0</v>
      </c>
      <c r="H10" s="423">
        <f>-(H7-'📈Det. Resultados'!H6)</f>
        <v>0</v>
      </c>
      <c r="I10" s="423">
        <f>-(I7-'📈Det. Resultados'!I6)</f>
        <v>0</v>
      </c>
      <c r="J10" s="423">
        <f>-(J7-'📈Det. Resultados'!J6)</f>
        <v>0</v>
      </c>
      <c r="K10" s="423">
        <f>-(K7-'📈Det. Resultados'!K6)</f>
        <v>0</v>
      </c>
      <c r="L10" s="423">
        <f>-(L7-'📈Det. Resultados'!L6)</f>
        <v>0</v>
      </c>
      <c r="M10" s="423">
        <f>-(M7-'📈Det. Resultados'!M6)</f>
        <v>0</v>
      </c>
      <c r="N10" s="423">
        <f>-(N7-'📈Det. Resultados'!N6)</f>
        <v>0</v>
      </c>
      <c r="O10" s="424">
        <f>-(O7-'📈Det. Resultados'!O6)</f>
        <v>0</v>
      </c>
    </row>
    <row r="11" spans="2:15" ht="15.75">
      <c r="B11" s="253" t="s">
        <v>109</v>
      </c>
      <c r="C11" s="257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58">
        <v>0</v>
      </c>
    </row>
    <row r="12" spans="2:15" ht="15.75">
      <c r="B12" s="396" t="s">
        <v>110</v>
      </c>
      <c r="C12" s="397">
        <f>SUMIFS('🏭 DRE'!$D12:$R12,'🏭 DRE'!$D$4:$R$4,$C$5)</f>
        <v>40500</v>
      </c>
      <c r="D12" s="398">
        <f t="shared" ref="D12:O12" si="3">D7+D8</f>
        <v>0</v>
      </c>
      <c r="E12" s="398">
        <f t="shared" si="3"/>
        <v>0</v>
      </c>
      <c r="F12" s="398">
        <f t="shared" si="3"/>
        <v>0</v>
      </c>
      <c r="G12" s="398">
        <f t="shared" si="3"/>
        <v>0</v>
      </c>
      <c r="H12" s="398">
        <f t="shared" si="3"/>
        <v>0</v>
      </c>
      <c r="I12" s="398">
        <f t="shared" si="3"/>
        <v>10500</v>
      </c>
      <c r="J12" s="398">
        <f t="shared" si="3"/>
        <v>10000</v>
      </c>
      <c r="K12" s="398">
        <f t="shared" si="3"/>
        <v>10000</v>
      </c>
      <c r="L12" s="398">
        <f t="shared" si="3"/>
        <v>10000</v>
      </c>
      <c r="M12" s="398">
        <f t="shared" si="3"/>
        <v>0</v>
      </c>
      <c r="N12" s="398">
        <f t="shared" si="3"/>
        <v>0</v>
      </c>
      <c r="O12" s="399">
        <f t="shared" si="3"/>
        <v>0</v>
      </c>
    </row>
    <row r="13" spans="2:15" ht="23.25">
      <c r="B13" s="495" t="s">
        <v>194</v>
      </c>
      <c r="C13" s="496">
        <f>SUMIFS('🏭 DRE'!$D13:$R13,'🏭 DRE'!$D$4:$R$4,$C$5)</f>
        <v>-23813.27</v>
      </c>
      <c r="D13" s="497">
        <f>SUM(D14:D19)+'📈Det. Resultados'!D11</f>
        <v>0</v>
      </c>
      <c r="E13" s="497">
        <f>SUM(E14:E19)+'📈Det. Resultados'!E11</f>
        <v>0</v>
      </c>
      <c r="F13" s="497">
        <f>SUM(F14:F19)+'📈Det. Resultados'!F11</f>
        <v>0</v>
      </c>
      <c r="G13" s="497">
        <f>SUM(G14:G19)+'📈Det. Resultados'!G11</f>
        <v>-1715.44</v>
      </c>
      <c r="H13" s="497">
        <f>SUM(H14:H19)+'📈Det. Resultados'!H11</f>
        <v>-3000</v>
      </c>
      <c r="I13" s="497">
        <f>SUM(I14:I19)+'📈Det. Resultados'!I11</f>
        <v>-4424.5200000000004</v>
      </c>
      <c r="J13" s="497">
        <f>SUM(J14:J19)+'📈Det. Resultados'!J11</f>
        <v>-5139.8500000000004</v>
      </c>
      <c r="K13" s="497">
        <f>SUM(K14:K19)+'📈Det. Resultados'!K11</f>
        <v>-5943.46</v>
      </c>
      <c r="L13" s="497">
        <f>SUM(L14:L19)+'📈Det. Resultados'!L11</f>
        <v>-3590</v>
      </c>
      <c r="M13" s="497">
        <f>SUM(M14:M19)+'📈Det. Resultados'!M11</f>
        <v>0</v>
      </c>
      <c r="N13" s="497">
        <f>SUM(N14:N19)+'📈Det. Resultados'!N11</f>
        <v>0</v>
      </c>
      <c r="O13" s="497">
        <f>SUM(O14:O19)+'📈Det. Resultados'!O11</f>
        <v>0</v>
      </c>
    </row>
    <row r="14" spans="2:15" ht="15.75">
      <c r="B14" s="77" t="str">
        <f>'📈Det. Resultados'!B9</f>
        <v>PROLABORE</v>
      </c>
      <c r="C14" s="257">
        <f>SUMIFS('🏭 DRE'!$D14:$R14,'🏭 DRE'!$D$4:$R$4,$C$5)</f>
        <v>-14863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-2670</v>
      </c>
      <c r="K14" s="94">
        <f>-'📈Det. Resultados'!K9</f>
        <v>-2670</v>
      </c>
      <c r="L14" s="94">
        <f>-'📈Det. Resultados'!L9</f>
        <v>-2670</v>
      </c>
      <c r="M14" s="94">
        <f>-'📈Det. Resultados'!M9</f>
        <v>0</v>
      </c>
      <c r="N14" s="94">
        <f>-'📈Det. Resultados'!N9</f>
        <v>0</v>
      </c>
      <c r="O14" s="258">
        <f>-'📈Det. Resultados'!O9</f>
        <v>0</v>
      </c>
    </row>
    <row r="15" spans="2:15" ht="15.75">
      <c r="B15" s="77" t="str">
        <f>'📈Det. Resultados'!B10</f>
        <v>INSS</v>
      </c>
      <c r="C15" s="257">
        <f>SUMIFS('🏭 DRE'!$D15:$R15,'🏭 DRE'!$D$4:$R$4,$C$5)</f>
        <v>-1852.44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-330</v>
      </c>
      <c r="K15" s="94">
        <f>-'📈Det. Resultados'!K10</f>
        <v>-330</v>
      </c>
      <c r="L15" s="94">
        <f>-'📈Det. Resultados'!L10</f>
        <v>-330</v>
      </c>
      <c r="M15" s="94">
        <f>-'📈Det. Resultados'!M10</f>
        <v>0</v>
      </c>
      <c r="N15" s="94">
        <f>-'📈Det. Resultados'!N10</f>
        <v>0</v>
      </c>
      <c r="O15" s="258">
        <f>-'📈Det. Resultados'!O10</f>
        <v>0</v>
      </c>
    </row>
    <row r="16" spans="2:15" ht="18.75">
      <c r="B16" s="546" t="str">
        <f>'📈Det. Resultados'!B11</f>
        <v>DL</v>
      </c>
      <c r="C16" s="548">
        <f>SUMIFS('🏭 DRE'!$D16:$R16,'🏭 DRE'!$D$4:$R$4,$C$5)</f>
        <v>-1660</v>
      </c>
      <c r="D16" s="549">
        <f>-'📈Det. Resultados'!D11</f>
        <v>0</v>
      </c>
      <c r="E16" s="549">
        <f>-'📈Det. Resultados'!E11</f>
        <v>0</v>
      </c>
      <c r="F16" s="549">
        <f>-'📈Det. Resultados'!F11</f>
        <v>0</v>
      </c>
      <c r="G16" s="549">
        <f>-'📈Det. Resultados'!G11</f>
        <v>0</v>
      </c>
      <c r="H16" s="549">
        <f>-'📈Det. Resultados'!H11</f>
        <v>0</v>
      </c>
      <c r="I16" s="549">
        <f>-'📈Det. Resultados'!I11</f>
        <v>0</v>
      </c>
      <c r="J16" s="549">
        <f>-'📈Det. Resultados'!J11</f>
        <v>-1660</v>
      </c>
      <c r="K16" s="549">
        <f>-'📈Det. Resultados'!K11</f>
        <v>0</v>
      </c>
      <c r="L16" s="549">
        <f>-'📈Det. Resultados'!L11</f>
        <v>0</v>
      </c>
      <c r="M16" s="549">
        <f>-'📈Det. Resultados'!M11</f>
        <v>0</v>
      </c>
      <c r="N16" s="549">
        <f>-'📈Det. Resultados'!N11</f>
        <v>0</v>
      </c>
      <c r="O16" s="550">
        <f>-'📈Det. Resultados'!O11</f>
        <v>0</v>
      </c>
    </row>
    <row r="17" spans="1:18" ht="15.75">
      <c r="B17" s="77" t="str">
        <f>'📈Det. Resultados'!B12</f>
        <v>CONTABILIDADE</v>
      </c>
      <c r="C17" s="257">
        <f>SUMIFS('🏭 DRE'!$D17:$R17,'🏭 DRE'!$D$4:$R$4,$C$5)</f>
        <v>-2720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-590</v>
      </c>
      <c r="L17" s="94">
        <f>'📈Det. Resultados'!L12*-1</f>
        <v>-590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75">
      <c r="B18" s="77" t="str">
        <f>'📈Det. Resultados'!B13</f>
        <v>OUTROS</v>
      </c>
      <c r="C18" s="257">
        <f>SUMIFS('🏭 DRE'!$D18:$R18,'🏭 DRE'!$D$4:$R$4,$C$5)</f>
        <v>-2.92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-2.92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75">
      <c r="B19" s="77" t="str">
        <f>'📈Det. Resultados'!B14</f>
        <v>ADM</v>
      </c>
      <c r="C19" s="257">
        <f>SUMIFS('🏭 DRE'!$D19:$R19,'🏭 DRE'!$D$4:$R$4,$C$5)</f>
        <v>-4374.91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-471.6</v>
      </c>
      <c r="J19" s="94">
        <f>-'📈Det. Resultados'!J14</f>
        <v>-1549.85</v>
      </c>
      <c r="K19" s="94">
        <f>-'📈Det. Resultados'!K14</f>
        <v>-2353.46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75">
      <c r="B20" s="95" t="s">
        <v>111</v>
      </c>
      <c r="C20" s="96">
        <f>SUMIFS('🏭 DRE'!$D20:$R20,'🏭 DRE'!$D$4:$R$4,$C$5)</f>
        <v>16686.73</v>
      </c>
      <c r="D20" s="259">
        <f t="shared" ref="D20:O20" si="4">D12+D13</f>
        <v>0</v>
      </c>
      <c r="E20" s="259">
        <f t="shared" si="4"/>
        <v>0</v>
      </c>
      <c r="F20" s="259">
        <f t="shared" si="4"/>
        <v>0</v>
      </c>
      <c r="G20" s="259">
        <f t="shared" si="4"/>
        <v>-1715.44</v>
      </c>
      <c r="H20" s="259">
        <f t="shared" si="4"/>
        <v>-3000</v>
      </c>
      <c r="I20" s="259">
        <f t="shared" si="4"/>
        <v>6075.48</v>
      </c>
      <c r="J20" s="259">
        <f t="shared" si="4"/>
        <v>4860.1499999999996</v>
      </c>
      <c r="K20" s="259">
        <f t="shared" si="4"/>
        <v>4056.54</v>
      </c>
      <c r="L20" s="259">
        <f t="shared" si="4"/>
        <v>6410</v>
      </c>
      <c r="M20" s="259">
        <f t="shared" si="4"/>
        <v>0</v>
      </c>
      <c r="N20" s="259">
        <f t="shared" si="4"/>
        <v>0</v>
      </c>
      <c r="O20" s="97">
        <f t="shared" si="4"/>
        <v>0</v>
      </c>
    </row>
    <row r="21" spans="1:18" ht="21.6" customHeight="1">
      <c r="A21" s="82"/>
      <c r="B21" s="502" t="s">
        <v>112</v>
      </c>
      <c r="C21" s="503">
        <f t="shared" ref="C21:O21" si="5">IFERROR((C20/C12),0)</f>
        <v>0.41201802469135801</v>
      </c>
      <c r="D21" s="504">
        <f t="shared" si="5"/>
        <v>0</v>
      </c>
      <c r="E21" s="504">
        <f t="shared" si="5"/>
        <v>0</v>
      </c>
      <c r="F21" s="504">
        <f t="shared" si="5"/>
        <v>0</v>
      </c>
      <c r="G21" s="504">
        <f t="shared" si="5"/>
        <v>0</v>
      </c>
      <c r="H21" s="504">
        <f t="shared" si="5"/>
        <v>0</v>
      </c>
      <c r="I21" s="504">
        <f t="shared" si="5"/>
        <v>0.57861714285714283</v>
      </c>
      <c r="J21" s="504">
        <f t="shared" si="5"/>
        <v>0.48601499999999997</v>
      </c>
      <c r="K21" s="504">
        <f t="shared" si="5"/>
        <v>0.40565400000000001</v>
      </c>
      <c r="L21" s="504">
        <f t="shared" si="5"/>
        <v>0.64100000000000001</v>
      </c>
      <c r="M21" s="504">
        <f t="shared" si="5"/>
        <v>0</v>
      </c>
      <c r="N21" s="504">
        <f t="shared" si="5"/>
        <v>0</v>
      </c>
      <c r="O21" s="505">
        <f t="shared" si="5"/>
        <v>0</v>
      </c>
      <c r="P21" s="82"/>
      <c r="Q21" s="82"/>
      <c r="R21" s="82"/>
    </row>
    <row r="22" spans="1:18" ht="20.45" customHeight="1">
      <c r="B22" s="491" t="s">
        <v>96</v>
      </c>
      <c r="C22" s="492">
        <f>SUMIFS($D22:$R22,$D$4:$R$4,$C$5)</f>
        <v>-2400</v>
      </c>
      <c r="D22" s="493">
        <f t="shared" ref="D22:O22" si="6">SUM(D23:D34)</f>
        <v>0</v>
      </c>
      <c r="E22" s="493">
        <f t="shared" si="6"/>
        <v>0</v>
      </c>
      <c r="F22" s="493">
        <f t="shared" si="6"/>
        <v>0</v>
      </c>
      <c r="G22" s="493">
        <f t="shared" si="6"/>
        <v>0</v>
      </c>
      <c r="H22" s="493">
        <f t="shared" si="6"/>
        <v>0</v>
      </c>
      <c r="I22" s="493">
        <f t="shared" si="6"/>
        <v>-600</v>
      </c>
      <c r="J22" s="493">
        <f t="shared" si="6"/>
        <v>-600</v>
      </c>
      <c r="K22" s="493">
        <f t="shared" si="6"/>
        <v>-600</v>
      </c>
      <c r="L22" s="493">
        <f t="shared" si="6"/>
        <v>-600</v>
      </c>
      <c r="M22" s="493">
        <f t="shared" si="6"/>
        <v>0</v>
      </c>
      <c r="N22" s="493">
        <f t="shared" si="6"/>
        <v>0</v>
      </c>
      <c r="O22" s="494">
        <f t="shared" si="6"/>
        <v>0</v>
      </c>
    </row>
    <row r="23" spans="1:18" ht="15.75" customHeight="1">
      <c r="B23" s="501">
        <f>'📈Det. Resultados'!B16</f>
        <v>0</v>
      </c>
      <c r="C23" s="257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1">
        <f>'📈Det. Resultados'!B17</f>
        <v>0</v>
      </c>
      <c r="C24" s="257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1">
        <f>'📈Det. Resultados'!B18</f>
        <v>0</v>
      </c>
      <c r="C25" s="257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1">
        <f>'📈Det. Resultados'!B19</f>
        <v>0</v>
      </c>
      <c r="C26" s="257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1">
        <f>'📈Det. Resultados'!B20</f>
        <v>0</v>
      </c>
      <c r="C27" s="257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1">
        <f>'📈Det. Resultados'!B21</f>
        <v>0</v>
      </c>
      <c r="C28" s="257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5" t="str">
        <f>'📈Det. Resultados'!B22</f>
        <v>DAS</v>
      </c>
      <c r="C29" s="486">
        <f>SUMIFS('🏭 DRE'!$D29:$R29,'🏭 DRE'!$D$4:$R$4,$C$5)</f>
        <v>-2400</v>
      </c>
      <c r="D29" s="423">
        <f>-'📈Det. Resultados'!D22</f>
        <v>0</v>
      </c>
      <c r="E29" s="423">
        <f>-'📈Det. Resultados'!E22</f>
        <v>0</v>
      </c>
      <c r="F29" s="423">
        <f>-'📈Det. Resultados'!F22</f>
        <v>0</v>
      </c>
      <c r="G29" s="423">
        <f>-'📈Det. Resultados'!G22</f>
        <v>0</v>
      </c>
      <c r="H29" s="423">
        <f>-'📈Det. Resultados'!H22</f>
        <v>0</v>
      </c>
      <c r="I29" s="423">
        <f>-'📈Det. Resultados'!I22</f>
        <v>-600</v>
      </c>
      <c r="J29" s="423">
        <f>-'📈Det. Resultados'!J22</f>
        <v>-600</v>
      </c>
      <c r="K29" s="423">
        <f>-'📈Det. Resultados'!K22</f>
        <v>-600</v>
      </c>
      <c r="L29" s="423">
        <f>-'📈Det. Resultados'!L22</f>
        <v>-600</v>
      </c>
      <c r="M29" s="423">
        <f>-'📈Det. Resultados'!M22</f>
        <v>0</v>
      </c>
      <c r="N29" s="423">
        <f>-'📈Det. Resultados'!N22</f>
        <v>0</v>
      </c>
      <c r="O29" s="423">
        <f>-'📈Det. Resultados'!O22</f>
        <v>0</v>
      </c>
    </row>
    <row r="30" spans="1:18" ht="15.75" customHeight="1">
      <c r="B30" s="485" t="str">
        <f>'📈Det. Resultados'!B23</f>
        <v>TAXAS</v>
      </c>
      <c r="C30" s="486">
        <f>SUMIFS('🏭 DRE'!$D30:$R30,'🏭 DRE'!$D$4:$R$4,$C$5)</f>
        <v>0</v>
      </c>
      <c r="D30" s="484">
        <f>-'📈Det. Resultados'!D23</f>
        <v>0</v>
      </c>
      <c r="E30" s="484">
        <f>-'📈Det. Resultados'!E23</f>
        <v>0</v>
      </c>
      <c r="F30" s="484">
        <f>-'📈Det. Resultados'!F23</f>
        <v>0</v>
      </c>
      <c r="G30" s="484">
        <f>-'📈Det. Resultados'!G23</f>
        <v>0</v>
      </c>
      <c r="H30" s="484">
        <f>-'📈Det. Resultados'!H23</f>
        <v>0</v>
      </c>
      <c r="I30" s="484">
        <f>-'📈Det. Resultados'!I23</f>
        <v>0</v>
      </c>
      <c r="J30" s="484">
        <f>-'📈Det. Resultados'!J23</f>
        <v>0</v>
      </c>
      <c r="K30" s="484">
        <f>-'📈Det. Resultados'!K23</f>
        <v>0</v>
      </c>
      <c r="L30" s="484">
        <f>-'📈Det. Resultados'!L23</f>
        <v>0</v>
      </c>
      <c r="M30" s="484">
        <f>-'📈Det. Resultados'!M23</f>
        <v>0</v>
      </c>
      <c r="N30" s="484">
        <f>-'📈Det. Resultados'!N23</f>
        <v>0</v>
      </c>
      <c r="O30" s="484">
        <f>-'📈Det. Resultados'!O23</f>
        <v>0</v>
      </c>
    </row>
    <row r="31" spans="1:18" ht="15.75" customHeight="1">
      <c r="B31" s="501">
        <f>'📈Det. Resultados'!B24</f>
        <v>0</v>
      </c>
      <c r="C31" s="257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5">
        <f>'📈Det. Resultados'!B25</f>
        <v>0</v>
      </c>
      <c r="C32" s="422">
        <f>SUMIFS('🏭 DRE'!$D32:$R32,'🏭 DRE'!$D$4:$R$4,$C$5)</f>
        <v>0</v>
      </c>
      <c r="D32" s="423">
        <f>-'📈Det. Resultados'!D25</f>
        <v>0</v>
      </c>
      <c r="E32" s="423">
        <f>-'📈Det. Resultados'!E25</f>
        <v>0</v>
      </c>
      <c r="F32" s="423">
        <f>-'📈Det. Resultados'!F25</f>
        <v>0</v>
      </c>
      <c r="G32" s="423">
        <f>-'📈Det. Resultados'!G25</f>
        <v>0</v>
      </c>
      <c r="H32" s="423">
        <f>-'📈Det. Resultados'!H25</f>
        <v>0</v>
      </c>
      <c r="I32" s="423">
        <f>-'📈Det. Resultados'!I25</f>
        <v>0</v>
      </c>
      <c r="J32" s="423">
        <f>-'📈Det. Resultados'!J25</f>
        <v>0</v>
      </c>
      <c r="K32" s="423">
        <f>-'📈Det. Resultados'!K25</f>
        <v>0</v>
      </c>
      <c r="L32" s="423">
        <f>-'📈Det. Resultados'!L25</f>
        <v>0</v>
      </c>
      <c r="M32" s="423">
        <f>-'📈Det. Resultados'!M25</f>
        <v>0</v>
      </c>
      <c r="N32" s="423">
        <f>-'📈Det. Resultados'!N25</f>
        <v>0</v>
      </c>
      <c r="O32" s="423">
        <f>-'📈Det. Resultados'!O25</f>
        <v>0</v>
      </c>
    </row>
    <row r="33" spans="1:15" ht="15.75" customHeight="1">
      <c r="B33" s="501">
        <f>'📈Det. Resultados'!B26</f>
        <v>0</v>
      </c>
      <c r="C33" s="257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1">
        <f>'📈Det. Resultados'!B27</f>
        <v>0</v>
      </c>
      <c r="C34" s="257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6"/>
      <c r="C35" s="257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58"/>
    </row>
    <row r="36" spans="1:15" ht="21" customHeight="1">
      <c r="A36" s="193" t="s">
        <v>209</v>
      </c>
      <c r="B36" s="487" t="s">
        <v>113</v>
      </c>
      <c r="C36" s="488">
        <f>SUMIFS('🏭 DRE'!$D36:$R36,'🏭 DRE'!$D$4:$R$4,$C$5)</f>
        <v>14286.73</v>
      </c>
      <c r="D36" s="489">
        <f t="shared" ref="D36:O36" si="7">D20+D22</f>
        <v>0</v>
      </c>
      <c r="E36" s="489">
        <f t="shared" si="7"/>
        <v>0</v>
      </c>
      <c r="F36" s="489">
        <f t="shared" si="7"/>
        <v>0</v>
      </c>
      <c r="G36" s="489">
        <f t="shared" si="7"/>
        <v>-1715.44</v>
      </c>
      <c r="H36" s="489">
        <f t="shared" si="7"/>
        <v>-3000</v>
      </c>
      <c r="I36" s="489">
        <f t="shared" si="7"/>
        <v>5475.48</v>
      </c>
      <c r="J36" s="489">
        <f t="shared" si="7"/>
        <v>4260.1499999999996</v>
      </c>
      <c r="K36" s="489">
        <f t="shared" si="7"/>
        <v>3456.54</v>
      </c>
      <c r="L36" s="489">
        <f t="shared" si="7"/>
        <v>5810</v>
      </c>
      <c r="M36" s="489">
        <f t="shared" si="7"/>
        <v>0</v>
      </c>
      <c r="N36" s="489">
        <f t="shared" si="7"/>
        <v>0</v>
      </c>
      <c r="O36" s="490">
        <f t="shared" si="7"/>
        <v>0</v>
      </c>
    </row>
    <row r="37" spans="1:15" ht="15.75" customHeight="1">
      <c r="A37" s="217"/>
      <c r="B37" s="506" t="s">
        <v>114</v>
      </c>
      <c r="C37" s="507">
        <f>C36/C6</f>
        <v>0.35275876543209878</v>
      </c>
      <c r="D37" s="508" t="str">
        <f t="shared" ref="D37:O37" si="8">IF(D6=0,"",D36/D6)</f>
        <v/>
      </c>
      <c r="E37" s="508" t="str">
        <f t="shared" si="8"/>
        <v/>
      </c>
      <c r="F37" s="508" t="str">
        <f t="shared" si="8"/>
        <v/>
      </c>
      <c r="G37" s="508" t="str">
        <f t="shared" si="8"/>
        <v/>
      </c>
      <c r="H37" s="508" t="str">
        <f t="shared" si="8"/>
        <v/>
      </c>
      <c r="I37" s="508">
        <f t="shared" si="8"/>
        <v>0.52147428571428567</v>
      </c>
      <c r="J37" s="508">
        <f t="shared" si="8"/>
        <v>0.42601499999999998</v>
      </c>
      <c r="K37" s="508">
        <f t="shared" si="8"/>
        <v>0.34565400000000002</v>
      </c>
      <c r="L37" s="508">
        <f t="shared" si="8"/>
        <v>0.58099999999999996</v>
      </c>
      <c r="M37" s="508" t="str">
        <f t="shared" si="8"/>
        <v/>
      </c>
      <c r="N37" s="508" t="str">
        <f t="shared" si="8"/>
        <v/>
      </c>
      <c r="O37" s="509" t="str">
        <f t="shared" si="8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2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2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2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11" priority="7" operator="lessThan">
      <formula>0</formula>
    </cfRule>
  </conditionalFormatting>
  <conditionalFormatting sqref="C36:O36">
    <cfRule type="cellIs" dxfId="10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75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171450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L29"/>
  <sheetViews>
    <sheetView workbookViewId="0">
      <pane ySplit="3" topLeftCell="A4" activePane="bottomLeft" state="frozen"/>
      <selection pane="bottomLeft" activeCell="R9" sqref="R9"/>
    </sheetView>
  </sheetViews>
  <sheetFormatPr defaultRowHeight="15.75"/>
  <cols>
    <col min="1" max="1" width="14" customWidth="1"/>
    <col min="2" max="6" width="17" customWidth="1"/>
    <col min="7" max="7" width="18.75" customWidth="1"/>
    <col min="8" max="8" width="19.75" customWidth="1"/>
    <col min="9" max="9" width="14.75" customWidth="1"/>
    <col min="10" max="11" width="17" customWidth="1"/>
    <col min="12" max="12" width="10.5" hidden="1" customWidth="1"/>
  </cols>
  <sheetData>
    <row r="1" spans="1:12" ht="24" customHeight="1">
      <c r="A1" s="558" t="s">
        <v>237</v>
      </c>
      <c r="B1" s="559"/>
      <c r="C1" s="559"/>
      <c r="D1" s="559"/>
      <c r="E1" s="559"/>
      <c r="F1" s="559"/>
      <c r="G1" s="559"/>
      <c r="H1" s="559"/>
      <c r="I1" s="559"/>
      <c r="J1" s="559"/>
      <c r="K1" s="559"/>
    </row>
    <row r="2" spans="1:12" ht="26.45" customHeight="1">
      <c r="H2" s="562" t="s">
        <v>243</v>
      </c>
      <c r="I2" s="563"/>
      <c r="J2" s="560" t="s">
        <v>242</v>
      </c>
      <c r="K2" s="561"/>
    </row>
    <row r="3" spans="1:12" ht="25.9" customHeight="1">
      <c r="A3" s="537" t="s">
        <v>230</v>
      </c>
      <c r="B3" s="538" t="s">
        <v>231</v>
      </c>
      <c r="C3" s="538" t="s">
        <v>210</v>
      </c>
      <c r="D3" s="538" t="s">
        <v>232</v>
      </c>
      <c r="E3" s="538" t="s">
        <v>229</v>
      </c>
      <c r="F3" s="538" t="s">
        <v>238</v>
      </c>
      <c r="G3" s="538" t="s">
        <v>233</v>
      </c>
      <c r="H3" s="545" t="s">
        <v>241</v>
      </c>
      <c r="I3" s="545" t="s">
        <v>248</v>
      </c>
      <c r="J3" s="538" t="s">
        <v>234</v>
      </c>
      <c r="K3" s="544" t="s">
        <v>240</v>
      </c>
      <c r="L3" s="535" t="s">
        <v>235</v>
      </c>
    </row>
    <row r="4" spans="1:12" ht="19.899999999999999" customHeight="1">
      <c r="A4" s="543" t="str">
        <f>CHOOSE(MONTH($L4),"JAN","FEV","MAR","ABR","MAI","JUN","JUL","AGO","SET","OUT","NOV","DEZ")&amp;"/"&amp;TEXT($L4,"AA")</f>
        <v>ABR/26</v>
      </c>
      <c r="B4" s="532">
        <f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f>
        <v>0</v>
      </c>
      <c r="C4" s="532">
        <f>SUMIFS('📋 Despesas'!$J:$J,'📋 Despesas'!$B:$B,"&gt;="&amp;$L4,'📋 Despesas'!$B:$B,"&lt;"&amp;EDATE($L4,1),'📋 Despesas'!$E:$E,"*INSS*")</f>
        <v>202.44</v>
      </c>
      <c r="D4" s="532">
        <f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f>
        <v>1513</v>
      </c>
      <c r="E4" s="532">
        <f>SUMIFS('📋 Despesas'!$J:$J,'📋 Despesas'!$B:$B,"&gt;="&amp;$L4,'📋 Despesas'!$B:$B,"&lt;"&amp;EDATE($L4,1),'📋 Despesas'!$E:$E,"*DAS*")</f>
        <v>0</v>
      </c>
      <c r="F4" s="532">
        <f>SUMIFS('📋 Despesas'!$J:$J,'📋 Despesas'!$B:$B,"&gt;="&amp;$L4,'📋 Despesas'!$B:$B,"&lt;"&amp;EDATE($L4,1),'📋 Despesas'!$E:$E,"*LUCRO*")</f>
        <v>0</v>
      </c>
      <c r="G4" s="532">
        <f>SUMIFS('📋 Despesas'!$J:$J,'📋 Despesas'!$B:$B,"&gt;="&amp;$L4,'📋 Despesas'!$B:$B,"&lt;"&amp;EDATE($L4,1))-C4-D4-E4-F4</f>
        <v>0</v>
      </c>
      <c r="H4" s="541">
        <f>B4-C4-D4-E4-G4</f>
        <v>-1715.44</v>
      </c>
      <c r="I4" s="541">
        <f>SUM($H$4:H4)</f>
        <v>-1715.44</v>
      </c>
      <c r="J4" s="541">
        <f>B4-C4-D4-E4-G4-Tabela2[[#This Row],[DL Pagos]]</f>
        <v>-1715.44</v>
      </c>
      <c r="K4" s="552">
        <f>SUM($J$4:J4)</f>
        <v>-1715.44</v>
      </c>
      <c r="L4" s="534">
        <v>46113</v>
      </c>
    </row>
    <row r="5" spans="1:12" ht="19.899999999999999" customHeight="1">
      <c r="A5" s="543" t="str">
        <f t="shared" ref="A5:A27" si="0">CHOOSE(MONTH($L5),"JAN","FEV","MAR","ABR","MAI","JUN","JUL","AGO","SET","OUT","NOV","DEZ")&amp;"/"&amp;TEXT($L5,"AA")</f>
        <v>MAI/26</v>
      </c>
      <c r="B5" s="532">
        <f>IF(SUMIFS('💸  Receitas'!$G:$G,'💸  Receitas'!$A:$A,"&gt;="&amp;$L5,'💸  Receitas'!$A:$A,"&lt;"&amp;EDATE($L5,1),'💸  Receitas'!$E:$E,"FATURAMENTO")=0,SUMIFS('💸  Receitas'!$G:$G,'💸  Receitas'!$A:$A,"&gt;="&amp;$L5,'💸  Receitas'!$A:$A,"&lt;"&amp;EDATE($L5,1),'💸  Receitas'!$E:$E,"&lt;&gt;"),SUMIFS('💸  Receitas'!$G:$G,'💸  Receitas'!$A:$A,"&gt;="&amp;$L5,'💸  Receitas'!$A:$A,"&lt;"&amp;EDATE($L5,1),'💸  Receitas'!$E:$E,"FATURAMENTO"))</f>
        <v>0</v>
      </c>
      <c r="C5" s="532">
        <f>SUMIFS('📋 Despesas'!$J:$J,'📋 Despesas'!$B:$B,"&gt;="&amp;$L5,'📋 Despesas'!$B:$B,"&lt;"&amp;EDATE($L5,1),'📋 Despesas'!$E:$E,"*INSS*")</f>
        <v>330</v>
      </c>
      <c r="D5" s="532">
        <f>SUMIFS('📋 Despesas'!$J:$J,'📋 Despesas'!$B:$B,"&gt;="&amp;$L5,'📋 Despesas'!$B:$B,"&lt;"&amp;EDATE($L5,1),'📋 Despesas'!$E:$E,"*PROLABORE*")+SUMIFS('📋 Despesas'!$J:$J,'📋 Despesas'!$B:$B,"&gt;="&amp;$L5,'📋 Despesas'!$B:$B,"&lt;"&amp;EDATE($L5,1),'📋 Despesas'!$E:$E,"*PRÓ-LABORE*")</f>
        <v>2670</v>
      </c>
      <c r="E5" s="532">
        <f>SUMIFS('📋 Despesas'!$J:$J,'📋 Despesas'!$B:$B,"&gt;="&amp;$L5,'📋 Despesas'!$B:$B,"&lt;"&amp;EDATE($L5,1),'📋 Despesas'!$E:$E,"*DAS*")</f>
        <v>0</v>
      </c>
      <c r="F5" s="532">
        <f>SUMIFS('📋 Despesas'!$J:$J,'📋 Despesas'!$B:$B,"&gt;="&amp;$L5,'📋 Despesas'!$B:$B,"&lt;"&amp;EDATE($L5,1),'📋 Despesas'!$E:$E,"*LUCRO*")</f>
        <v>0</v>
      </c>
      <c r="G5" s="532">
        <f>SUMIFS('📋 Despesas'!$J:$J,'📋 Despesas'!$B:$B,"&gt;="&amp;$L5,'📋 Despesas'!$B:$B,"&lt;"&amp;EDATE($L5,1))-C5-D5-E5-F5</f>
        <v>0</v>
      </c>
      <c r="H5" s="541">
        <f t="shared" ref="H5:H27" si="1">B5-C5-D5-E5-G5</f>
        <v>-3000</v>
      </c>
      <c r="I5" s="541">
        <f>SUM($H$4:H5)</f>
        <v>-4715.4400000000005</v>
      </c>
      <c r="J5" s="541">
        <f>B5-C5-D5-E5-G5-Tabela2[[#This Row],[DL Pagos]]</f>
        <v>-3000</v>
      </c>
      <c r="K5" s="552">
        <f>SUM($J$4:J5)</f>
        <v>-4715.4400000000005</v>
      </c>
      <c r="L5" s="534">
        <f>EDATE(L4,1)</f>
        <v>46143</v>
      </c>
    </row>
    <row r="6" spans="1:12" ht="19.899999999999999" customHeight="1">
      <c r="A6" s="543" t="str">
        <f t="shared" si="0"/>
        <v>JUN/26</v>
      </c>
      <c r="B6" s="532">
        <f>IF(SUMIFS('💸  Receitas'!$G:$G,'💸  Receitas'!$A:$A,"&gt;="&amp;$L6,'💸  Receitas'!$A:$A,"&lt;"&amp;EDATE($L6,1),'💸  Receitas'!$E:$E,"FATURAMENTO")=0,SUMIFS('💸  Receitas'!$G:$G,'💸  Receitas'!$A:$A,"&gt;="&amp;$L6,'💸  Receitas'!$A:$A,"&lt;"&amp;EDATE($L6,1),'💸  Receitas'!$E:$E,"&lt;&gt;"),SUMIFS('💸  Receitas'!$G:$G,'💸  Receitas'!$A:$A,"&gt;="&amp;$L6,'💸  Receitas'!$A:$A,"&lt;"&amp;EDATE($L6,1),'💸  Receitas'!$E:$E,"FATURAMENTO"))</f>
        <v>10000</v>
      </c>
      <c r="C6" s="532">
        <f>SUMIFS('📋 Despesas'!$J:$J,'📋 Despesas'!$B:$B,"&gt;="&amp;$L6,'📋 Despesas'!$B:$B,"&lt;"&amp;EDATE($L6,1),'📋 Despesas'!$E:$E,"*INSS*")</f>
        <v>330</v>
      </c>
      <c r="D6" s="532">
        <f>SUMIFS('📋 Despesas'!$J:$J,'📋 Despesas'!$B:$B,"&gt;="&amp;$L6,'📋 Despesas'!$B:$B,"&lt;"&amp;EDATE($L6,1),'📋 Despesas'!$E:$E,"*PROLABORE*")+SUMIFS('📋 Despesas'!$J:$J,'📋 Despesas'!$B:$B,"&gt;="&amp;$L6,'📋 Despesas'!$B:$B,"&lt;"&amp;EDATE($L6,1),'📋 Despesas'!$E:$E,"*PRÓ-LABORE*")</f>
        <v>2670</v>
      </c>
      <c r="E6" s="532">
        <f>SUMIFS('📋 Despesas'!$J:$J,'📋 Despesas'!$B:$B,"&gt;="&amp;$L6,'📋 Despesas'!$B:$B,"&lt;"&amp;EDATE($L6,1),'📋 Despesas'!$E:$E,"*DAS*")</f>
        <v>600</v>
      </c>
      <c r="F6" s="532">
        <f>SUMIFS('📋 Despesas'!$J:$J,'📋 Despesas'!$B:$B,"&gt;="&amp;$L6,'📋 Despesas'!$B:$B,"&lt;"&amp;EDATE($L6,1),'📋 Despesas'!$E:$E,"*LUCRO*")</f>
        <v>0</v>
      </c>
      <c r="G6" s="532">
        <f>SUMIFS('📋 Despesas'!$J:$J,'📋 Despesas'!$B:$B,"&gt;="&amp;$L6,'📋 Despesas'!$B:$B,"&lt;"&amp;EDATE($L6,1))-C6-D6-E6-F6</f>
        <v>1424.5200000000004</v>
      </c>
      <c r="H6" s="541">
        <f t="shared" si="1"/>
        <v>4975.4799999999996</v>
      </c>
      <c r="I6" s="541">
        <f>SUM($H$4:H6)</f>
        <v>260.03999999999905</v>
      </c>
      <c r="J6" s="541">
        <f>B6-C6-D6-E6-G6-Tabela2[[#This Row],[DL Pagos]]</f>
        <v>4975.4799999999996</v>
      </c>
      <c r="K6" s="552">
        <f>SUM($J$4:J6)</f>
        <v>260.03999999999905</v>
      </c>
      <c r="L6" s="534">
        <f t="shared" ref="L6:L27" si="2">EDATE(L5,1)</f>
        <v>46174</v>
      </c>
    </row>
    <row r="7" spans="1:12" ht="19.899999999999999" customHeight="1">
      <c r="A7" s="543" t="str">
        <f t="shared" si="0"/>
        <v>JUL/26</v>
      </c>
      <c r="B7" s="532">
        <f>IF(SUMIFS('💸  Receitas'!$G:$G,'💸  Receitas'!$A:$A,"&gt;="&amp;$L7,'💸  Receitas'!$A:$A,"&lt;"&amp;EDATE($L7,1),'💸  Receitas'!$E:$E,"FATURAMENTO")=0,SUMIFS('💸  Receitas'!$G:$G,'💸  Receitas'!$A:$A,"&gt;="&amp;$L7,'💸  Receitas'!$A:$A,"&lt;"&amp;EDATE($L7,1),'💸  Receitas'!$E:$E,"&lt;&gt;"),SUMIFS('💸  Receitas'!$G:$G,'💸  Receitas'!$A:$A,"&gt;="&amp;$L7,'💸  Receitas'!$A:$A,"&lt;"&amp;EDATE($L7,1),'💸  Receitas'!$E:$E,"FATURAMENTO"))</f>
        <v>10000</v>
      </c>
      <c r="C7" s="532">
        <f>SUMIFS('📋 Despesas'!$J:$J,'📋 Despesas'!$B:$B,"&gt;="&amp;$L7,'📋 Despesas'!$B:$B,"&lt;"&amp;EDATE($L7,1),'📋 Despesas'!$E:$E,"*INSS*")</f>
        <v>330</v>
      </c>
      <c r="D7" s="532">
        <f>SUMIFS('📋 Despesas'!$J:$J,'📋 Despesas'!$B:$B,"&gt;="&amp;$L7,'📋 Despesas'!$B:$B,"&lt;"&amp;EDATE($L7,1),'📋 Despesas'!$E:$E,"*PROLABORE*")+SUMIFS('📋 Despesas'!$J:$J,'📋 Despesas'!$B:$B,"&gt;="&amp;$L7,'📋 Despesas'!$B:$B,"&lt;"&amp;EDATE($L7,1),'📋 Despesas'!$E:$E,"*PRÓ-LABORE*")</f>
        <v>2670</v>
      </c>
      <c r="E7" s="532">
        <f>SUMIFS('📋 Despesas'!$J:$J,'📋 Despesas'!$B:$B,"&gt;="&amp;$L7,'📋 Despesas'!$B:$B,"&lt;"&amp;EDATE($L7,1),'📋 Despesas'!$E:$E,"*DAS*")</f>
        <v>600</v>
      </c>
      <c r="F7" s="532">
        <f>SUMIFS('📋 Despesas'!$J:$J,'📋 Despesas'!$B:$B,"&gt;="&amp;$L7,'📋 Despesas'!$B:$B,"&lt;"&amp;EDATE($L7,1),'📋 Despesas'!$E:$E,"*LUCRO*")</f>
        <v>1660</v>
      </c>
      <c r="G7" s="532">
        <f>SUMIFS('📋 Despesas'!$J:$J,'📋 Despesas'!$B:$B,"&gt;="&amp;$L7,'📋 Despesas'!$B:$B,"&lt;"&amp;EDATE($L7,1))-C7-D7-E7-F7</f>
        <v>2139.8499999999995</v>
      </c>
      <c r="H7" s="541">
        <f t="shared" si="1"/>
        <v>4260.1500000000005</v>
      </c>
      <c r="I7" s="541">
        <f>SUM($H$4:H7)</f>
        <v>4520.1899999999996</v>
      </c>
      <c r="J7" s="541">
        <f>B7-C7-D7-E7-G7-Tabela2[[#This Row],[DL Pagos]]</f>
        <v>2600.1500000000005</v>
      </c>
      <c r="K7" s="552">
        <f>SUM($J$4:J7)</f>
        <v>2860.1899999999996</v>
      </c>
      <c r="L7" s="534">
        <f t="shared" si="2"/>
        <v>46204</v>
      </c>
    </row>
    <row r="8" spans="1:12" ht="19.899999999999999" customHeight="1">
      <c r="A8" s="543" t="str">
        <f t="shared" si="0"/>
        <v>AGO/26</v>
      </c>
      <c r="B8" s="532">
        <f>IF(SUMIFS('💸  Receitas'!$G:$G,'💸  Receitas'!$A:$A,"&gt;="&amp;$L8,'💸  Receitas'!$A:$A,"&lt;"&amp;EDATE($L8,1),'💸  Receitas'!$E:$E,"FATURAMENTO")=0,SUMIFS('💸  Receitas'!$G:$G,'💸  Receitas'!$A:$A,"&gt;="&amp;$L8,'💸  Receitas'!$A:$A,"&lt;"&amp;EDATE($L8,1),'💸  Receitas'!$E:$E,"&lt;&gt;"),SUMIFS('💸  Receitas'!$G:$G,'💸  Receitas'!$A:$A,"&gt;="&amp;$L8,'💸  Receitas'!$A:$A,"&lt;"&amp;EDATE($L8,1),'💸  Receitas'!$E:$E,"FATURAMENTO"))</f>
        <v>10000</v>
      </c>
      <c r="C8" s="532">
        <f>SUMIFS('📋 Despesas'!$J:$J,'📋 Despesas'!$B:$B,"&gt;="&amp;$L8,'📋 Despesas'!$B:$B,"&lt;"&amp;EDATE($L8,1),'📋 Despesas'!$E:$E,"*INSS*")</f>
        <v>330</v>
      </c>
      <c r="D8" s="532">
        <f>SUMIFS('📋 Despesas'!$J:$J,'📋 Despesas'!$B:$B,"&gt;="&amp;$L8,'📋 Despesas'!$B:$B,"&lt;"&amp;EDATE($L8,1),'📋 Despesas'!$E:$E,"*PROLABORE*")+SUMIFS('📋 Despesas'!$J:$J,'📋 Despesas'!$B:$B,"&gt;="&amp;$L8,'📋 Despesas'!$B:$B,"&lt;"&amp;EDATE($L8,1),'📋 Despesas'!$E:$E,"*PRÓ-LABORE*")</f>
        <v>2670</v>
      </c>
      <c r="E8" s="532">
        <f>SUMIFS('📋 Despesas'!$J:$J,'📋 Despesas'!$B:$B,"&gt;="&amp;$L8,'📋 Despesas'!$B:$B,"&lt;"&amp;EDATE($L8,1),'📋 Despesas'!$E:$E,"*DAS*")</f>
        <v>600</v>
      </c>
      <c r="F8" s="532">
        <f>SUMIFS('📋 Despesas'!$J:$J,'📋 Despesas'!$B:$B,"&gt;="&amp;$L8,'📋 Despesas'!$B:$B,"&lt;"&amp;EDATE($L8,1),'📋 Despesas'!$E:$E,"*LUCRO*")</f>
        <v>0</v>
      </c>
      <c r="G8" s="532">
        <f>SUMIFS('📋 Despesas'!$J:$J,'📋 Despesas'!$B:$B,"&gt;="&amp;$L8,'📋 Despesas'!$B:$B,"&lt;"&amp;EDATE($L8,1))-C8-D8-E8-F8</f>
        <v>2943.46</v>
      </c>
      <c r="H8" s="541">
        <f t="shared" si="1"/>
        <v>3456.54</v>
      </c>
      <c r="I8" s="541">
        <f>SUM($H$4:H8)</f>
        <v>7976.73</v>
      </c>
      <c r="J8" s="541">
        <f>B8-C8-D8-E8-G8-Tabela2[[#This Row],[DL Pagos]]</f>
        <v>3456.54</v>
      </c>
      <c r="K8" s="552">
        <f>SUM($J$4:J8)</f>
        <v>6316.73</v>
      </c>
      <c r="L8" s="534">
        <f t="shared" si="2"/>
        <v>46235</v>
      </c>
    </row>
    <row r="9" spans="1:12" ht="19.899999999999999" customHeight="1">
      <c r="A9" s="543" t="str">
        <f t="shared" si="0"/>
        <v>SET/26</v>
      </c>
      <c r="B9" s="532">
        <f>IF(SUMIFS('💸  Receitas'!$G:$G,'💸  Receitas'!$A:$A,"&gt;="&amp;$L9,'💸  Receitas'!$A:$A,"&lt;"&amp;EDATE($L9,1),'💸  Receitas'!$E:$E,"FATURAMENTO")=0,SUMIFS('💸  Receitas'!$G:$G,'💸  Receitas'!$A:$A,"&gt;="&amp;$L9,'💸  Receitas'!$A:$A,"&lt;"&amp;EDATE($L9,1),'💸  Receitas'!$E:$E,"&lt;&gt;"),SUMIFS('💸  Receitas'!$G:$G,'💸  Receitas'!$A:$A,"&gt;="&amp;$L9,'💸  Receitas'!$A:$A,"&lt;"&amp;EDATE($L9,1),'💸  Receitas'!$E:$E,"FATURAMENTO"))</f>
        <v>10000</v>
      </c>
      <c r="C9" s="532">
        <f>SUMIFS('📋 Despesas'!$J:$J,'📋 Despesas'!$B:$B,"&gt;="&amp;$L9,'📋 Despesas'!$B:$B,"&lt;"&amp;EDATE($L9,1),'📋 Despesas'!$E:$E,"*INSS*")</f>
        <v>330</v>
      </c>
      <c r="D9" s="532">
        <f>SUMIFS('📋 Despesas'!$J:$J,'📋 Despesas'!$B:$B,"&gt;="&amp;$L9,'📋 Despesas'!$B:$B,"&lt;"&amp;EDATE($L9,1),'📋 Despesas'!$E:$E,"*PROLABORE*")+SUMIFS('📋 Despesas'!$J:$J,'📋 Despesas'!$B:$B,"&gt;="&amp;$L9,'📋 Despesas'!$B:$B,"&lt;"&amp;EDATE($L9,1),'📋 Despesas'!$E:$E,"*PRÓ-LABORE*")</f>
        <v>2670</v>
      </c>
      <c r="E9" s="532">
        <f>SUMIFS('📋 Despesas'!$J:$J,'📋 Despesas'!$B:$B,"&gt;="&amp;$L9,'📋 Despesas'!$B:$B,"&lt;"&amp;EDATE($L9,1),'📋 Despesas'!$E:$E,"*DAS*")</f>
        <v>600</v>
      </c>
      <c r="F9" s="532">
        <f>SUMIFS('📋 Despesas'!$J:$J,'📋 Despesas'!$B:$B,"&gt;="&amp;$L9,'📋 Despesas'!$B:$B,"&lt;"&amp;EDATE($L9,1),'📋 Despesas'!$E:$E,"*LUCRO*")</f>
        <v>0</v>
      </c>
      <c r="G9" s="532">
        <f>SUMIFS('📋 Despesas'!$J:$J,'📋 Despesas'!$B:$B,"&gt;="&amp;$L9,'📋 Despesas'!$B:$B,"&lt;"&amp;EDATE($L9,1))-C9-D9-E9-F9</f>
        <v>590</v>
      </c>
      <c r="H9" s="541">
        <f t="shared" si="1"/>
        <v>5810</v>
      </c>
      <c r="I9" s="541">
        <f>SUM($H$4:H9)</f>
        <v>13786.73</v>
      </c>
      <c r="J9" s="541">
        <f>B9-C9-D9-E9-G9-Tabela2[[#This Row],[DL Pagos]]</f>
        <v>5810</v>
      </c>
      <c r="K9" s="552">
        <f>SUM($J$4:J9)</f>
        <v>12126.73</v>
      </c>
      <c r="L9" s="534">
        <f t="shared" si="2"/>
        <v>46266</v>
      </c>
    </row>
    <row r="10" spans="1:12" ht="19.899999999999999" customHeight="1">
      <c r="A10" s="543" t="str">
        <f t="shared" si="0"/>
        <v>OUT/26</v>
      </c>
      <c r="B10" s="532">
        <f>IF(SUMIFS('💸  Receitas'!$G:$G,'💸  Receitas'!$A:$A,"&gt;="&amp;$L10,'💸  Receitas'!$A:$A,"&lt;"&amp;EDATE($L10,1),'💸  Receitas'!$E:$E,"FATURAMENTO")=0,SUMIFS('💸  Receitas'!$G:$G,'💸  Receitas'!$A:$A,"&gt;="&amp;$L10,'💸  Receitas'!$A:$A,"&lt;"&amp;EDATE($L10,1),'💸  Receitas'!$E:$E,"&lt;&gt;"),SUMIFS('💸  Receitas'!$G:$G,'💸  Receitas'!$A:$A,"&gt;="&amp;$L10,'💸  Receitas'!$A:$A,"&lt;"&amp;EDATE($L10,1),'💸  Receitas'!$E:$E,"FATURAMENTO"))</f>
        <v>0</v>
      </c>
      <c r="C10" s="532">
        <f>SUMIFS('📋 Despesas'!$J:$J,'📋 Despesas'!$B:$B,"&gt;="&amp;$L10,'📋 Despesas'!$B:$B,"&lt;"&amp;EDATE($L10,1),'📋 Despesas'!$E:$E,"*INSS*")</f>
        <v>0</v>
      </c>
      <c r="D10" s="532">
        <f>SUMIFS('📋 Despesas'!$J:$J,'📋 Despesas'!$B:$B,"&gt;="&amp;$L10,'📋 Despesas'!$B:$B,"&lt;"&amp;EDATE($L10,1),'📋 Despesas'!$E:$E,"*PROLABORE*")+SUMIFS('📋 Despesas'!$J:$J,'📋 Despesas'!$B:$B,"&gt;="&amp;$L10,'📋 Despesas'!$B:$B,"&lt;"&amp;EDATE($L10,1),'📋 Despesas'!$E:$E,"*PRÓ-LABORE*")</f>
        <v>0</v>
      </c>
      <c r="E10" s="532">
        <f>SUMIFS('📋 Despesas'!$J:$J,'📋 Despesas'!$B:$B,"&gt;="&amp;$L10,'📋 Despesas'!$B:$B,"&lt;"&amp;EDATE($L10,1),'📋 Despesas'!$E:$E,"*DAS*")</f>
        <v>0</v>
      </c>
      <c r="F10" s="532">
        <f>SUMIFS('📋 Despesas'!$J:$J,'📋 Despesas'!$B:$B,"&gt;="&amp;$L10,'📋 Despesas'!$B:$B,"&lt;"&amp;EDATE($L10,1),'📋 Despesas'!$E:$E,"*LUCRO*")</f>
        <v>0</v>
      </c>
      <c r="G10" s="532">
        <f>SUMIFS('📋 Despesas'!$J:$J,'📋 Despesas'!$B:$B,"&gt;="&amp;$L10,'📋 Despesas'!$B:$B,"&lt;"&amp;EDATE($L10,1))-C10-D10-E10-F10</f>
        <v>0</v>
      </c>
      <c r="H10" s="541">
        <f t="shared" si="1"/>
        <v>0</v>
      </c>
      <c r="I10" s="541">
        <f>SUM($H$4:H10)</f>
        <v>13786.73</v>
      </c>
      <c r="J10" s="541">
        <f>B10-C10-D10-E10-G10-Tabela2[[#This Row],[DL Pagos]]</f>
        <v>0</v>
      </c>
      <c r="K10" s="552">
        <f>SUM($J$4:J10)</f>
        <v>12126.73</v>
      </c>
      <c r="L10" s="534">
        <f t="shared" si="2"/>
        <v>46296</v>
      </c>
    </row>
    <row r="11" spans="1:12" ht="19.899999999999999" customHeight="1">
      <c r="A11" s="543" t="str">
        <f t="shared" si="0"/>
        <v>NOV/26</v>
      </c>
      <c r="B11" s="532">
        <f>IF(SUMIFS('💸  Receitas'!$G:$G,'💸  Receitas'!$A:$A,"&gt;="&amp;$L11,'💸  Receitas'!$A:$A,"&lt;"&amp;EDATE($L11,1),'💸  Receitas'!$E:$E,"FATURAMENTO")=0,SUMIFS('💸  Receitas'!$G:$G,'💸  Receitas'!$A:$A,"&gt;="&amp;$L11,'💸  Receitas'!$A:$A,"&lt;"&amp;EDATE($L11,1),'💸  Receitas'!$E:$E,"&lt;&gt;"),SUMIFS('💸  Receitas'!$G:$G,'💸  Receitas'!$A:$A,"&gt;="&amp;$L11,'💸  Receitas'!$A:$A,"&lt;"&amp;EDATE($L11,1),'💸  Receitas'!$E:$E,"FATURAMENTO"))</f>
        <v>0</v>
      </c>
      <c r="C11" s="532">
        <f>SUMIFS('📋 Despesas'!$J:$J,'📋 Despesas'!$B:$B,"&gt;="&amp;$L11,'📋 Despesas'!$B:$B,"&lt;"&amp;EDATE($L11,1),'📋 Despesas'!$E:$E,"*INSS*")</f>
        <v>0</v>
      </c>
      <c r="D11" s="532">
        <f>SUMIFS('📋 Despesas'!$J:$J,'📋 Despesas'!$B:$B,"&gt;="&amp;$L11,'📋 Despesas'!$B:$B,"&lt;"&amp;EDATE($L11,1),'📋 Despesas'!$E:$E,"*PROLABORE*")+SUMIFS('📋 Despesas'!$J:$J,'📋 Despesas'!$B:$B,"&gt;="&amp;$L11,'📋 Despesas'!$B:$B,"&lt;"&amp;EDATE($L11,1),'📋 Despesas'!$E:$E,"*PRÓ-LABORE*")</f>
        <v>0</v>
      </c>
      <c r="E11" s="532">
        <f>SUMIFS('📋 Despesas'!$J:$J,'📋 Despesas'!$B:$B,"&gt;="&amp;$L11,'📋 Despesas'!$B:$B,"&lt;"&amp;EDATE($L11,1),'📋 Despesas'!$E:$E,"*DAS*")</f>
        <v>0</v>
      </c>
      <c r="F11" s="532">
        <f>SUMIFS('📋 Despesas'!$J:$J,'📋 Despesas'!$B:$B,"&gt;="&amp;$L11,'📋 Despesas'!$B:$B,"&lt;"&amp;EDATE($L11,1),'📋 Despesas'!$E:$E,"*LUCRO*")</f>
        <v>0</v>
      </c>
      <c r="G11" s="532">
        <f>SUMIFS('📋 Despesas'!$J:$J,'📋 Despesas'!$B:$B,"&gt;="&amp;$L11,'📋 Despesas'!$B:$B,"&lt;"&amp;EDATE($L11,1))-C11-D11-E11-F11</f>
        <v>0</v>
      </c>
      <c r="H11" s="541">
        <f t="shared" si="1"/>
        <v>0</v>
      </c>
      <c r="I11" s="541">
        <f>SUM($H$4:H11)</f>
        <v>13786.73</v>
      </c>
      <c r="J11" s="541">
        <f>B11-C11-D11-E11-G11-Tabela2[[#This Row],[DL Pagos]]</f>
        <v>0</v>
      </c>
      <c r="K11" s="552">
        <f>SUM($J$4:J11)</f>
        <v>12126.73</v>
      </c>
      <c r="L11" s="534">
        <f t="shared" si="2"/>
        <v>46327</v>
      </c>
    </row>
    <row r="12" spans="1:12" ht="19.899999999999999" customHeight="1">
      <c r="A12" s="543" t="str">
        <f t="shared" si="0"/>
        <v>DEZ/26</v>
      </c>
      <c r="B12" s="532">
        <f>IF(SUMIFS('💸  Receitas'!$G:$G,'💸  Receitas'!$A:$A,"&gt;="&amp;$L12,'💸  Receitas'!$A:$A,"&lt;"&amp;EDATE($L12,1),'💸  Receitas'!$E:$E,"FATURAMENTO")=0,SUMIFS('💸  Receitas'!$G:$G,'💸  Receitas'!$A:$A,"&gt;="&amp;$L12,'💸  Receitas'!$A:$A,"&lt;"&amp;EDATE($L12,1),'💸  Receitas'!$E:$E,"&lt;&gt;"),SUMIFS('💸  Receitas'!$G:$G,'💸  Receitas'!$A:$A,"&gt;="&amp;$L12,'💸  Receitas'!$A:$A,"&lt;"&amp;EDATE($L12,1),'💸  Receitas'!$E:$E,"FATURAMENTO"))</f>
        <v>0</v>
      </c>
      <c r="C12" s="532">
        <f>SUMIFS('📋 Despesas'!$J:$J,'📋 Despesas'!$B:$B,"&gt;="&amp;$L12,'📋 Despesas'!$B:$B,"&lt;"&amp;EDATE($L12,1),'📋 Despesas'!$E:$E,"*INSS*")</f>
        <v>0</v>
      </c>
      <c r="D12" s="532">
        <f>SUMIFS('📋 Despesas'!$J:$J,'📋 Despesas'!$B:$B,"&gt;="&amp;$L12,'📋 Despesas'!$B:$B,"&lt;"&amp;EDATE($L12,1),'📋 Despesas'!$E:$E,"*PROLABORE*")+SUMIFS('📋 Despesas'!$J:$J,'📋 Despesas'!$B:$B,"&gt;="&amp;$L12,'📋 Despesas'!$B:$B,"&lt;"&amp;EDATE($L12,1),'📋 Despesas'!$E:$E,"*PRÓ-LABORE*")</f>
        <v>0</v>
      </c>
      <c r="E12" s="532">
        <f>SUMIFS('📋 Despesas'!$J:$J,'📋 Despesas'!$B:$B,"&gt;="&amp;$L12,'📋 Despesas'!$B:$B,"&lt;"&amp;EDATE($L12,1),'📋 Despesas'!$E:$E,"*DAS*")</f>
        <v>0</v>
      </c>
      <c r="F12" s="532">
        <f>SUMIFS('📋 Despesas'!$J:$J,'📋 Despesas'!$B:$B,"&gt;="&amp;$L12,'📋 Despesas'!$B:$B,"&lt;"&amp;EDATE($L12,1),'📋 Despesas'!$E:$E,"*LUCRO*")</f>
        <v>0</v>
      </c>
      <c r="G12" s="532">
        <f>SUMIFS('📋 Despesas'!$J:$J,'📋 Despesas'!$B:$B,"&gt;="&amp;$L12,'📋 Despesas'!$B:$B,"&lt;"&amp;EDATE($L12,1))-C12-D12-E12-F12</f>
        <v>0</v>
      </c>
      <c r="H12" s="539">
        <f t="shared" si="1"/>
        <v>0</v>
      </c>
      <c r="I12" s="539">
        <f>SUM($H$4:H12)</f>
        <v>13786.73</v>
      </c>
      <c r="J12" s="539">
        <f>B12-C12-D12-E12-G12-Tabela2[[#This Row],[DL Pagos]]</f>
        <v>0</v>
      </c>
      <c r="K12" s="552">
        <f>SUM($J$4:J12)</f>
        <v>12126.73</v>
      </c>
      <c r="L12" s="534">
        <f t="shared" si="2"/>
        <v>46357</v>
      </c>
    </row>
    <row r="13" spans="1:12" ht="19.899999999999999" customHeight="1">
      <c r="A13" s="543" t="str">
        <f t="shared" si="0"/>
        <v>JAN/27</v>
      </c>
      <c r="B13" s="532">
        <f>IF(SUMIFS('💸  Receitas'!$G:$G,'💸  Receitas'!$A:$A,"&gt;="&amp;$L13,'💸  Receitas'!$A:$A,"&lt;"&amp;EDATE($L13,1),'💸  Receitas'!$E:$E,"FATURAMENTO")=0,SUMIFS('💸  Receitas'!$G:$G,'💸  Receitas'!$A:$A,"&gt;="&amp;$L13,'💸  Receitas'!$A:$A,"&lt;"&amp;EDATE($L13,1),'💸  Receitas'!$E:$E,"&lt;&gt;"),SUMIFS('💸  Receitas'!$G:$G,'💸  Receitas'!$A:$A,"&gt;="&amp;$L13,'💸  Receitas'!$A:$A,"&lt;"&amp;EDATE($L13,1),'💸  Receitas'!$E:$E,"FATURAMENTO"))</f>
        <v>0</v>
      </c>
      <c r="C13" s="532">
        <f>SUMIFS('📋 Despesas'!$J:$J,'📋 Despesas'!$B:$B,"&gt;="&amp;$L13,'📋 Despesas'!$B:$B,"&lt;"&amp;EDATE($L13,1),'📋 Despesas'!$E:$E,"*INSS*")</f>
        <v>0</v>
      </c>
      <c r="D13" s="532">
        <f>SUMIFS('📋 Despesas'!$J:$J,'📋 Despesas'!$B:$B,"&gt;="&amp;$L13,'📋 Despesas'!$B:$B,"&lt;"&amp;EDATE($L13,1),'📋 Despesas'!$E:$E,"*PROLABORE*")+SUMIFS('📋 Despesas'!$J:$J,'📋 Despesas'!$B:$B,"&gt;="&amp;$L13,'📋 Despesas'!$B:$B,"&lt;"&amp;EDATE($L13,1),'📋 Despesas'!$E:$E,"*PRÓ-LABORE*")</f>
        <v>0</v>
      </c>
      <c r="E13" s="532">
        <f>SUMIFS('📋 Despesas'!$J:$J,'📋 Despesas'!$B:$B,"&gt;="&amp;$L13,'📋 Despesas'!$B:$B,"&lt;"&amp;EDATE($L13,1),'📋 Despesas'!$E:$E,"*DAS*")</f>
        <v>0</v>
      </c>
      <c r="F13" s="532">
        <f>SUMIFS('📋 Despesas'!$J:$J,'📋 Despesas'!$B:$B,"&gt;="&amp;$L13,'📋 Despesas'!$B:$B,"&lt;"&amp;EDATE($L13,1),'📋 Despesas'!$E:$E,"*LUCRO*")</f>
        <v>0</v>
      </c>
      <c r="G13" s="532">
        <f>SUMIFS('📋 Despesas'!$J:$J,'📋 Despesas'!$B:$B,"&gt;="&amp;$L13,'📋 Despesas'!$B:$B,"&lt;"&amp;EDATE($L13,1))-C13-D13-E13-F13</f>
        <v>0</v>
      </c>
      <c r="H13" s="539">
        <f t="shared" si="1"/>
        <v>0</v>
      </c>
      <c r="I13" s="539">
        <f>SUM($H$4:H13)</f>
        <v>13786.73</v>
      </c>
      <c r="J13" s="539">
        <f>B13-C13-D13-E13-G13-Tabela2[[#This Row],[DL Pagos]]</f>
        <v>0</v>
      </c>
      <c r="K13" s="552">
        <f>SUM($J$4:J13)</f>
        <v>12126.73</v>
      </c>
      <c r="L13" s="534">
        <f t="shared" si="2"/>
        <v>46388</v>
      </c>
    </row>
    <row r="14" spans="1:12" ht="19.899999999999999" customHeight="1">
      <c r="A14" s="543" t="str">
        <f t="shared" si="0"/>
        <v>FEV/27</v>
      </c>
      <c r="B14" s="532">
        <f>IF(SUMIFS('💸  Receitas'!$G:$G,'💸  Receitas'!$A:$A,"&gt;="&amp;$L14,'💸  Receitas'!$A:$A,"&lt;"&amp;EDATE($L14,1),'💸  Receitas'!$E:$E,"FATURAMENTO")=0,SUMIFS('💸  Receitas'!$G:$G,'💸  Receitas'!$A:$A,"&gt;="&amp;$L14,'💸  Receitas'!$A:$A,"&lt;"&amp;EDATE($L14,1),'💸  Receitas'!$E:$E,"&lt;&gt;"),SUMIFS('💸  Receitas'!$G:$G,'💸  Receitas'!$A:$A,"&gt;="&amp;$L14,'💸  Receitas'!$A:$A,"&lt;"&amp;EDATE($L14,1),'💸  Receitas'!$E:$E,"FATURAMENTO"))</f>
        <v>0</v>
      </c>
      <c r="C14" s="532">
        <f>SUMIFS('📋 Despesas'!$J:$J,'📋 Despesas'!$B:$B,"&gt;="&amp;$L14,'📋 Despesas'!$B:$B,"&lt;"&amp;EDATE($L14,1),'📋 Despesas'!$E:$E,"*INSS*")</f>
        <v>0</v>
      </c>
      <c r="D14" s="532">
        <f>SUMIFS('📋 Despesas'!$J:$J,'📋 Despesas'!$B:$B,"&gt;="&amp;$L14,'📋 Despesas'!$B:$B,"&lt;"&amp;EDATE($L14,1),'📋 Despesas'!$E:$E,"*PROLABORE*")+SUMIFS('📋 Despesas'!$J:$J,'📋 Despesas'!$B:$B,"&gt;="&amp;$L14,'📋 Despesas'!$B:$B,"&lt;"&amp;EDATE($L14,1),'📋 Despesas'!$E:$E,"*PRÓ-LABORE*")</f>
        <v>0</v>
      </c>
      <c r="E14" s="532">
        <f>SUMIFS('📋 Despesas'!$J:$J,'📋 Despesas'!$B:$B,"&gt;="&amp;$L14,'📋 Despesas'!$B:$B,"&lt;"&amp;EDATE($L14,1),'📋 Despesas'!$E:$E,"*DAS*")</f>
        <v>0</v>
      </c>
      <c r="F14" s="532">
        <f>SUMIFS('📋 Despesas'!$J:$J,'📋 Despesas'!$B:$B,"&gt;="&amp;$L14,'📋 Despesas'!$B:$B,"&lt;"&amp;EDATE($L14,1),'📋 Despesas'!$E:$E,"*LUCRO*")</f>
        <v>0</v>
      </c>
      <c r="G14" s="532">
        <f>SUMIFS('📋 Despesas'!$J:$J,'📋 Despesas'!$B:$B,"&gt;="&amp;$L14,'📋 Despesas'!$B:$B,"&lt;"&amp;EDATE($L14,1))-C14-D14-E14-F14</f>
        <v>0</v>
      </c>
      <c r="H14" s="539">
        <f t="shared" si="1"/>
        <v>0</v>
      </c>
      <c r="I14" s="539">
        <f>SUM($H$4:H14)</f>
        <v>13786.73</v>
      </c>
      <c r="J14" s="539">
        <f>B14-C14-D14-E14-G14-Tabela2[[#This Row],[DL Pagos]]</f>
        <v>0</v>
      </c>
      <c r="K14" s="552">
        <f>SUM($J$4:J14)</f>
        <v>12126.73</v>
      </c>
      <c r="L14" s="534">
        <f t="shared" si="2"/>
        <v>46419</v>
      </c>
    </row>
    <row r="15" spans="1:12" ht="19.899999999999999" customHeight="1">
      <c r="A15" s="543" t="str">
        <f t="shared" si="0"/>
        <v>MAR/27</v>
      </c>
      <c r="B15" s="532">
        <f>IF(SUMIFS('💸  Receitas'!$G:$G,'💸  Receitas'!$A:$A,"&gt;="&amp;$L15,'💸  Receitas'!$A:$A,"&lt;"&amp;EDATE($L15,1),'💸  Receitas'!$E:$E,"FATURAMENTO")=0,SUMIFS('💸  Receitas'!$G:$G,'💸  Receitas'!$A:$A,"&gt;="&amp;$L15,'💸  Receitas'!$A:$A,"&lt;"&amp;EDATE($L15,1),'💸  Receitas'!$E:$E,"&lt;&gt;"),SUMIFS('💸  Receitas'!$G:$G,'💸  Receitas'!$A:$A,"&gt;="&amp;$L15,'💸  Receitas'!$A:$A,"&lt;"&amp;EDATE($L15,1),'💸  Receitas'!$E:$E,"FATURAMENTO"))</f>
        <v>0</v>
      </c>
      <c r="C15" s="532">
        <f>SUMIFS('📋 Despesas'!$J:$J,'📋 Despesas'!$B:$B,"&gt;="&amp;$L15,'📋 Despesas'!$B:$B,"&lt;"&amp;EDATE($L15,1),'📋 Despesas'!$E:$E,"*INSS*")</f>
        <v>0</v>
      </c>
      <c r="D15" s="532">
        <f>SUMIFS('📋 Despesas'!$J:$J,'📋 Despesas'!$B:$B,"&gt;="&amp;$L15,'📋 Despesas'!$B:$B,"&lt;"&amp;EDATE($L15,1),'📋 Despesas'!$E:$E,"*PROLABORE*")+SUMIFS('📋 Despesas'!$J:$J,'📋 Despesas'!$B:$B,"&gt;="&amp;$L15,'📋 Despesas'!$B:$B,"&lt;"&amp;EDATE($L15,1),'📋 Despesas'!$E:$E,"*PRÓ-LABORE*")</f>
        <v>0</v>
      </c>
      <c r="E15" s="532">
        <f>SUMIFS('📋 Despesas'!$J:$J,'📋 Despesas'!$B:$B,"&gt;="&amp;$L15,'📋 Despesas'!$B:$B,"&lt;"&amp;EDATE($L15,1),'📋 Despesas'!$E:$E,"*DAS*")</f>
        <v>0</v>
      </c>
      <c r="F15" s="532">
        <f>SUMIFS('📋 Despesas'!$J:$J,'📋 Despesas'!$B:$B,"&gt;="&amp;$L15,'📋 Despesas'!$B:$B,"&lt;"&amp;EDATE($L15,1),'📋 Despesas'!$E:$E,"*LUCRO*")</f>
        <v>0</v>
      </c>
      <c r="G15" s="532">
        <f>SUMIFS('📋 Despesas'!$J:$J,'📋 Despesas'!$B:$B,"&gt;="&amp;$L15,'📋 Despesas'!$B:$B,"&lt;"&amp;EDATE($L15,1))-C15-D15-E15-F15</f>
        <v>0</v>
      </c>
      <c r="H15" s="539">
        <f t="shared" si="1"/>
        <v>0</v>
      </c>
      <c r="I15" s="539">
        <f>SUM($H$4:H15)</f>
        <v>13786.73</v>
      </c>
      <c r="J15" s="539">
        <f>B15-C15-D15-E15-G15-Tabela2[[#This Row],[DL Pagos]]</f>
        <v>0</v>
      </c>
      <c r="K15" s="552">
        <f>SUM($J$4:J15)</f>
        <v>12126.73</v>
      </c>
      <c r="L15" s="534">
        <f t="shared" si="2"/>
        <v>46447</v>
      </c>
    </row>
    <row r="16" spans="1:12" ht="19.899999999999999" customHeight="1">
      <c r="A16" s="543" t="str">
        <f t="shared" si="0"/>
        <v>ABR/27</v>
      </c>
      <c r="B16" s="532">
        <f>IF(SUMIFS('💸  Receitas'!$G:$G,'💸  Receitas'!$A:$A,"&gt;="&amp;$L16,'💸  Receitas'!$A:$A,"&lt;"&amp;EDATE($L16,1),'💸  Receitas'!$E:$E,"FATURAMENTO")=0,SUMIFS('💸  Receitas'!$G:$G,'💸  Receitas'!$A:$A,"&gt;="&amp;$L16,'💸  Receitas'!$A:$A,"&lt;"&amp;EDATE($L16,1),'💸  Receitas'!$E:$E,"&lt;&gt;"),SUMIFS('💸  Receitas'!$G:$G,'💸  Receitas'!$A:$A,"&gt;="&amp;$L16,'💸  Receitas'!$A:$A,"&lt;"&amp;EDATE($L16,1),'💸  Receitas'!$E:$E,"FATURAMENTO"))</f>
        <v>0</v>
      </c>
      <c r="C16" s="532">
        <f>SUMIFS('📋 Despesas'!$J:$J,'📋 Despesas'!$B:$B,"&gt;="&amp;$L16,'📋 Despesas'!$B:$B,"&lt;"&amp;EDATE($L16,1),'📋 Despesas'!$E:$E,"*INSS*")</f>
        <v>0</v>
      </c>
      <c r="D16" s="532">
        <f>SUMIFS('📋 Despesas'!$J:$J,'📋 Despesas'!$B:$B,"&gt;="&amp;$L16,'📋 Despesas'!$B:$B,"&lt;"&amp;EDATE($L16,1),'📋 Despesas'!$E:$E,"*PROLABORE*")+SUMIFS('📋 Despesas'!$J:$J,'📋 Despesas'!$B:$B,"&gt;="&amp;$L16,'📋 Despesas'!$B:$B,"&lt;"&amp;EDATE($L16,1),'📋 Despesas'!$E:$E,"*PRÓ-LABORE*")</f>
        <v>0</v>
      </c>
      <c r="E16" s="532">
        <f>SUMIFS('📋 Despesas'!$J:$J,'📋 Despesas'!$B:$B,"&gt;="&amp;$L16,'📋 Despesas'!$B:$B,"&lt;"&amp;EDATE($L16,1),'📋 Despesas'!$E:$E,"*DAS*")</f>
        <v>0</v>
      </c>
      <c r="F16" s="532">
        <f>SUMIFS('📋 Despesas'!$J:$J,'📋 Despesas'!$B:$B,"&gt;="&amp;$L16,'📋 Despesas'!$B:$B,"&lt;"&amp;EDATE($L16,1),'📋 Despesas'!$E:$E,"*LUCRO*")</f>
        <v>0</v>
      </c>
      <c r="G16" s="532">
        <f>SUMIFS('📋 Despesas'!$J:$J,'📋 Despesas'!$B:$B,"&gt;="&amp;$L16,'📋 Despesas'!$B:$B,"&lt;"&amp;EDATE($L16,1))-C16-D16-E16-F16</f>
        <v>0</v>
      </c>
      <c r="H16" s="539">
        <f t="shared" si="1"/>
        <v>0</v>
      </c>
      <c r="I16" s="539">
        <f>SUM($H$4:H16)</f>
        <v>13786.73</v>
      </c>
      <c r="J16" s="539">
        <f>B16-C16-D16-E16-G16-Tabela2[[#This Row],[DL Pagos]]</f>
        <v>0</v>
      </c>
      <c r="K16" s="552">
        <f>SUM($J$4:J16)</f>
        <v>12126.73</v>
      </c>
      <c r="L16" s="534">
        <f t="shared" si="2"/>
        <v>46478</v>
      </c>
    </row>
    <row r="17" spans="1:12" ht="19.899999999999999" customHeight="1">
      <c r="A17" s="543" t="str">
        <f t="shared" si="0"/>
        <v>MAI/27</v>
      </c>
      <c r="B17" s="532">
        <f>IF(SUMIFS('💸  Receitas'!$G:$G,'💸  Receitas'!$A:$A,"&gt;="&amp;$L17,'💸  Receitas'!$A:$A,"&lt;"&amp;EDATE($L17,1),'💸  Receitas'!$E:$E,"FATURAMENTO")=0,SUMIFS('💸  Receitas'!$G:$G,'💸  Receitas'!$A:$A,"&gt;="&amp;$L17,'💸  Receitas'!$A:$A,"&lt;"&amp;EDATE($L17,1),'💸  Receitas'!$E:$E,"&lt;&gt;"),SUMIFS('💸  Receitas'!$G:$G,'💸  Receitas'!$A:$A,"&gt;="&amp;$L17,'💸  Receitas'!$A:$A,"&lt;"&amp;EDATE($L17,1),'💸  Receitas'!$E:$E,"FATURAMENTO"))</f>
        <v>0</v>
      </c>
      <c r="C17" s="532">
        <f>SUMIFS('📋 Despesas'!$J:$J,'📋 Despesas'!$B:$B,"&gt;="&amp;$L17,'📋 Despesas'!$B:$B,"&lt;"&amp;EDATE($L17,1),'📋 Despesas'!$E:$E,"*INSS*")</f>
        <v>0</v>
      </c>
      <c r="D17" s="532">
        <f>SUMIFS('📋 Despesas'!$J:$J,'📋 Despesas'!$B:$B,"&gt;="&amp;$L17,'📋 Despesas'!$B:$B,"&lt;"&amp;EDATE($L17,1),'📋 Despesas'!$E:$E,"*PROLABORE*")+SUMIFS('📋 Despesas'!$J:$J,'📋 Despesas'!$B:$B,"&gt;="&amp;$L17,'📋 Despesas'!$B:$B,"&lt;"&amp;EDATE($L17,1),'📋 Despesas'!$E:$E,"*PRÓ-LABORE*")</f>
        <v>0</v>
      </c>
      <c r="E17" s="532">
        <f>SUMIFS('📋 Despesas'!$J:$J,'📋 Despesas'!$B:$B,"&gt;="&amp;$L17,'📋 Despesas'!$B:$B,"&lt;"&amp;EDATE($L17,1),'📋 Despesas'!$E:$E,"*DAS*")</f>
        <v>0</v>
      </c>
      <c r="F17" s="532">
        <f>SUMIFS('📋 Despesas'!$J:$J,'📋 Despesas'!$B:$B,"&gt;="&amp;$L17,'📋 Despesas'!$B:$B,"&lt;"&amp;EDATE($L17,1),'📋 Despesas'!$E:$E,"*LUCRO*")</f>
        <v>0</v>
      </c>
      <c r="G17" s="532">
        <f>SUMIFS('📋 Despesas'!$J:$J,'📋 Despesas'!$B:$B,"&gt;="&amp;$L17,'📋 Despesas'!$B:$B,"&lt;"&amp;EDATE($L17,1))-C17-D17-E17-F17</f>
        <v>0</v>
      </c>
      <c r="H17" s="539">
        <f t="shared" si="1"/>
        <v>0</v>
      </c>
      <c r="I17" s="539">
        <f>SUM($H$4:H17)</f>
        <v>13786.73</v>
      </c>
      <c r="J17" s="539">
        <f>B17-C17-D17-E17-G17-Tabela2[[#This Row],[DL Pagos]]</f>
        <v>0</v>
      </c>
      <c r="K17" s="552">
        <f>SUM($J$4:J17)</f>
        <v>12126.73</v>
      </c>
      <c r="L17" s="534">
        <f t="shared" si="2"/>
        <v>46508</v>
      </c>
    </row>
    <row r="18" spans="1:12" ht="19.899999999999999" customHeight="1">
      <c r="A18" s="543" t="str">
        <f t="shared" si="0"/>
        <v>JUN/27</v>
      </c>
      <c r="B18" s="532">
        <f>IF(SUMIFS('💸  Receitas'!$G:$G,'💸  Receitas'!$A:$A,"&gt;="&amp;$L18,'💸  Receitas'!$A:$A,"&lt;"&amp;EDATE($L18,1),'💸  Receitas'!$E:$E,"FATURAMENTO")=0,SUMIFS('💸  Receitas'!$G:$G,'💸  Receitas'!$A:$A,"&gt;="&amp;$L18,'💸  Receitas'!$A:$A,"&lt;"&amp;EDATE($L18,1),'💸  Receitas'!$E:$E,"&lt;&gt;"),SUMIFS('💸  Receitas'!$G:$G,'💸  Receitas'!$A:$A,"&gt;="&amp;$L18,'💸  Receitas'!$A:$A,"&lt;"&amp;EDATE($L18,1),'💸  Receitas'!$E:$E,"FATURAMENTO"))</f>
        <v>0</v>
      </c>
      <c r="C18" s="532">
        <f>SUMIFS('📋 Despesas'!$J:$J,'📋 Despesas'!$B:$B,"&gt;="&amp;$L18,'📋 Despesas'!$B:$B,"&lt;"&amp;EDATE($L18,1),'📋 Despesas'!$E:$E,"*INSS*")</f>
        <v>0</v>
      </c>
      <c r="D18" s="532">
        <f>SUMIFS('📋 Despesas'!$J:$J,'📋 Despesas'!$B:$B,"&gt;="&amp;$L18,'📋 Despesas'!$B:$B,"&lt;"&amp;EDATE($L18,1),'📋 Despesas'!$E:$E,"*PROLABORE*")+SUMIFS('📋 Despesas'!$J:$J,'📋 Despesas'!$B:$B,"&gt;="&amp;$L18,'📋 Despesas'!$B:$B,"&lt;"&amp;EDATE($L18,1),'📋 Despesas'!$E:$E,"*PRÓ-LABORE*")</f>
        <v>0</v>
      </c>
      <c r="E18" s="532">
        <f>SUMIFS('📋 Despesas'!$J:$J,'📋 Despesas'!$B:$B,"&gt;="&amp;$L18,'📋 Despesas'!$B:$B,"&lt;"&amp;EDATE($L18,1),'📋 Despesas'!$E:$E,"*DAS*")</f>
        <v>0</v>
      </c>
      <c r="F18" s="532">
        <f>SUMIFS('📋 Despesas'!$J:$J,'📋 Despesas'!$B:$B,"&gt;="&amp;$L18,'📋 Despesas'!$B:$B,"&lt;"&amp;EDATE($L18,1),'📋 Despesas'!$E:$E,"*LUCRO*")</f>
        <v>0</v>
      </c>
      <c r="G18" s="532">
        <f>SUMIFS('📋 Despesas'!$J:$J,'📋 Despesas'!$B:$B,"&gt;="&amp;$L18,'📋 Despesas'!$B:$B,"&lt;"&amp;EDATE($L18,1))-C18-D18-E18-F18</f>
        <v>0</v>
      </c>
      <c r="H18" s="539">
        <f t="shared" si="1"/>
        <v>0</v>
      </c>
      <c r="I18" s="539">
        <f>SUM($H$4:H18)</f>
        <v>13786.73</v>
      </c>
      <c r="J18" s="539">
        <f>B18-C18-D18-E18-G18-Tabela2[[#This Row],[DL Pagos]]</f>
        <v>0</v>
      </c>
      <c r="K18" s="552">
        <f>SUM($J$4:J18)</f>
        <v>12126.73</v>
      </c>
      <c r="L18" s="534">
        <f t="shared" si="2"/>
        <v>46539</v>
      </c>
    </row>
    <row r="19" spans="1:12" ht="19.899999999999999" customHeight="1">
      <c r="A19" s="543" t="str">
        <f t="shared" si="0"/>
        <v>JUL/27</v>
      </c>
      <c r="B19" s="532">
        <f>IF(SUMIFS('💸  Receitas'!$G:$G,'💸  Receitas'!$A:$A,"&gt;="&amp;$L19,'💸  Receitas'!$A:$A,"&lt;"&amp;EDATE($L19,1),'💸  Receitas'!$E:$E,"FATURAMENTO")=0,SUMIFS('💸  Receitas'!$G:$G,'💸  Receitas'!$A:$A,"&gt;="&amp;$L19,'💸  Receitas'!$A:$A,"&lt;"&amp;EDATE($L19,1),'💸  Receitas'!$E:$E,"&lt;&gt;"),SUMIFS('💸  Receitas'!$G:$G,'💸  Receitas'!$A:$A,"&gt;="&amp;$L19,'💸  Receitas'!$A:$A,"&lt;"&amp;EDATE($L19,1),'💸  Receitas'!$E:$E,"FATURAMENTO"))</f>
        <v>0</v>
      </c>
      <c r="C19" s="532">
        <f>SUMIFS('📋 Despesas'!$J:$J,'📋 Despesas'!$B:$B,"&gt;="&amp;$L19,'📋 Despesas'!$B:$B,"&lt;"&amp;EDATE($L19,1),'📋 Despesas'!$E:$E,"*INSS*")</f>
        <v>0</v>
      </c>
      <c r="D19" s="532">
        <f>SUMIFS('📋 Despesas'!$J:$J,'📋 Despesas'!$B:$B,"&gt;="&amp;$L19,'📋 Despesas'!$B:$B,"&lt;"&amp;EDATE($L19,1),'📋 Despesas'!$E:$E,"*PROLABORE*")+SUMIFS('📋 Despesas'!$J:$J,'📋 Despesas'!$B:$B,"&gt;="&amp;$L19,'📋 Despesas'!$B:$B,"&lt;"&amp;EDATE($L19,1),'📋 Despesas'!$E:$E,"*PRÓ-LABORE*")</f>
        <v>0</v>
      </c>
      <c r="E19" s="532">
        <f>SUMIFS('📋 Despesas'!$J:$J,'📋 Despesas'!$B:$B,"&gt;="&amp;$L19,'📋 Despesas'!$B:$B,"&lt;"&amp;EDATE($L19,1),'📋 Despesas'!$E:$E,"*DAS*")</f>
        <v>0</v>
      </c>
      <c r="F19" s="532">
        <f>SUMIFS('📋 Despesas'!$J:$J,'📋 Despesas'!$B:$B,"&gt;="&amp;$L19,'📋 Despesas'!$B:$B,"&lt;"&amp;EDATE($L19,1),'📋 Despesas'!$E:$E,"*LUCRO*")</f>
        <v>0</v>
      </c>
      <c r="G19" s="532">
        <f>SUMIFS('📋 Despesas'!$J:$J,'📋 Despesas'!$B:$B,"&gt;="&amp;$L19,'📋 Despesas'!$B:$B,"&lt;"&amp;EDATE($L19,1))-C19-D19-E19-F19</f>
        <v>0</v>
      </c>
      <c r="H19" s="539">
        <f t="shared" si="1"/>
        <v>0</v>
      </c>
      <c r="I19" s="539">
        <f>SUM($H$4:H19)</f>
        <v>13786.73</v>
      </c>
      <c r="J19" s="539">
        <f>B19-C19-D19-E19-G19-Tabela2[[#This Row],[DL Pagos]]</f>
        <v>0</v>
      </c>
      <c r="K19" s="552">
        <f>SUM($J$4:J19)</f>
        <v>12126.73</v>
      </c>
      <c r="L19" s="534">
        <f t="shared" si="2"/>
        <v>46569</v>
      </c>
    </row>
    <row r="20" spans="1:12" ht="19.899999999999999" customHeight="1">
      <c r="A20" s="543" t="str">
        <f t="shared" si="0"/>
        <v>AGO/27</v>
      </c>
      <c r="B20" s="532">
        <f>IF(SUMIFS('💸  Receitas'!$G:$G,'💸  Receitas'!$A:$A,"&gt;="&amp;$L20,'💸  Receitas'!$A:$A,"&lt;"&amp;EDATE($L20,1),'💸  Receitas'!$E:$E,"FATURAMENTO")=0,SUMIFS('💸  Receitas'!$G:$G,'💸  Receitas'!$A:$A,"&gt;="&amp;$L20,'💸  Receitas'!$A:$A,"&lt;"&amp;EDATE($L20,1),'💸  Receitas'!$E:$E,"&lt;&gt;"),SUMIFS('💸  Receitas'!$G:$G,'💸  Receitas'!$A:$A,"&gt;="&amp;$L20,'💸  Receitas'!$A:$A,"&lt;"&amp;EDATE($L20,1),'💸  Receitas'!$E:$E,"FATURAMENTO"))</f>
        <v>0</v>
      </c>
      <c r="C20" s="532">
        <f>SUMIFS('📋 Despesas'!$J:$J,'📋 Despesas'!$B:$B,"&gt;="&amp;$L20,'📋 Despesas'!$B:$B,"&lt;"&amp;EDATE($L20,1),'📋 Despesas'!$E:$E,"*INSS*")</f>
        <v>0</v>
      </c>
      <c r="D20" s="532">
        <f>SUMIFS('📋 Despesas'!$J:$J,'📋 Despesas'!$B:$B,"&gt;="&amp;$L20,'📋 Despesas'!$B:$B,"&lt;"&amp;EDATE($L20,1),'📋 Despesas'!$E:$E,"*PROLABORE*")+SUMIFS('📋 Despesas'!$J:$J,'📋 Despesas'!$B:$B,"&gt;="&amp;$L20,'📋 Despesas'!$B:$B,"&lt;"&amp;EDATE($L20,1),'📋 Despesas'!$E:$E,"*PRÓ-LABORE*")</f>
        <v>0</v>
      </c>
      <c r="E20" s="532">
        <f>SUMIFS('📋 Despesas'!$J:$J,'📋 Despesas'!$B:$B,"&gt;="&amp;$L20,'📋 Despesas'!$B:$B,"&lt;"&amp;EDATE($L20,1),'📋 Despesas'!$E:$E,"*DAS*")</f>
        <v>0</v>
      </c>
      <c r="F20" s="532">
        <f>SUMIFS('📋 Despesas'!$J:$J,'📋 Despesas'!$B:$B,"&gt;="&amp;$L20,'📋 Despesas'!$B:$B,"&lt;"&amp;EDATE($L20,1),'📋 Despesas'!$E:$E,"*LUCRO*")</f>
        <v>0</v>
      </c>
      <c r="G20" s="532">
        <f>SUMIFS('📋 Despesas'!$J:$J,'📋 Despesas'!$B:$B,"&gt;="&amp;$L20,'📋 Despesas'!$B:$B,"&lt;"&amp;EDATE($L20,1))-C20-D20-E20-F20</f>
        <v>0</v>
      </c>
      <c r="H20" s="539">
        <f t="shared" si="1"/>
        <v>0</v>
      </c>
      <c r="I20" s="539">
        <f>SUM($H$4:H20)</f>
        <v>13786.73</v>
      </c>
      <c r="J20" s="539">
        <f>B20-C20-D20-E20-G20-Tabela2[[#This Row],[DL Pagos]]</f>
        <v>0</v>
      </c>
      <c r="K20" s="552">
        <f>SUM($J$4:J20)</f>
        <v>12126.73</v>
      </c>
      <c r="L20" s="534">
        <f t="shared" si="2"/>
        <v>46600</v>
      </c>
    </row>
    <row r="21" spans="1:12" ht="19.899999999999999" customHeight="1">
      <c r="A21" s="543" t="str">
        <f t="shared" si="0"/>
        <v>SET/27</v>
      </c>
      <c r="B21" s="532">
        <f>IF(SUMIFS('💸  Receitas'!$G:$G,'💸  Receitas'!$A:$A,"&gt;="&amp;$L21,'💸  Receitas'!$A:$A,"&lt;"&amp;EDATE($L21,1),'💸  Receitas'!$E:$E,"FATURAMENTO")=0,SUMIFS('💸  Receitas'!$G:$G,'💸  Receitas'!$A:$A,"&gt;="&amp;$L21,'💸  Receitas'!$A:$A,"&lt;"&amp;EDATE($L21,1),'💸  Receitas'!$E:$E,"&lt;&gt;"),SUMIFS('💸  Receitas'!$G:$G,'💸  Receitas'!$A:$A,"&gt;="&amp;$L21,'💸  Receitas'!$A:$A,"&lt;"&amp;EDATE($L21,1),'💸  Receitas'!$E:$E,"FATURAMENTO"))</f>
        <v>0</v>
      </c>
      <c r="C21" s="532">
        <f>SUMIFS('📋 Despesas'!$J:$J,'📋 Despesas'!$B:$B,"&gt;="&amp;$L21,'📋 Despesas'!$B:$B,"&lt;"&amp;EDATE($L21,1),'📋 Despesas'!$E:$E,"*INSS*")</f>
        <v>0</v>
      </c>
      <c r="D21" s="532">
        <f>SUMIFS('📋 Despesas'!$J:$J,'📋 Despesas'!$B:$B,"&gt;="&amp;$L21,'📋 Despesas'!$B:$B,"&lt;"&amp;EDATE($L21,1),'📋 Despesas'!$E:$E,"*PROLABORE*")+SUMIFS('📋 Despesas'!$J:$J,'📋 Despesas'!$B:$B,"&gt;="&amp;$L21,'📋 Despesas'!$B:$B,"&lt;"&amp;EDATE($L21,1),'📋 Despesas'!$E:$E,"*PRÓ-LABORE*")</f>
        <v>0</v>
      </c>
      <c r="E21" s="532">
        <f>SUMIFS('📋 Despesas'!$J:$J,'📋 Despesas'!$B:$B,"&gt;="&amp;$L21,'📋 Despesas'!$B:$B,"&lt;"&amp;EDATE($L21,1),'📋 Despesas'!$E:$E,"*DAS*")</f>
        <v>0</v>
      </c>
      <c r="F21" s="532">
        <f>SUMIFS('📋 Despesas'!$J:$J,'📋 Despesas'!$B:$B,"&gt;="&amp;$L21,'📋 Despesas'!$B:$B,"&lt;"&amp;EDATE($L21,1),'📋 Despesas'!$E:$E,"*LUCRO*")</f>
        <v>0</v>
      </c>
      <c r="G21" s="532">
        <f>SUMIFS('📋 Despesas'!$J:$J,'📋 Despesas'!$B:$B,"&gt;="&amp;$L21,'📋 Despesas'!$B:$B,"&lt;"&amp;EDATE($L21,1))-C21-D21-E21-F21</f>
        <v>0</v>
      </c>
      <c r="H21" s="539">
        <f t="shared" si="1"/>
        <v>0</v>
      </c>
      <c r="I21" s="539">
        <f>SUM($H$4:H21)</f>
        <v>13786.73</v>
      </c>
      <c r="J21" s="539">
        <f>B21-C21-D21-E21-G21-Tabela2[[#This Row],[DL Pagos]]</f>
        <v>0</v>
      </c>
      <c r="K21" s="552">
        <f>SUM($J$4:J21)</f>
        <v>12126.73</v>
      </c>
      <c r="L21" s="534">
        <f t="shared" si="2"/>
        <v>46631</v>
      </c>
    </row>
    <row r="22" spans="1:12" ht="19.899999999999999" customHeight="1">
      <c r="A22" s="543" t="str">
        <f t="shared" si="0"/>
        <v>OUT/27</v>
      </c>
      <c r="B22" s="532">
        <f>IF(SUMIFS('💸  Receitas'!$G:$G,'💸  Receitas'!$A:$A,"&gt;="&amp;$L22,'💸  Receitas'!$A:$A,"&lt;"&amp;EDATE($L22,1),'💸  Receitas'!$E:$E,"FATURAMENTO")=0,SUMIFS('💸  Receitas'!$G:$G,'💸  Receitas'!$A:$A,"&gt;="&amp;$L22,'💸  Receitas'!$A:$A,"&lt;"&amp;EDATE($L22,1),'💸  Receitas'!$E:$E,"&lt;&gt;"),SUMIFS('💸  Receitas'!$G:$G,'💸  Receitas'!$A:$A,"&gt;="&amp;$L22,'💸  Receitas'!$A:$A,"&lt;"&amp;EDATE($L22,1),'💸  Receitas'!$E:$E,"FATURAMENTO"))</f>
        <v>0</v>
      </c>
      <c r="C22" s="532">
        <f>SUMIFS('📋 Despesas'!$J:$J,'📋 Despesas'!$B:$B,"&gt;="&amp;$L22,'📋 Despesas'!$B:$B,"&lt;"&amp;EDATE($L22,1),'📋 Despesas'!$E:$E,"*INSS*")</f>
        <v>0</v>
      </c>
      <c r="D22" s="532">
        <f>SUMIFS('📋 Despesas'!$J:$J,'📋 Despesas'!$B:$B,"&gt;="&amp;$L22,'📋 Despesas'!$B:$B,"&lt;"&amp;EDATE($L22,1),'📋 Despesas'!$E:$E,"*PROLABORE*")+SUMIFS('📋 Despesas'!$J:$J,'📋 Despesas'!$B:$B,"&gt;="&amp;$L22,'📋 Despesas'!$B:$B,"&lt;"&amp;EDATE($L22,1),'📋 Despesas'!$E:$E,"*PRÓ-LABORE*")</f>
        <v>0</v>
      </c>
      <c r="E22" s="532">
        <f>SUMIFS('📋 Despesas'!$J:$J,'📋 Despesas'!$B:$B,"&gt;="&amp;$L22,'📋 Despesas'!$B:$B,"&lt;"&amp;EDATE($L22,1),'📋 Despesas'!$E:$E,"*DAS*")</f>
        <v>0</v>
      </c>
      <c r="F22" s="532">
        <f>SUMIFS('📋 Despesas'!$J:$J,'📋 Despesas'!$B:$B,"&gt;="&amp;$L22,'📋 Despesas'!$B:$B,"&lt;"&amp;EDATE($L22,1),'📋 Despesas'!$E:$E,"*LUCRO*")</f>
        <v>0</v>
      </c>
      <c r="G22" s="532">
        <f>SUMIFS('📋 Despesas'!$J:$J,'📋 Despesas'!$B:$B,"&gt;="&amp;$L22,'📋 Despesas'!$B:$B,"&lt;"&amp;EDATE($L22,1))-C22-D22-E22-F22</f>
        <v>0</v>
      </c>
      <c r="H22" s="539">
        <f t="shared" si="1"/>
        <v>0</v>
      </c>
      <c r="I22" s="539">
        <f>SUM($H$4:H22)</f>
        <v>13786.73</v>
      </c>
      <c r="J22" s="539">
        <f>B22-C22-D22-E22-G22-Tabela2[[#This Row],[DL Pagos]]</f>
        <v>0</v>
      </c>
      <c r="K22" s="552">
        <f>SUM($J$4:J22)</f>
        <v>12126.73</v>
      </c>
      <c r="L22" s="534">
        <f t="shared" si="2"/>
        <v>46661</v>
      </c>
    </row>
    <row r="23" spans="1:12" ht="19.899999999999999" customHeight="1">
      <c r="A23" s="543" t="str">
        <f t="shared" si="0"/>
        <v>NOV/27</v>
      </c>
      <c r="B23" s="532">
        <f>IF(SUMIFS('💸  Receitas'!$G:$G,'💸  Receitas'!$A:$A,"&gt;="&amp;$L23,'💸  Receitas'!$A:$A,"&lt;"&amp;EDATE($L23,1),'💸  Receitas'!$E:$E,"FATURAMENTO")=0,SUMIFS('💸  Receitas'!$G:$G,'💸  Receitas'!$A:$A,"&gt;="&amp;$L23,'💸  Receitas'!$A:$A,"&lt;"&amp;EDATE($L23,1),'💸  Receitas'!$E:$E,"&lt;&gt;"),SUMIFS('💸  Receitas'!$G:$G,'💸  Receitas'!$A:$A,"&gt;="&amp;$L23,'💸  Receitas'!$A:$A,"&lt;"&amp;EDATE($L23,1),'💸  Receitas'!$E:$E,"FATURAMENTO"))</f>
        <v>0</v>
      </c>
      <c r="C23" s="532">
        <f>SUMIFS('📋 Despesas'!$J:$J,'📋 Despesas'!$B:$B,"&gt;="&amp;$L23,'📋 Despesas'!$B:$B,"&lt;"&amp;EDATE($L23,1),'📋 Despesas'!$E:$E,"*INSS*")</f>
        <v>0</v>
      </c>
      <c r="D23" s="532">
        <f>SUMIFS('📋 Despesas'!$J:$J,'📋 Despesas'!$B:$B,"&gt;="&amp;$L23,'📋 Despesas'!$B:$B,"&lt;"&amp;EDATE($L23,1),'📋 Despesas'!$E:$E,"*PROLABORE*")+SUMIFS('📋 Despesas'!$J:$J,'📋 Despesas'!$B:$B,"&gt;="&amp;$L23,'📋 Despesas'!$B:$B,"&lt;"&amp;EDATE($L23,1),'📋 Despesas'!$E:$E,"*PRÓ-LABORE*")</f>
        <v>0</v>
      </c>
      <c r="E23" s="532">
        <f>SUMIFS('📋 Despesas'!$J:$J,'📋 Despesas'!$B:$B,"&gt;="&amp;$L23,'📋 Despesas'!$B:$B,"&lt;"&amp;EDATE($L23,1),'📋 Despesas'!$E:$E,"*DAS*")</f>
        <v>0</v>
      </c>
      <c r="F23" s="532">
        <f>SUMIFS('📋 Despesas'!$J:$J,'📋 Despesas'!$B:$B,"&gt;="&amp;$L23,'📋 Despesas'!$B:$B,"&lt;"&amp;EDATE($L23,1),'📋 Despesas'!$E:$E,"*LUCRO*")</f>
        <v>0</v>
      </c>
      <c r="G23" s="532">
        <f>SUMIFS('📋 Despesas'!$J:$J,'📋 Despesas'!$B:$B,"&gt;="&amp;$L23,'📋 Despesas'!$B:$B,"&lt;"&amp;EDATE($L23,1))-C23-D23-E23-F23</f>
        <v>0</v>
      </c>
      <c r="H23" s="539">
        <f t="shared" si="1"/>
        <v>0</v>
      </c>
      <c r="I23" s="539">
        <f>SUM($H$4:H23)</f>
        <v>13786.73</v>
      </c>
      <c r="J23" s="539">
        <f>B23-C23-D23-E23-G23-Tabela2[[#This Row],[DL Pagos]]</f>
        <v>0</v>
      </c>
      <c r="K23" s="552">
        <f>SUM($J$4:J23)</f>
        <v>12126.73</v>
      </c>
      <c r="L23" s="534">
        <f t="shared" si="2"/>
        <v>46692</v>
      </c>
    </row>
    <row r="24" spans="1:12" ht="19.899999999999999" customHeight="1">
      <c r="A24" s="543" t="str">
        <f t="shared" si="0"/>
        <v>DEZ/27</v>
      </c>
      <c r="B24" s="532">
        <f>IF(SUMIFS('💸  Receitas'!$G:$G,'💸  Receitas'!$A:$A,"&gt;="&amp;$L24,'💸  Receitas'!$A:$A,"&lt;"&amp;EDATE($L24,1),'💸  Receitas'!$E:$E,"FATURAMENTO")=0,SUMIFS('💸  Receitas'!$G:$G,'💸  Receitas'!$A:$A,"&gt;="&amp;$L24,'💸  Receitas'!$A:$A,"&lt;"&amp;EDATE($L24,1),'💸  Receitas'!$E:$E,"&lt;&gt;"),SUMIFS('💸  Receitas'!$G:$G,'💸  Receitas'!$A:$A,"&gt;="&amp;$L24,'💸  Receitas'!$A:$A,"&lt;"&amp;EDATE($L24,1),'💸  Receitas'!$E:$E,"FATURAMENTO"))</f>
        <v>0</v>
      </c>
      <c r="C24" s="532">
        <f>SUMIFS('📋 Despesas'!$J:$J,'📋 Despesas'!$B:$B,"&gt;="&amp;$L24,'📋 Despesas'!$B:$B,"&lt;"&amp;EDATE($L24,1),'📋 Despesas'!$E:$E,"*INSS*")</f>
        <v>0</v>
      </c>
      <c r="D24" s="532">
        <f>SUMIFS('📋 Despesas'!$J:$J,'📋 Despesas'!$B:$B,"&gt;="&amp;$L24,'📋 Despesas'!$B:$B,"&lt;"&amp;EDATE($L24,1),'📋 Despesas'!$E:$E,"*PROLABORE*")+SUMIFS('📋 Despesas'!$J:$J,'📋 Despesas'!$B:$B,"&gt;="&amp;$L24,'📋 Despesas'!$B:$B,"&lt;"&amp;EDATE($L24,1),'📋 Despesas'!$E:$E,"*PRÓ-LABORE*")</f>
        <v>0</v>
      </c>
      <c r="E24" s="532">
        <f>SUMIFS('📋 Despesas'!$J:$J,'📋 Despesas'!$B:$B,"&gt;="&amp;$L24,'📋 Despesas'!$B:$B,"&lt;"&amp;EDATE($L24,1),'📋 Despesas'!$E:$E,"*DAS*")</f>
        <v>0</v>
      </c>
      <c r="F24" s="532">
        <f>SUMIFS('📋 Despesas'!$J:$J,'📋 Despesas'!$B:$B,"&gt;="&amp;$L24,'📋 Despesas'!$B:$B,"&lt;"&amp;EDATE($L24,1),'📋 Despesas'!$E:$E,"*LUCRO*")</f>
        <v>0</v>
      </c>
      <c r="G24" s="532">
        <f>SUMIFS('📋 Despesas'!$J:$J,'📋 Despesas'!$B:$B,"&gt;="&amp;$L24,'📋 Despesas'!$B:$B,"&lt;"&amp;EDATE($L24,1))-C24-D24-E24-F24</f>
        <v>0</v>
      </c>
      <c r="H24" s="539">
        <f t="shared" si="1"/>
        <v>0</v>
      </c>
      <c r="I24" s="539">
        <f>SUM($H$4:H24)</f>
        <v>13786.73</v>
      </c>
      <c r="J24" s="539">
        <f>B24-C24-D24-E24-G24-Tabela2[[#This Row],[DL Pagos]]</f>
        <v>0</v>
      </c>
      <c r="K24" s="552">
        <f>SUM($J$4:J24)</f>
        <v>12126.73</v>
      </c>
      <c r="L24" s="534">
        <f t="shared" si="2"/>
        <v>46722</v>
      </c>
    </row>
    <row r="25" spans="1:12" ht="19.899999999999999" customHeight="1">
      <c r="A25" s="543" t="str">
        <f t="shared" si="0"/>
        <v>JAN/28</v>
      </c>
      <c r="B25" s="532">
        <f>IF(SUMIFS('💸  Receitas'!$G:$G,'💸  Receitas'!$A:$A,"&gt;="&amp;$L25,'💸  Receitas'!$A:$A,"&lt;"&amp;EDATE($L25,1),'💸  Receitas'!$E:$E,"FATURAMENTO")=0,SUMIFS('💸  Receitas'!$G:$G,'💸  Receitas'!$A:$A,"&gt;="&amp;$L25,'💸  Receitas'!$A:$A,"&lt;"&amp;EDATE($L25,1),'💸  Receitas'!$E:$E,"&lt;&gt;"),SUMIFS('💸  Receitas'!$G:$G,'💸  Receitas'!$A:$A,"&gt;="&amp;$L25,'💸  Receitas'!$A:$A,"&lt;"&amp;EDATE($L25,1),'💸  Receitas'!$E:$E,"FATURAMENTO"))</f>
        <v>0</v>
      </c>
      <c r="C25" s="532">
        <f>SUMIFS('📋 Despesas'!$J:$J,'📋 Despesas'!$B:$B,"&gt;="&amp;$L25,'📋 Despesas'!$B:$B,"&lt;"&amp;EDATE($L25,1),'📋 Despesas'!$E:$E,"*INSS*")</f>
        <v>0</v>
      </c>
      <c r="D25" s="532">
        <f>SUMIFS('📋 Despesas'!$J:$J,'📋 Despesas'!$B:$B,"&gt;="&amp;$L25,'📋 Despesas'!$B:$B,"&lt;"&amp;EDATE($L25,1),'📋 Despesas'!$E:$E,"*PROLABORE*")+SUMIFS('📋 Despesas'!$J:$J,'📋 Despesas'!$B:$B,"&gt;="&amp;$L25,'📋 Despesas'!$B:$B,"&lt;"&amp;EDATE($L25,1),'📋 Despesas'!$E:$E,"*PRÓ-LABORE*")</f>
        <v>0</v>
      </c>
      <c r="E25" s="532">
        <f>SUMIFS('📋 Despesas'!$J:$J,'📋 Despesas'!$B:$B,"&gt;="&amp;$L25,'📋 Despesas'!$B:$B,"&lt;"&amp;EDATE($L25,1),'📋 Despesas'!$E:$E,"*DAS*")</f>
        <v>0</v>
      </c>
      <c r="F25" s="532">
        <f>SUMIFS('📋 Despesas'!$J:$J,'📋 Despesas'!$B:$B,"&gt;="&amp;$L25,'📋 Despesas'!$B:$B,"&lt;"&amp;EDATE($L25,1),'📋 Despesas'!$E:$E,"*LUCRO*")</f>
        <v>0</v>
      </c>
      <c r="G25" s="532">
        <f>SUMIFS('📋 Despesas'!$J:$J,'📋 Despesas'!$B:$B,"&gt;="&amp;$L25,'📋 Despesas'!$B:$B,"&lt;"&amp;EDATE($L25,1))-C25-D25-E25-F25</f>
        <v>0</v>
      </c>
      <c r="H25" s="539">
        <f t="shared" si="1"/>
        <v>0</v>
      </c>
      <c r="I25" s="539">
        <f>SUM($H$4:H25)</f>
        <v>13786.73</v>
      </c>
      <c r="J25" s="539">
        <f>B25-C25-D25-E25-G25-Tabela2[[#This Row],[DL Pagos]]</f>
        <v>0</v>
      </c>
      <c r="K25" s="552">
        <f>SUM($J$4:J25)</f>
        <v>12126.73</v>
      </c>
      <c r="L25" s="534">
        <f t="shared" si="2"/>
        <v>46753</v>
      </c>
    </row>
    <row r="26" spans="1:12" ht="19.899999999999999" customHeight="1">
      <c r="A26" s="543" t="str">
        <f t="shared" si="0"/>
        <v>FEV/28</v>
      </c>
      <c r="B26" s="532">
        <f>IF(SUMIFS('💸  Receitas'!$G:$G,'💸  Receitas'!$A:$A,"&gt;="&amp;$L26,'💸  Receitas'!$A:$A,"&lt;"&amp;EDATE($L26,1),'💸  Receitas'!$E:$E,"FATURAMENTO")=0,SUMIFS('💸  Receitas'!$G:$G,'💸  Receitas'!$A:$A,"&gt;="&amp;$L26,'💸  Receitas'!$A:$A,"&lt;"&amp;EDATE($L26,1),'💸  Receitas'!$E:$E,"&lt;&gt;"),SUMIFS('💸  Receitas'!$G:$G,'💸  Receitas'!$A:$A,"&gt;="&amp;$L26,'💸  Receitas'!$A:$A,"&lt;"&amp;EDATE($L26,1),'💸  Receitas'!$E:$E,"FATURAMENTO"))</f>
        <v>0</v>
      </c>
      <c r="C26" s="532">
        <f>SUMIFS('📋 Despesas'!$J:$J,'📋 Despesas'!$B:$B,"&gt;="&amp;$L26,'📋 Despesas'!$B:$B,"&lt;"&amp;EDATE($L26,1),'📋 Despesas'!$E:$E,"*INSS*")</f>
        <v>0</v>
      </c>
      <c r="D26" s="532">
        <f>SUMIFS('📋 Despesas'!$J:$J,'📋 Despesas'!$B:$B,"&gt;="&amp;$L26,'📋 Despesas'!$B:$B,"&lt;"&amp;EDATE($L26,1),'📋 Despesas'!$E:$E,"*PROLABORE*")+SUMIFS('📋 Despesas'!$J:$J,'📋 Despesas'!$B:$B,"&gt;="&amp;$L26,'📋 Despesas'!$B:$B,"&lt;"&amp;EDATE($L26,1),'📋 Despesas'!$E:$E,"*PRÓ-LABORE*")</f>
        <v>0</v>
      </c>
      <c r="E26" s="532">
        <f>SUMIFS('📋 Despesas'!$J:$J,'📋 Despesas'!$B:$B,"&gt;="&amp;$L26,'📋 Despesas'!$B:$B,"&lt;"&amp;EDATE($L26,1),'📋 Despesas'!$E:$E,"*DAS*")</f>
        <v>0</v>
      </c>
      <c r="F26" s="532">
        <f>SUMIFS('📋 Despesas'!$J:$J,'📋 Despesas'!$B:$B,"&gt;="&amp;$L26,'📋 Despesas'!$B:$B,"&lt;"&amp;EDATE($L26,1),'📋 Despesas'!$E:$E,"*LUCRO*")</f>
        <v>0</v>
      </c>
      <c r="G26" s="532">
        <f>SUMIFS('📋 Despesas'!$J:$J,'📋 Despesas'!$B:$B,"&gt;="&amp;$L26,'📋 Despesas'!$B:$B,"&lt;"&amp;EDATE($L26,1))-C26-D26-E26-F26</f>
        <v>0</v>
      </c>
      <c r="H26" s="539">
        <f t="shared" si="1"/>
        <v>0</v>
      </c>
      <c r="I26" s="539">
        <f>SUM($H$4:H26)</f>
        <v>13786.73</v>
      </c>
      <c r="J26" s="539">
        <f>B26-C26-D26-E26-G26-Tabela2[[#This Row],[DL Pagos]]</f>
        <v>0</v>
      </c>
      <c r="K26" s="552">
        <f>SUM($J$4:J26)</f>
        <v>12126.73</v>
      </c>
      <c r="L26" s="534">
        <f t="shared" si="2"/>
        <v>46784</v>
      </c>
    </row>
    <row r="27" spans="1:12" ht="19.899999999999999" customHeight="1">
      <c r="A27" s="543" t="str">
        <f t="shared" si="0"/>
        <v>MAR/28</v>
      </c>
      <c r="B27" s="536">
        <f>IF(SUMIFS('💸  Receitas'!$G:$G,'💸  Receitas'!$A:$A,"&gt;="&amp;$L27,'💸  Receitas'!$A:$A,"&lt;"&amp;EDATE($L27,1),'💸  Receitas'!$E:$E,"FATURAMENTO")=0,SUMIFS('💸  Receitas'!$G:$G,'💸  Receitas'!$A:$A,"&gt;="&amp;$L27,'💸  Receitas'!$A:$A,"&lt;"&amp;EDATE($L27,1),'💸  Receitas'!$E:$E,"&lt;&gt;"),SUMIFS('💸  Receitas'!$G:$G,'💸  Receitas'!$A:$A,"&gt;="&amp;$L27,'💸  Receitas'!$A:$A,"&lt;"&amp;EDATE($L27,1),'💸  Receitas'!$E:$E,"FATURAMENTO"))</f>
        <v>0</v>
      </c>
      <c r="C27" s="536">
        <f>SUMIFS('📋 Despesas'!$J:$J,'📋 Despesas'!$B:$B,"&gt;="&amp;$L27,'📋 Despesas'!$B:$B,"&lt;"&amp;EDATE($L27,1),'📋 Despesas'!$E:$E,"*INSS*")</f>
        <v>0</v>
      </c>
      <c r="D27" s="536">
        <f>SUMIFS('📋 Despesas'!$J:$J,'📋 Despesas'!$B:$B,"&gt;="&amp;$L27,'📋 Despesas'!$B:$B,"&lt;"&amp;EDATE($L27,1),'📋 Despesas'!$E:$E,"*PROLABORE*")+SUMIFS('📋 Despesas'!$J:$J,'📋 Despesas'!$B:$B,"&gt;="&amp;$L27,'📋 Despesas'!$B:$B,"&lt;"&amp;EDATE($L27,1),'📋 Despesas'!$E:$E,"*PRÓ-LABORE*")</f>
        <v>0</v>
      </c>
      <c r="E27" s="536">
        <f>SUMIFS('📋 Despesas'!$J:$J,'📋 Despesas'!$B:$B,"&gt;="&amp;$L27,'📋 Despesas'!$B:$B,"&lt;"&amp;EDATE($L27,1),'📋 Despesas'!$E:$E,"*DAS*")</f>
        <v>0</v>
      </c>
      <c r="F27" s="536">
        <f>SUMIFS('📋 Despesas'!$J:$J,'📋 Despesas'!$B:$B,"&gt;="&amp;$L27,'📋 Despesas'!$B:$B,"&lt;"&amp;EDATE($L27,1),'📋 Despesas'!$E:$E,"*LUCRO*")</f>
        <v>0</v>
      </c>
      <c r="G27" s="532">
        <f>SUMIFS('📋 Despesas'!$J:$J,'📋 Despesas'!$B:$B,"&gt;="&amp;$L27,'📋 Despesas'!$B:$B,"&lt;"&amp;EDATE($L27,1))-C27-D27-E27-F27</f>
        <v>0</v>
      </c>
      <c r="H27" s="540">
        <f t="shared" si="1"/>
        <v>0</v>
      </c>
      <c r="I27" s="540">
        <f>SUM($H$4:H27)</f>
        <v>13786.73</v>
      </c>
      <c r="J27" s="540">
        <f>B27-C27-D27-E27-G27-Tabela2[[#This Row],[DL Pagos]]</f>
        <v>0</v>
      </c>
      <c r="K27" s="553">
        <f>SUM($J$4:J27)</f>
        <v>12126.73</v>
      </c>
      <c r="L27" s="534">
        <f t="shared" si="2"/>
        <v>46813</v>
      </c>
    </row>
    <row r="29" spans="1:12" ht="22.15" customHeight="1">
      <c r="A29" s="542" t="s">
        <v>4</v>
      </c>
      <c r="B29" s="542">
        <f t="shared" ref="B29:J29" si="3">SUM(B4:B27)</f>
        <v>40000</v>
      </c>
      <c r="C29" s="542">
        <f t="shared" si="3"/>
        <v>1852.44</v>
      </c>
      <c r="D29" s="542">
        <f t="shared" si="3"/>
        <v>14863</v>
      </c>
      <c r="E29" s="542">
        <f t="shared" si="3"/>
        <v>2400</v>
      </c>
      <c r="F29" s="542"/>
      <c r="G29" s="542">
        <f t="shared" si="3"/>
        <v>7097.83</v>
      </c>
      <c r="H29" s="542"/>
      <c r="I29" s="542"/>
      <c r="J29" s="542">
        <f t="shared" si="3"/>
        <v>12126.73</v>
      </c>
      <c r="K29" s="542"/>
      <c r="L29" s="533" t="s">
        <v>97</v>
      </c>
    </row>
  </sheetData>
  <mergeCells count="3">
    <mergeCell ref="A1:K1"/>
    <mergeCell ref="J2:K2"/>
    <mergeCell ref="H2:I2"/>
  </mergeCells>
  <conditionalFormatting sqref="A4:K27">
    <cfRule type="expression" dxfId="9" priority="5">
      <formula>$K4&gt;0</formula>
    </cfRule>
  </conditionalFormatting>
  <conditionalFormatting sqref="I4:I27">
    <cfRule type="cellIs" dxfId="8" priority="2" operator="lessThan">
      <formula>0</formula>
    </cfRule>
    <cfRule type="cellIs" dxfId="7" priority="3" operator="equal">
      <formula>0</formula>
    </cfRule>
  </conditionalFormatting>
  <conditionalFormatting sqref="K4:K27">
    <cfRule type="cellIs" dxfId="6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75"/>
  <cols>
    <col min="7" max="7" width="10.5" bestFit="1" customWidth="1"/>
    <col min="12" max="12" width="13.5" customWidth="1"/>
    <col min="13" max="13" width="10.75" customWidth="1"/>
  </cols>
  <sheetData>
    <row r="2" spans="2:14">
      <c r="G2" s="193" t="s">
        <v>202</v>
      </c>
    </row>
    <row r="3" spans="2:14">
      <c r="B3" s="193" t="s">
        <v>29</v>
      </c>
      <c r="D3" s="193" t="s">
        <v>28</v>
      </c>
      <c r="E3" s="193" t="s">
        <v>115</v>
      </c>
      <c r="G3" s="220">
        <v>46082</v>
      </c>
      <c r="I3" s="193" t="s">
        <v>190</v>
      </c>
      <c r="J3" s="193" t="s">
        <v>191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116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117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118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25" defaultRowHeight="15" customHeight="1"/>
  <cols>
    <col min="1" max="1" width="2.25" customWidth="1"/>
    <col min="2" max="2" width="16.25" customWidth="1"/>
    <col min="3" max="4" width="22.625" customWidth="1"/>
    <col min="5" max="5" width="16.25" customWidth="1"/>
    <col min="6" max="6" width="13.125" customWidth="1"/>
    <col min="7" max="7" width="17.25" customWidth="1"/>
    <col min="8" max="8" width="18.625" customWidth="1"/>
    <col min="9" max="12" width="19.625" customWidth="1"/>
    <col min="13" max="13" width="20.75" customWidth="1"/>
    <col min="14" max="14" width="18.625" customWidth="1"/>
    <col min="15" max="16" width="3.25" customWidth="1"/>
    <col min="17" max="17" width="22.75" customWidth="1"/>
    <col min="18" max="18" width="15" customWidth="1"/>
    <col min="19" max="19" width="16.25" customWidth="1"/>
    <col min="20" max="20" width="16.5" customWidth="1"/>
    <col min="21" max="22" width="16.25" customWidth="1"/>
    <col min="23" max="23" width="4" customWidth="1"/>
    <col min="24" max="24" width="12.25" customWidth="1"/>
    <col min="25" max="25" width="19.25" customWidth="1"/>
  </cols>
  <sheetData>
    <row r="1" spans="1:27" ht="15.75">
      <c r="A1" s="260"/>
      <c r="B1" s="260"/>
      <c r="C1" s="261"/>
      <c r="D1" s="102"/>
      <c r="E1" s="102"/>
      <c r="F1" s="262"/>
      <c r="G1" s="260"/>
      <c r="H1" s="263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.75">
      <c r="A2" s="260"/>
      <c r="B2" s="98">
        <v>2024</v>
      </c>
      <c r="C2" s="99" t="s">
        <v>126</v>
      </c>
      <c r="D2" s="100" t="s">
        <v>127</v>
      </c>
      <c r="E2" s="101" t="s">
        <v>128</v>
      </c>
      <c r="F2" s="102"/>
      <c r="G2" s="103" t="s">
        <v>129</v>
      </c>
      <c r="H2" s="264" t="s">
        <v>4</v>
      </c>
      <c r="I2" s="104">
        <v>1</v>
      </c>
      <c r="J2" s="53"/>
      <c r="K2" s="105" t="str">
        <f>B3</f>
        <v>Setembro</v>
      </c>
      <c r="L2" s="106" t="s">
        <v>130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.75">
      <c r="A3" s="260"/>
      <c r="B3" s="98" t="s">
        <v>120</v>
      </c>
      <c r="C3" s="265" t="e">
        <f>SUMIFS(E19:E936,C19:C936,B3,B19:B936,B2)</f>
        <v>#REF!</v>
      </c>
      <c r="D3" s="265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131</v>
      </c>
      <c r="I3" s="266" t="s">
        <v>132</v>
      </c>
      <c r="J3" s="53"/>
      <c r="K3" s="112">
        <f>I11</f>
        <v>0.02</v>
      </c>
      <c r="L3" s="113" t="s">
        <v>133</v>
      </c>
      <c r="M3" s="114">
        <f>G10</f>
        <v>1</v>
      </c>
      <c r="N3" s="115">
        <f>G11</f>
        <v>0</v>
      </c>
      <c r="O3" s="102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102"/>
      <c r="AA3" s="102"/>
    </row>
    <row r="4" spans="1:27" ht="17.25" customHeight="1">
      <c r="A4" s="102"/>
      <c r="B4" s="116" t="s">
        <v>134</v>
      </c>
      <c r="C4" s="117" t="s">
        <v>135</v>
      </c>
      <c r="D4" s="117" t="s">
        <v>136</v>
      </c>
      <c r="E4" s="118" t="s">
        <v>137</v>
      </c>
      <c r="F4" s="102"/>
      <c r="G4" s="119" t="s">
        <v>138</v>
      </c>
      <c r="H4" s="120">
        <v>0.05</v>
      </c>
      <c r="I4" s="267">
        <v>0.35</v>
      </c>
      <c r="J4" s="53"/>
      <c r="K4" s="121" t="s">
        <v>139</v>
      </c>
      <c r="L4" s="122" t="s">
        <v>140</v>
      </c>
      <c r="M4" s="122" t="s">
        <v>141</v>
      </c>
      <c r="N4" s="123" t="s">
        <v>10</v>
      </c>
      <c r="O4" s="102"/>
      <c r="P4" s="364"/>
      <c r="Q4" s="124" t="s">
        <v>142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4"/>
      <c r="X4" s="364"/>
      <c r="Y4" s="364"/>
      <c r="Z4" s="102"/>
      <c r="AA4" s="102"/>
    </row>
    <row r="5" spans="1:27" ht="16.5" customHeight="1">
      <c r="A5" s="102"/>
      <c r="B5" s="130" t="s">
        <v>143</v>
      </c>
      <c r="C5" s="131" t="s">
        <v>144</v>
      </c>
      <c r="D5" s="131">
        <f>SUMIFS(I19:I936,B19:B936,B2,C19:C936,B3)</f>
        <v>0</v>
      </c>
      <c r="E5" s="268">
        <f t="shared" ref="E5:E8" si="0">$E$3-D5</f>
        <v>0</v>
      </c>
      <c r="F5" s="102"/>
      <c r="G5" s="119" t="s">
        <v>145</v>
      </c>
      <c r="H5" s="120">
        <v>0.03</v>
      </c>
      <c r="I5" s="267">
        <v>0.35</v>
      </c>
      <c r="J5" s="53"/>
      <c r="K5" s="132" t="s">
        <v>146</v>
      </c>
      <c r="L5" s="133" t="s">
        <v>147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4"/>
      <c r="Q5" s="269" t="str">
        <f>K2</f>
        <v>Setembro</v>
      </c>
      <c r="R5" s="136" t="s">
        <v>148</v>
      </c>
      <c r="S5" s="270" t="s">
        <v>149</v>
      </c>
      <c r="T5" s="271" t="s">
        <v>150</v>
      </c>
      <c r="U5" s="272" t="s">
        <v>151</v>
      </c>
      <c r="V5" s="273" t="s">
        <v>152</v>
      </c>
      <c r="W5" s="364"/>
      <c r="X5" s="589" t="s">
        <v>153</v>
      </c>
      <c r="Y5" s="590"/>
      <c r="Z5" s="102"/>
      <c r="AA5" s="102"/>
    </row>
    <row r="6" spans="1:27" ht="16.5" customHeight="1">
      <c r="A6" s="102"/>
      <c r="B6" s="137" t="s">
        <v>154</v>
      </c>
      <c r="C6" s="138" t="s">
        <v>155</v>
      </c>
      <c r="D6" s="138">
        <f>SUMIFS(J19:J936,B19:B936,B2,C19:C936,B3)</f>
        <v>0</v>
      </c>
      <c r="E6" s="274">
        <f t="shared" si="0"/>
        <v>0</v>
      </c>
      <c r="F6" s="102"/>
      <c r="G6" s="139" t="s">
        <v>156</v>
      </c>
      <c r="H6" s="140">
        <v>0.1</v>
      </c>
      <c r="I6" s="275">
        <v>0.3</v>
      </c>
      <c r="J6" s="53"/>
      <c r="K6" s="132" t="s">
        <v>157</v>
      </c>
      <c r="L6" s="133" t="s">
        <v>158</v>
      </c>
      <c r="M6" s="134">
        <f t="shared" si="1"/>
        <v>0</v>
      </c>
      <c r="N6" s="135">
        <f t="shared" si="2"/>
        <v>0</v>
      </c>
      <c r="O6" s="260"/>
      <c r="P6" s="276"/>
      <c r="Q6" s="277" t="s">
        <v>159</v>
      </c>
      <c r="R6" s="278"/>
      <c r="S6" s="279"/>
      <c r="T6" s="279"/>
      <c r="U6" s="279"/>
      <c r="V6" s="279"/>
      <c r="W6" s="276"/>
      <c r="X6" s="141">
        <v>14</v>
      </c>
      <c r="Y6" s="142" t="s">
        <v>160</v>
      </c>
      <c r="Z6" s="102"/>
      <c r="AA6" s="102"/>
    </row>
    <row r="7" spans="1:27" ht="16.5" customHeight="1">
      <c r="A7" s="102"/>
      <c r="B7" s="143" t="s">
        <v>161</v>
      </c>
      <c r="C7" s="144" t="s">
        <v>162</v>
      </c>
      <c r="D7" s="144">
        <f>SUMIFS(K19:K936,B19:B936,B2,C19:C936,B3)</f>
        <v>0</v>
      </c>
      <c r="E7" s="280">
        <f t="shared" si="0"/>
        <v>0</v>
      </c>
      <c r="F7" s="102"/>
      <c r="G7" s="53"/>
      <c r="H7" s="53"/>
      <c r="I7" s="53"/>
      <c r="J7" s="53"/>
      <c r="K7" s="132" t="s">
        <v>163</v>
      </c>
      <c r="L7" s="133" t="s">
        <v>164</v>
      </c>
      <c r="M7" s="134">
        <f t="shared" si="1"/>
        <v>0.22499999999999998</v>
      </c>
      <c r="N7" s="135">
        <f t="shared" si="2"/>
        <v>0</v>
      </c>
      <c r="O7" s="260"/>
      <c r="P7" s="276"/>
      <c r="Q7" s="277" t="s">
        <v>165</v>
      </c>
      <c r="R7" s="278"/>
      <c r="S7" s="279"/>
      <c r="T7" s="279"/>
      <c r="U7" s="279"/>
      <c r="V7" s="279"/>
      <c r="W7" s="276"/>
      <c r="X7" s="145">
        <f>R11</f>
        <v>0</v>
      </c>
      <c r="Y7" s="142" t="s">
        <v>166</v>
      </c>
      <c r="Z7" s="102"/>
      <c r="AA7" s="102"/>
    </row>
    <row r="8" spans="1:27" ht="16.5" customHeight="1">
      <c r="A8" s="102"/>
      <c r="B8" s="146" t="s">
        <v>167</v>
      </c>
      <c r="C8" s="147" t="s">
        <v>168</v>
      </c>
      <c r="D8" s="147">
        <f>SUMIFS(L19:L936,B19:B936,B2,C19:C936,B3)</f>
        <v>0</v>
      </c>
      <c r="E8" s="281">
        <f t="shared" si="0"/>
        <v>0</v>
      </c>
      <c r="F8" s="102"/>
      <c r="G8" s="102"/>
      <c r="H8" s="53"/>
      <c r="I8" s="260"/>
      <c r="J8" s="53"/>
      <c r="K8" s="132" t="s">
        <v>163</v>
      </c>
      <c r="L8" s="133" t="s">
        <v>169</v>
      </c>
      <c r="M8" s="134">
        <f t="shared" si="1"/>
        <v>0.22499999999999998</v>
      </c>
      <c r="N8" s="135">
        <f t="shared" si="2"/>
        <v>0</v>
      </c>
      <c r="O8" s="260"/>
      <c r="P8" s="276"/>
      <c r="Q8" s="277" t="s">
        <v>170</v>
      </c>
      <c r="R8" s="278"/>
      <c r="S8" s="279"/>
      <c r="T8" s="279"/>
      <c r="U8" s="279"/>
      <c r="V8" s="279"/>
      <c r="W8" s="276"/>
      <c r="X8" s="145">
        <f>X7/X6</f>
        <v>0</v>
      </c>
      <c r="Y8" s="142" t="s">
        <v>171</v>
      </c>
      <c r="Z8" s="102"/>
      <c r="AA8" s="102"/>
    </row>
    <row r="9" spans="1:27" ht="15.75">
      <c r="A9" s="102"/>
      <c r="B9" s="102"/>
      <c r="C9" s="263"/>
      <c r="D9" s="102"/>
      <c r="E9" s="102"/>
      <c r="F9" s="102"/>
      <c r="G9" s="102"/>
      <c r="H9" s="53"/>
      <c r="I9" s="260"/>
      <c r="J9" s="53"/>
      <c r="K9" s="132"/>
      <c r="L9" s="133"/>
      <c r="M9" s="134"/>
      <c r="N9" s="135"/>
      <c r="O9" s="260"/>
      <c r="P9" s="276"/>
      <c r="Q9" s="277" t="s">
        <v>172</v>
      </c>
      <c r="R9" s="278"/>
      <c r="S9" s="279"/>
      <c r="T9" s="279"/>
      <c r="U9" s="279"/>
      <c r="V9" s="279"/>
      <c r="W9" s="276"/>
      <c r="X9" s="148">
        <v>26</v>
      </c>
      <c r="Y9" s="142" t="s">
        <v>173</v>
      </c>
      <c r="Z9" s="102"/>
      <c r="AA9" s="102"/>
    </row>
    <row r="10" spans="1:27" ht="18.75">
      <c r="A10" s="102"/>
      <c r="B10" s="591" t="s">
        <v>174</v>
      </c>
      <c r="C10" s="592"/>
      <c r="D10" s="592"/>
      <c r="E10" s="592"/>
      <c r="F10" s="149">
        <v>1</v>
      </c>
      <c r="G10" s="282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0"/>
      <c r="P10" s="276"/>
      <c r="Q10" s="277" t="s">
        <v>175</v>
      </c>
      <c r="R10" s="278"/>
      <c r="S10" s="279"/>
      <c r="T10" s="279"/>
      <c r="U10" s="279"/>
      <c r="V10" s="279"/>
      <c r="W10" s="364"/>
      <c r="X10" s="151">
        <f>X9*X8</f>
        <v>0</v>
      </c>
      <c r="Y10" s="152" t="s">
        <v>153</v>
      </c>
      <c r="Z10" s="102"/>
      <c r="AA10" s="102"/>
    </row>
    <row r="11" spans="1:27" ht="18.75">
      <c r="A11" s="102"/>
      <c r="B11" s="283" t="s">
        <v>176</v>
      </c>
      <c r="C11" s="284" t="s">
        <v>177</v>
      </c>
      <c r="D11" s="153" t="s">
        <v>178</v>
      </c>
      <c r="E11" s="154" t="s">
        <v>179</v>
      </c>
      <c r="F11" s="155">
        <f>E3*I11</f>
        <v>0</v>
      </c>
      <c r="G11" s="285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4"/>
      <c r="Q11" s="286" t="s">
        <v>180</v>
      </c>
      <c r="R11" s="157">
        <f>I34</f>
        <v>0</v>
      </c>
      <c r="S11" s="287">
        <f t="shared" ref="S11:V11" si="3">$R$11-S4</f>
        <v>0</v>
      </c>
      <c r="T11" s="287">
        <f t="shared" si="3"/>
        <v>0</v>
      </c>
      <c r="U11" s="287">
        <f t="shared" si="3"/>
        <v>0</v>
      </c>
      <c r="V11" s="287">
        <f t="shared" si="3"/>
        <v>0</v>
      </c>
      <c r="W11" s="276"/>
      <c r="X11" s="364"/>
      <c r="Y11" s="364"/>
      <c r="Z11" s="102"/>
      <c r="AA11" s="102"/>
    </row>
    <row r="12" spans="1:27" ht="15.75">
      <c r="A12" s="102"/>
      <c r="B12" s="288" t="s">
        <v>146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4"/>
      <c r="Q12" s="588"/>
      <c r="R12" s="588"/>
      <c r="S12" s="588"/>
      <c r="T12" s="588"/>
      <c r="U12" s="588"/>
      <c r="V12" s="588"/>
      <c r="W12" s="276"/>
      <c r="X12" s="588"/>
      <c r="Y12" s="588"/>
      <c r="Z12" s="102"/>
      <c r="AA12" s="102"/>
    </row>
    <row r="13" spans="1:27" ht="15.75">
      <c r="A13" s="102"/>
      <c r="B13" s="288" t="s">
        <v>181</v>
      </c>
      <c r="C13" s="158">
        <v>1</v>
      </c>
      <c r="D13" s="159">
        <v>0.25</v>
      </c>
      <c r="E13" s="289">
        <f>IF(C13="","",(IF(C13=0,"",(D13/C13))))</f>
        <v>0.25</v>
      </c>
      <c r="F13" s="290">
        <f t="shared" si="4"/>
        <v>0</v>
      </c>
      <c r="G13" s="290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4"/>
      <c r="Q13" s="568"/>
      <c r="R13" s="568"/>
      <c r="S13" s="568"/>
      <c r="T13" s="568"/>
      <c r="U13" s="568"/>
      <c r="V13" s="568"/>
      <c r="W13" s="276"/>
      <c r="X13" s="568"/>
      <c r="Y13" s="568"/>
      <c r="Z13" s="102"/>
      <c r="AA13" s="102"/>
    </row>
    <row r="14" spans="1:27" ht="15.75">
      <c r="A14" s="102"/>
      <c r="B14" s="291" t="s">
        <v>163</v>
      </c>
      <c r="C14" s="162">
        <v>2</v>
      </c>
      <c r="D14" s="292">
        <f>1-(D12+D13)</f>
        <v>0.44999999999999996</v>
      </c>
      <c r="E14" s="163">
        <f>D14/C14</f>
        <v>0.22499999999999998</v>
      </c>
      <c r="F14" s="293">
        <f t="shared" si="4"/>
        <v>0</v>
      </c>
      <c r="G14" s="293">
        <f t="shared" si="5"/>
        <v>0</v>
      </c>
      <c r="H14" s="53"/>
      <c r="I14" s="260"/>
      <c r="J14" s="53"/>
      <c r="K14" s="164"/>
      <c r="L14" s="133"/>
      <c r="M14" s="134"/>
      <c r="N14" s="135"/>
      <c r="O14" s="260"/>
      <c r="P14" s="260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75">
      <c r="A15" s="102"/>
      <c r="B15" s="53"/>
      <c r="C15" s="53"/>
      <c r="D15" s="53"/>
      <c r="E15" s="53"/>
      <c r="F15" s="102"/>
      <c r="G15" s="102"/>
      <c r="H15" s="263"/>
      <c r="I15" s="102"/>
      <c r="J15" s="102"/>
      <c r="K15" s="294"/>
      <c r="L15" s="165"/>
      <c r="M15" s="165"/>
      <c r="N15" s="166"/>
      <c r="O15" s="260"/>
      <c r="P15" s="260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5"/>
      <c r="I16" s="53"/>
      <c r="J16" s="53"/>
      <c r="K16" s="53"/>
      <c r="L16" s="53"/>
      <c r="M16" s="53"/>
      <c r="N16" s="296"/>
      <c r="O16" s="296"/>
      <c r="P16" s="296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75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75">
      <c r="A18" s="53"/>
      <c r="B18" s="171" t="s">
        <v>42</v>
      </c>
      <c r="C18" s="297" t="s">
        <v>182</v>
      </c>
      <c r="D18" s="171" t="s">
        <v>183</v>
      </c>
      <c r="E18" s="171" t="s">
        <v>9</v>
      </c>
      <c r="F18" s="172" t="s">
        <v>184</v>
      </c>
      <c r="G18" s="173" t="s">
        <v>9</v>
      </c>
      <c r="H18" s="174" t="s">
        <v>185</v>
      </c>
      <c r="I18" s="172" t="s">
        <v>144</v>
      </c>
      <c r="J18" s="172" t="s">
        <v>155</v>
      </c>
      <c r="K18" s="172" t="s">
        <v>162</v>
      </c>
      <c r="L18" s="172" t="s">
        <v>168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75">
      <c r="A19" s="53"/>
      <c r="B19" s="175">
        <v>2024</v>
      </c>
      <c r="C19" s="298" t="s">
        <v>124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75">
      <c r="A20" s="53"/>
      <c r="B20" s="175">
        <v>2024</v>
      </c>
      <c r="C20" s="298" t="s">
        <v>125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298" t="s">
        <v>186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298" t="s">
        <v>187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298" t="s">
        <v>188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298" t="s">
        <v>189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298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298" t="s">
        <v>119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298" t="s">
        <v>120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298" t="s">
        <v>121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298" t="s">
        <v>122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298" t="s">
        <v>123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298" t="s">
        <v>124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298" t="s">
        <v>125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298" t="s">
        <v>186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298" t="s">
        <v>187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298" t="s">
        <v>188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298" t="s">
        <v>189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299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298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299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298" t="s">
        <v>119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299"/>
      <c r="J38" s="299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298" t="s">
        <v>120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299"/>
      <c r="J39" s="299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298" t="s">
        <v>121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299"/>
      <c r="J40" s="299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298" t="s">
        <v>122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299"/>
      <c r="J41" s="299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298" t="s">
        <v>123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299"/>
      <c r="J42" s="299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0"/>
      <c r="C43" s="301"/>
      <c r="D43" s="302"/>
      <c r="E43" s="303"/>
      <c r="F43" s="304"/>
      <c r="G43" s="304"/>
      <c r="H43" s="305"/>
      <c r="I43" s="299"/>
      <c r="J43" s="299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0"/>
      <c r="C44" s="301"/>
      <c r="D44" s="302"/>
      <c r="E44" s="303"/>
      <c r="F44" s="304"/>
      <c r="G44" s="304"/>
      <c r="H44" s="305"/>
      <c r="I44" s="299"/>
      <c r="J44" s="299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0"/>
      <c r="C45" s="301"/>
      <c r="D45" s="302"/>
      <c r="E45" s="303"/>
      <c r="F45" s="304"/>
      <c r="G45" s="304"/>
      <c r="H45" s="305"/>
      <c r="I45" s="299"/>
      <c r="J45" s="299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0"/>
      <c r="C46" s="301"/>
      <c r="D46" s="302"/>
      <c r="E46" s="303"/>
      <c r="F46" s="304"/>
      <c r="G46" s="304"/>
      <c r="H46" s="305"/>
      <c r="I46" s="299"/>
      <c r="J46" s="299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0"/>
      <c r="C47" s="301"/>
      <c r="D47" s="302"/>
      <c r="E47" s="303"/>
      <c r="F47" s="304"/>
      <c r="G47" s="304"/>
      <c r="H47" s="305"/>
      <c r="I47" s="299"/>
      <c r="J47" s="299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0"/>
      <c r="C48" s="301"/>
      <c r="D48" s="302"/>
      <c r="E48" s="303"/>
      <c r="F48" s="304"/>
      <c r="G48" s="304"/>
      <c r="H48" s="305"/>
      <c r="I48" s="299"/>
      <c r="J48" s="299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0"/>
      <c r="C49" s="301"/>
      <c r="D49" s="302"/>
      <c r="E49" s="303"/>
      <c r="F49" s="304"/>
      <c r="G49" s="304"/>
      <c r="H49" s="305"/>
      <c r="I49" s="299"/>
      <c r="J49" s="299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0"/>
      <c r="C50" s="301"/>
      <c r="D50" s="302"/>
      <c r="E50" s="303"/>
      <c r="F50" s="304"/>
      <c r="G50" s="304"/>
      <c r="H50" s="305"/>
      <c r="I50" s="299"/>
      <c r="J50" s="299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0"/>
      <c r="C51" s="301"/>
      <c r="D51" s="302"/>
      <c r="E51" s="303"/>
      <c r="F51" s="304"/>
      <c r="G51" s="304"/>
      <c r="H51" s="305"/>
      <c r="I51" s="299"/>
      <c r="J51" s="299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0"/>
      <c r="C52" s="301"/>
      <c r="D52" s="302"/>
      <c r="E52" s="303"/>
      <c r="F52" s="304"/>
      <c r="G52" s="304"/>
      <c r="H52" s="305"/>
      <c r="I52" s="299"/>
      <c r="J52" s="299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0"/>
      <c r="C53" s="301"/>
      <c r="D53" s="302"/>
      <c r="E53" s="303"/>
      <c r="F53" s="304"/>
      <c r="G53" s="304"/>
      <c r="H53" s="305"/>
      <c r="I53" s="299"/>
      <c r="J53" s="299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0"/>
      <c r="C54" s="301"/>
      <c r="D54" s="302"/>
      <c r="E54" s="303"/>
      <c r="F54" s="304"/>
      <c r="G54" s="304"/>
      <c r="H54" s="305"/>
      <c r="I54" s="299"/>
      <c r="J54" s="299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0"/>
      <c r="C55" s="301"/>
      <c r="D55" s="302"/>
      <c r="E55" s="303"/>
      <c r="F55" s="304"/>
      <c r="G55" s="304"/>
      <c r="H55" s="305"/>
      <c r="I55" s="299"/>
      <c r="J55" s="299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0"/>
      <c r="C56" s="301"/>
      <c r="D56" s="302"/>
      <c r="E56" s="303"/>
      <c r="F56" s="304"/>
      <c r="G56" s="304"/>
      <c r="H56" s="305"/>
      <c r="I56" s="299"/>
      <c r="J56" s="299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0"/>
      <c r="C57" s="301"/>
      <c r="D57" s="302"/>
      <c r="E57" s="303"/>
      <c r="F57" s="304"/>
      <c r="G57" s="304"/>
      <c r="H57" s="305"/>
      <c r="I57" s="299"/>
      <c r="J57" s="299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0"/>
      <c r="C58" s="301"/>
      <c r="D58" s="302"/>
      <c r="E58" s="303"/>
      <c r="F58" s="304"/>
      <c r="G58" s="304"/>
      <c r="H58" s="305"/>
      <c r="I58" s="299"/>
      <c r="J58" s="299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0"/>
      <c r="C59" s="301"/>
      <c r="D59" s="302"/>
      <c r="E59" s="303"/>
      <c r="F59" s="304"/>
      <c r="G59" s="304"/>
      <c r="H59" s="305"/>
      <c r="I59" s="299"/>
      <c r="J59" s="299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0"/>
      <c r="C60" s="301"/>
      <c r="D60" s="302"/>
      <c r="E60" s="303"/>
      <c r="F60" s="304"/>
      <c r="G60" s="304"/>
      <c r="H60" s="305"/>
      <c r="I60" s="299"/>
      <c r="J60" s="299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0"/>
      <c r="C61" s="301"/>
      <c r="D61" s="302"/>
      <c r="E61" s="303"/>
      <c r="F61" s="304"/>
      <c r="G61" s="304"/>
      <c r="H61" s="305"/>
      <c r="I61" s="299"/>
      <c r="J61" s="299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0"/>
      <c r="C62" s="301"/>
      <c r="D62" s="302"/>
      <c r="E62" s="303"/>
      <c r="F62" s="304"/>
      <c r="G62" s="304"/>
      <c r="H62" s="305"/>
      <c r="I62" s="299"/>
      <c r="J62" s="299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0"/>
      <c r="C63" s="301"/>
      <c r="D63" s="302"/>
      <c r="E63" s="303"/>
      <c r="F63" s="304"/>
      <c r="G63" s="304"/>
      <c r="H63" s="305"/>
      <c r="I63" s="299"/>
      <c r="J63" s="299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0"/>
      <c r="C64" s="301"/>
      <c r="D64" s="302"/>
      <c r="E64" s="303"/>
      <c r="F64" s="304"/>
      <c r="G64" s="304"/>
      <c r="H64" s="305"/>
      <c r="I64" s="299"/>
      <c r="J64" s="299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0"/>
      <c r="C65" s="301"/>
      <c r="D65" s="302"/>
      <c r="E65" s="303"/>
      <c r="F65" s="304"/>
      <c r="G65" s="304"/>
      <c r="H65" s="305"/>
      <c r="I65" s="299"/>
      <c r="J65" s="299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0"/>
      <c r="C66" s="301"/>
      <c r="D66" s="302"/>
      <c r="E66" s="303"/>
      <c r="F66" s="304"/>
      <c r="G66" s="304"/>
      <c r="H66" s="305"/>
      <c r="I66" s="299"/>
      <c r="J66" s="299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0"/>
      <c r="C67" s="301"/>
      <c r="D67" s="302"/>
      <c r="E67" s="303"/>
      <c r="F67" s="304"/>
      <c r="G67" s="304"/>
      <c r="H67" s="305"/>
      <c r="I67" s="299"/>
      <c r="J67" s="299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0"/>
      <c r="C68" s="301"/>
      <c r="D68" s="302"/>
      <c r="E68" s="303"/>
      <c r="F68" s="304"/>
      <c r="G68" s="304"/>
      <c r="H68" s="305"/>
      <c r="I68" s="299"/>
      <c r="J68" s="299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0"/>
      <c r="C69" s="301"/>
      <c r="D69" s="302"/>
      <c r="E69" s="303"/>
      <c r="F69" s="304"/>
      <c r="G69" s="304"/>
      <c r="H69" s="305"/>
      <c r="I69" s="299"/>
      <c r="J69" s="299"/>
      <c r="K69" s="299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0"/>
      <c r="C70" s="301"/>
      <c r="D70" s="302"/>
      <c r="E70" s="303"/>
      <c r="F70" s="304"/>
      <c r="G70" s="304"/>
      <c r="H70" s="305"/>
      <c r="I70" s="299"/>
      <c r="J70" s="299"/>
      <c r="K70" s="299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0"/>
      <c r="C71" s="301"/>
      <c r="D71" s="302"/>
      <c r="E71" s="303"/>
      <c r="F71" s="304"/>
      <c r="G71" s="304"/>
      <c r="H71" s="305"/>
      <c r="I71" s="299"/>
      <c r="J71" s="299"/>
      <c r="K71" s="299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0"/>
      <c r="C72" s="301"/>
      <c r="D72" s="302"/>
      <c r="E72" s="303"/>
      <c r="F72" s="304"/>
      <c r="G72" s="304"/>
      <c r="H72" s="305"/>
      <c r="I72" s="299"/>
      <c r="J72" s="299"/>
      <c r="K72" s="299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0"/>
      <c r="C73" s="301"/>
      <c r="D73" s="302"/>
      <c r="E73" s="303"/>
      <c r="F73" s="304"/>
      <c r="G73" s="304"/>
      <c r="H73" s="305"/>
      <c r="I73" s="299"/>
      <c r="J73" s="299"/>
      <c r="K73" s="299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0"/>
      <c r="C74" s="301"/>
      <c r="D74" s="302"/>
      <c r="E74" s="303"/>
      <c r="F74" s="304"/>
      <c r="G74" s="304"/>
      <c r="H74" s="305"/>
      <c r="I74" s="299"/>
      <c r="J74" s="299"/>
      <c r="K74" s="299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0"/>
      <c r="C75" s="301"/>
      <c r="D75" s="302"/>
      <c r="E75" s="303"/>
      <c r="F75" s="304"/>
      <c r="G75" s="304"/>
      <c r="H75" s="305"/>
      <c r="I75" s="299"/>
      <c r="J75" s="299"/>
      <c r="K75" s="299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0"/>
      <c r="C76" s="301"/>
      <c r="D76" s="302"/>
      <c r="E76" s="303"/>
      <c r="F76" s="304"/>
      <c r="G76" s="304"/>
      <c r="H76" s="305"/>
      <c r="I76" s="299"/>
      <c r="J76" s="299"/>
      <c r="K76" s="299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0"/>
      <c r="C77" s="301"/>
      <c r="D77" s="302"/>
      <c r="E77" s="303"/>
      <c r="F77" s="304"/>
      <c r="G77" s="304"/>
      <c r="H77" s="305"/>
      <c r="I77" s="299"/>
      <c r="J77" s="299"/>
      <c r="K77" s="299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0"/>
      <c r="C78" s="301"/>
      <c r="D78" s="302"/>
      <c r="E78" s="303"/>
      <c r="F78" s="304"/>
      <c r="G78" s="304"/>
      <c r="H78" s="305"/>
      <c r="I78" s="299"/>
      <c r="J78" s="299"/>
      <c r="K78" s="299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0"/>
      <c r="C79" s="301"/>
      <c r="D79" s="302"/>
      <c r="E79" s="303"/>
      <c r="F79" s="304"/>
      <c r="G79" s="304"/>
      <c r="H79" s="305"/>
      <c r="I79" s="299"/>
      <c r="J79" s="299"/>
      <c r="K79" s="299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0"/>
      <c r="C80" s="301"/>
      <c r="D80" s="302"/>
      <c r="E80" s="303"/>
      <c r="F80" s="304"/>
      <c r="G80" s="304"/>
      <c r="H80" s="305"/>
      <c r="I80" s="299"/>
      <c r="J80" s="299"/>
      <c r="K80" s="299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0"/>
      <c r="C81" s="301"/>
      <c r="D81" s="302"/>
      <c r="E81" s="303"/>
      <c r="F81" s="304"/>
      <c r="G81" s="304"/>
      <c r="H81" s="305"/>
      <c r="I81" s="299"/>
      <c r="J81" s="299"/>
      <c r="K81" s="299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0"/>
      <c r="C82" s="301"/>
      <c r="D82" s="302"/>
      <c r="E82" s="303"/>
      <c r="F82" s="304"/>
      <c r="G82" s="304"/>
      <c r="H82" s="305"/>
      <c r="I82" s="299"/>
      <c r="J82" s="299"/>
      <c r="K82" s="299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0"/>
      <c r="C83" s="301"/>
      <c r="D83" s="302"/>
      <c r="E83" s="303"/>
      <c r="F83" s="304"/>
      <c r="G83" s="304"/>
      <c r="H83" s="305"/>
      <c r="I83" s="299"/>
      <c r="J83" s="299"/>
      <c r="K83" s="299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0"/>
      <c r="C84" s="301"/>
      <c r="D84" s="302"/>
      <c r="E84" s="303"/>
      <c r="F84" s="304"/>
      <c r="G84" s="304"/>
      <c r="H84" s="305"/>
      <c r="I84" s="299"/>
      <c r="J84" s="299"/>
      <c r="K84" s="299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0"/>
      <c r="C85" s="301"/>
      <c r="D85" s="302"/>
      <c r="E85" s="303"/>
      <c r="F85" s="304"/>
      <c r="G85" s="304"/>
      <c r="H85" s="305"/>
      <c r="I85" s="299"/>
      <c r="J85" s="299"/>
      <c r="K85" s="299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0"/>
      <c r="C86" s="301"/>
      <c r="D86" s="302"/>
      <c r="E86" s="303"/>
      <c r="F86" s="304"/>
      <c r="G86" s="304"/>
      <c r="H86" s="305"/>
      <c r="I86" s="299"/>
      <c r="J86" s="299"/>
      <c r="K86" s="299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0"/>
      <c r="C87" s="301"/>
      <c r="D87" s="302"/>
      <c r="E87" s="303"/>
      <c r="F87" s="304"/>
      <c r="G87" s="304"/>
      <c r="H87" s="305"/>
      <c r="I87" s="299"/>
      <c r="J87" s="299"/>
      <c r="K87" s="299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0"/>
      <c r="C88" s="301"/>
      <c r="D88" s="302"/>
      <c r="E88" s="303"/>
      <c r="F88" s="304"/>
      <c r="G88" s="304"/>
      <c r="H88" s="305"/>
      <c r="I88" s="299"/>
      <c r="J88" s="299"/>
      <c r="K88" s="299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0"/>
      <c r="C89" s="301"/>
      <c r="D89" s="302"/>
      <c r="E89" s="303"/>
      <c r="F89" s="304"/>
      <c r="G89" s="304"/>
      <c r="H89" s="305"/>
      <c r="I89" s="299"/>
      <c r="J89" s="299"/>
      <c r="K89" s="299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0"/>
      <c r="C90" s="301"/>
      <c r="D90" s="302"/>
      <c r="E90" s="303"/>
      <c r="F90" s="304"/>
      <c r="G90" s="304"/>
      <c r="H90" s="305"/>
      <c r="I90" s="299"/>
      <c r="J90" s="299"/>
      <c r="K90" s="299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0"/>
      <c r="C91" s="301"/>
      <c r="D91" s="302"/>
      <c r="E91" s="303"/>
      <c r="F91" s="304"/>
      <c r="G91" s="304"/>
      <c r="H91" s="305"/>
      <c r="I91" s="299"/>
      <c r="J91" s="299"/>
      <c r="K91" s="299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0"/>
      <c r="C92" s="301"/>
      <c r="D92" s="302"/>
      <c r="E92" s="303"/>
      <c r="F92" s="304"/>
      <c r="G92" s="304"/>
      <c r="H92" s="305"/>
      <c r="I92" s="299"/>
      <c r="J92" s="299"/>
      <c r="K92" s="299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0"/>
      <c r="C93" s="301"/>
      <c r="D93" s="302"/>
      <c r="E93" s="303"/>
      <c r="F93" s="304"/>
      <c r="G93" s="304"/>
      <c r="H93" s="305"/>
      <c r="I93" s="299"/>
      <c r="J93" s="299"/>
      <c r="K93" s="299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0"/>
      <c r="C94" s="301"/>
      <c r="D94" s="302"/>
      <c r="E94" s="303"/>
      <c r="F94" s="304"/>
      <c r="G94" s="304"/>
      <c r="H94" s="305"/>
      <c r="I94" s="299"/>
      <c r="J94" s="299"/>
      <c r="K94" s="299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0"/>
      <c r="C95" s="301"/>
      <c r="D95" s="302"/>
      <c r="E95" s="303"/>
      <c r="F95" s="304"/>
      <c r="G95" s="304"/>
      <c r="H95" s="305"/>
      <c r="I95" s="299"/>
      <c r="J95" s="299"/>
      <c r="K95" s="299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0"/>
      <c r="C96" s="301"/>
      <c r="D96" s="302"/>
      <c r="E96" s="303"/>
      <c r="F96" s="304"/>
      <c r="G96" s="304"/>
      <c r="H96" s="305"/>
      <c r="I96" s="299"/>
      <c r="J96" s="299"/>
      <c r="K96" s="299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0"/>
      <c r="C97" s="301"/>
      <c r="D97" s="302"/>
      <c r="E97" s="303"/>
      <c r="F97" s="304"/>
      <c r="G97" s="304"/>
      <c r="H97" s="305"/>
      <c r="I97" s="299"/>
      <c r="J97" s="299"/>
      <c r="K97" s="299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0"/>
      <c r="C98" s="301"/>
      <c r="D98" s="302"/>
      <c r="E98" s="303"/>
      <c r="F98" s="304"/>
      <c r="G98" s="304"/>
      <c r="H98" s="305"/>
      <c r="I98" s="299"/>
      <c r="J98" s="299"/>
      <c r="K98" s="299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0"/>
      <c r="C99" s="301"/>
      <c r="D99" s="302"/>
      <c r="E99" s="303"/>
      <c r="F99" s="304"/>
      <c r="G99" s="304"/>
      <c r="H99" s="305"/>
      <c r="I99" s="299"/>
      <c r="J99" s="299"/>
      <c r="K99" s="299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0"/>
      <c r="C100" s="301"/>
      <c r="D100" s="302"/>
      <c r="E100" s="303"/>
      <c r="F100" s="304"/>
      <c r="G100" s="304"/>
      <c r="H100" s="305"/>
      <c r="I100" s="299"/>
      <c r="J100" s="299"/>
      <c r="K100" s="299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0"/>
      <c r="C101" s="301"/>
      <c r="D101" s="302"/>
      <c r="E101" s="303"/>
      <c r="F101" s="304"/>
      <c r="G101" s="304"/>
      <c r="H101" s="305"/>
      <c r="I101" s="299"/>
      <c r="J101" s="299"/>
      <c r="K101" s="299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0"/>
      <c r="C102" s="301"/>
      <c r="D102" s="302"/>
      <c r="E102" s="303"/>
      <c r="F102" s="304"/>
      <c r="G102" s="304"/>
      <c r="H102" s="305"/>
      <c r="I102" s="299"/>
      <c r="J102" s="299"/>
      <c r="K102" s="299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0"/>
      <c r="C103" s="301"/>
      <c r="D103" s="302"/>
      <c r="E103" s="303"/>
      <c r="F103" s="304"/>
      <c r="G103" s="304"/>
      <c r="H103" s="305"/>
      <c r="I103" s="299"/>
      <c r="J103" s="299"/>
      <c r="K103" s="299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0"/>
      <c r="C104" s="301"/>
      <c r="D104" s="302"/>
      <c r="E104" s="303"/>
      <c r="F104" s="304"/>
      <c r="G104" s="304"/>
      <c r="H104" s="305"/>
      <c r="I104" s="299"/>
      <c r="J104" s="299"/>
      <c r="K104" s="299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0"/>
      <c r="C105" s="301"/>
      <c r="D105" s="302"/>
      <c r="E105" s="303"/>
      <c r="F105" s="304"/>
      <c r="G105" s="304"/>
      <c r="H105" s="305"/>
      <c r="I105" s="299"/>
      <c r="J105" s="299"/>
      <c r="K105" s="299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0"/>
      <c r="C106" s="301"/>
      <c r="D106" s="302"/>
      <c r="E106" s="303"/>
      <c r="F106" s="304"/>
      <c r="G106" s="304"/>
      <c r="H106" s="305"/>
      <c r="I106" s="299"/>
      <c r="J106" s="299"/>
      <c r="K106" s="299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0"/>
      <c r="C107" s="301"/>
      <c r="D107" s="302"/>
      <c r="E107" s="303"/>
      <c r="F107" s="304"/>
      <c r="G107" s="304"/>
      <c r="H107" s="305"/>
      <c r="I107" s="299"/>
      <c r="J107" s="299"/>
      <c r="K107" s="299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0"/>
      <c r="C108" s="301"/>
      <c r="D108" s="302"/>
      <c r="E108" s="303"/>
      <c r="F108" s="304"/>
      <c r="G108" s="304"/>
      <c r="H108" s="305"/>
      <c r="I108" s="299"/>
      <c r="J108" s="299"/>
      <c r="K108" s="299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0"/>
      <c r="C109" s="301"/>
      <c r="D109" s="302"/>
      <c r="E109" s="303"/>
      <c r="F109" s="304"/>
      <c r="G109" s="304"/>
      <c r="H109" s="305"/>
      <c r="I109" s="299"/>
      <c r="J109" s="299"/>
      <c r="K109" s="299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0"/>
      <c r="C110" s="301"/>
      <c r="D110" s="302"/>
      <c r="E110" s="303"/>
      <c r="F110" s="304"/>
      <c r="G110" s="304"/>
      <c r="H110" s="305"/>
      <c r="I110" s="299"/>
      <c r="J110" s="299"/>
      <c r="K110" s="299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0"/>
      <c r="C111" s="301"/>
      <c r="D111" s="302"/>
      <c r="E111" s="303"/>
      <c r="F111" s="304"/>
      <c r="G111" s="304"/>
      <c r="H111" s="305"/>
      <c r="I111" s="299"/>
      <c r="J111" s="299"/>
      <c r="K111" s="299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0"/>
      <c r="C112" s="301"/>
      <c r="D112" s="302"/>
      <c r="E112" s="303"/>
      <c r="F112" s="304"/>
      <c r="G112" s="304"/>
      <c r="H112" s="305"/>
      <c r="I112" s="299"/>
      <c r="J112" s="299"/>
      <c r="K112" s="299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0"/>
      <c r="C113" s="301"/>
      <c r="D113" s="302"/>
      <c r="E113" s="303"/>
      <c r="F113" s="304"/>
      <c r="G113" s="304"/>
      <c r="H113" s="305"/>
      <c r="I113" s="299"/>
      <c r="J113" s="299"/>
      <c r="K113" s="299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0"/>
      <c r="C114" s="301"/>
      <c r="D114" s="302"/>
      <c r="E114" s="303"/>
      <c r="F114" s="304"/>
      <c r="G114" s="304"/>
      <c r="H114" s="305"/>
      <c r="I114" s="299"/>
      <c r="J114" s="299"/>
      <c r="K114" s="299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0"/>
      <c r="C115" s="301"/>
      <c r="D115" s="302"/>
      <c r="E115" s="303"/>
      <c r="F115" s="304"/>
      <c r="G115" s="304"/>
      <c r="H115" s="305"/>
      <c r="I115" s="299"/>
      <c r="J115" s="299"/>
      <c r="K115" s="299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0"/>
      <c r="C116" s="301"/>
      <c r="D116" s="302"/>
      <c r="E116" s="303"/>
      <c r="F116" s="304"/>
      <c r="G116" s="304"/>
      <c r="H116" s="305"/>
      <c r="I116" s="299"/>
      <c r="J116" s="299"/>
      <c r="K116" s="299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0"/>
      <c r="C117" s="301"/>
      <c r="D117" s="302"/>
      <c r="E117" s="303"/>
      <c r="F117" s="304"/>
      <c r="G117" s="304"/>
      <c r="H117" s="305"/>
      <c r="I117" s="299"/>
      <c r="J117" s="299"/>
      <c r="K117" s="299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0"/>
      <c r="C118" s="301"/>
      <c r="D118" s="302"/>
      <c r="E118" s="303"/>
      <c r="F118" s="304"/>
      <c r="G118" s="304"/>
      <c r="H118" s="305"/>
      <c r="I118" s="299"/>
      <c r="J118" s="299"/>
      <c r="K118" s="299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0"/>
      <c r="C119" s="301"/>
      <c r="D119" s="302"/>
      <c r="E119" s="303"/>
      <c r="F119" s="304"/>
      <c r="G119" s="304"/>
      <c r="H119" s="305"/>
      <c r="I119" s="299"/>
      <c r="J119" s="299"/>
      <c r="K119" s="299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0"/>
      <c r="C120" s="301"/>
      <c r="D120" s="302"/>
      <c r="E120" s="303"/>
      <c r="F120" s="304"/>
      <c r="G120" s="304"/>
      <c r="H120" s="305"/>
      <c r="I120" s="299"/>
      <c r="J120" s="299"/>
      <c r="K120" s="299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0"/>
      <c r="C121" s="301"/>
      <c r="D121" s="302"/>
      <c r="E121" s="303"/>
      <c r="F121" s="304"/>
      <c r="G121" s="304"/>
      <c r="H121" s="305"/>
      <c r="I121" s="299"/>
      <c r="J121" s="299"/>
      <c r="K121" s="299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0"/>
      <c r="C122" s="301"/>
      <c r="D122" s="302"/>
      <c r="E122" s="303"/>
      <c r="F122" s="304"/>
      <c r="G122" s="304"/>
      <c r="H122" s="305"/>
      <c r="I122" s="299"/>
      <c r="J122" s="299"/>
      <c r="K122" s="299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0"/>
      <c r="C123" s="301"/>
      <c r="D123" s="302"/>
      <c r="E123" s="303"/>
      <c r="F123" s="304"/>
      <c r="G123" s="304"/>
      <c r="H123" s="305"/>
      <c r="I123" s="299"/>
      <c r="J123" s="299"/>
      <c r="K123" s="299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0"/>
      <c r="C124" s="301"/>
      <c r="D124" s="302"/>
      <c r="E124" s="303"/>
      <c r="F124" s="304"/>
      <c r="G124" s="304"/>
      <c r="H124" s="305"/>
      <c r="I124" s="299"/>
      <c r="J124" s="299"/>
      <c r="K124" s="299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0"/>
      <c r="C125" s="301"/>
      <c r="D125" s="302"/>
      <c r="E125" s="303"/>
      <c r="F125" s="304"/>
      <c r="G125" s="304"/>
      <c r="H125" s="305"/>
      <c r="I125" s="299"/>
      <c r="J125" s="299"/>
      <c r="K125" s="299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0"/>
      <c r="C126" s="301"/>
      <c r="D126" s="302"/>
      <c r="E126" s="303"/>
      <c r="F126" s="304"/>
      <c r="G126" s="304"/>
      <c r="H126" s="305"/>
      <c r="I126" s="299"/>
      <c r="J126" s="299"/>
      <c r="K126" s="299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0"/>
      <c r="C127" s="301"/>
      <c r="D127" s="302"/>
      <c r="E127" s="303"/>
      <c r="F127" s="304"/>
      <c r="G127" s="304"/>
      <c r="H127" s="305"/>
      <c r="I127" s="299"/>
      <c r="J127" s="299"/>
      <c r="K127" s="299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0"/>
      <c r="C128" s="301"/>
      <c r="D128" s="302"/>
      <c r="E128" s="303"/>
      <c r="F128" s="304"/>
      <c r="G128" s="304"/>
      <c r="H128" s="305"/>
      <c r="I128" s="299"/>
      <c r="J128" s="299"/>
      <c r="K128" s="299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0"/>
      <c r="C129" s="301"/>
      <c r="D129" s="302"/>
      <c r="E129" s="303"/>
      <c r="F129" s="304"/>
      <c r="G129" s="304"/>
      <c r="H129" s="305"/>
      <c r="I129" s="299"/>
      <c r="J129" s="299"/>
      <c r="K129" s="299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0"/>
      <c r="C130" s="301"/>
      <c r="D130" s="302"/>
      <c r="E130" s="303"/>
      <c r="F130" s="304"/>
      <c r="G130" s="304"/>
      <c r="H130" s="305"/>
      <c r="I130" s="299"/>
      <c r="J130" s="299"/>
      <c r="K130" s="299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0"/>
      <c r="C131" s="301"/>
      <c r="D131" s="302"/>
      <c r="E131" s="303"/>
      <c r="F131" s="304"/>
      <c r="G131" s="304"/>
      <c r="H131" s="305"/>
      <c r="I131" s="299"/>
      <c r="J131" s="299"/>
      <c r="K131" s="299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0"/>
      <c r="C132" s="301"/>
      <c r="D132" s="302"/>
      <c r="E132" s="303"/>
      <c r="F132" s="304"/>
      <c r="G132" s="304"/>
      <c r="H132" s="305"/>
      <c r="I132" s="299"/>
      <c r="J132" s="299"/>
      <c r="K132" s="299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0"/>
      <c r="C133" s="301"/>
      <c r="D133" s="302"/>
      <c r="E133" s="303"/>
      <c r="F133" s="304"/>
      <c r="G133" s="304"/>
      <c r="H133" s="305"/>
      <c r="I133" s="299"/>
      <c r="J133" s="299"/>
      <c r="K133" s="299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0"/>
      <c r="C134" s="301"/>
      <c r="D134" s="302"/>
      <c r="E134" s="303"/>
      <c r="F134" s="304"/>
      <c r="G134" s="304"/>
      <c r="H134" s="305"/>
      <c r="I134" s="299"/>
      <c r="J134" s="299"/>
      <c r="K134" s="299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0"/>
      <c r="C135" s="301"/>
      <c r="D135" s="302"/>
      <c r="E135" s="303"/>
      <c r="F135" s="304"/>
      <c r="G135" s="304"/>
      <c r="H135" s="305"/>
      <c r="I135" s="299"/>
      <c r="J135" s="299"/>
      <c r="K135" s="299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0"/>
      <c r="C136" s="301"/>
      <c r="D136" s="302"/>
      <c r="E136" s="303"/>
      <c r="F136" s="304"/>
      <c r="G136" s="304"/>
      <c r="H136" s="305"/>
      <c r="I136" s="299"/>
      <c r="J136" s="299"/>
      <c r="K136" s="299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0"/>
      <c r="C137" s="301"/>
      <c r="D137" s="302"/>
      <c r="E137" s="303"/>
      <c r="F137" s="304"/>
      <c r="G137" s="304"/>
      <c r="H137" s="305"/>
      <c r="I137" s="299"/>
      <c r="J137" s="299"/>
      <c r="K137" s="299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0"/>
      <c r="C138" s="301"/>
      <c r="D138" s="302"/>
      <c r="E138" s="303"/>
      <c r="F138" s="304"/>
      <c r="G138" s="304"/>
      <c r="H138" s="305"/>
      <c r="I138" s="299"/>
      <c r="J138" s="299"/>
      <c r="K138" s="299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0"/>
      <c r="C139" s="301"/>
      <c r="D139" s="302"/>
      <c r="E139" s="303"/>
      <c r="F139" s="304"/>
      <c r="G139" s="304"/>
      <c r="H139" s="305"/>
      <c r="I139" s="299"/>
      <c r="J139" s="299"/>
      <c r="K139" s="299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0"/>
      <c r="C140" s="301"/>
      <c r="D140" s="302"/>
      <c r="E140" s="303"/>
      <c r="F140" s="304"/>
      <c r="G140" s="304"/>
      <c r="H140" s="305"/>
      <c r="I140" s="299"/>
      <c r="J140" s="299"/>
      <c r="K140" s="299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0"/>
      <c r="C141" s="301"/>
      <c r="D141" s="302"/>
      <c r="E141" s="303"/>
      <c r="F141" s="304"/>
      <c r="G141" s="304"/>
      <c r="H141" s="305"/>
      <c r="I141" s="299"/>
      <c r="J141" s="299"/>
      <c r="K141" s="299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0"/>
      <c r="C142" s="301"/>
      <c r="D142" s="302"/>
      <c r="E142" s="303"/>
      <c r="F142" s="304"/>
      <c r="G142" s="304"/>
      <c r="H142" s="305"/>
      <c r="I142" s="299"/>
      <c r="J142" s="299"/>
      <c r="K142" s="299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0"/>
      <c r="C143" s="301"/>
      <c r="D143" s="302"/>
      <c r="E143" s="303"/>
      <c r="F143" s="304"/>
      <c r="G143" s="304"/>
      <c r="H143" s="305"/>
      <c r="I143" s="299"/>
      <c r="J143" s="299"/>
      <c r="K143" s="299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0"/>
      <c r="C144" s="301"/>
      <c r="D144" s="302"/>
      <c r="E144" s="303"/>
      <c r="F144" s="304"/>
      <c r="G144" s="304"/>
      <c r="H144" s="305"/>
      <c r="I144" s="299"/>
      <c r="J144" s="299"/>
      <c r="K144" s="299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0"/>
      <c r="C145" s="301"/>
      <c r="D145" s="302"/>
      <c r="E145" s="303"/>
      <c r="F145" s="304"/>
      <c r="G145" s="304"/>
      <c r="H145" s="305"/>
      <c r="I145" s="299"/>
      <c r="J145" s="299"/>
      <c r="K145" s="299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0"/>
      <c r="C146" s="301"/>
      <c r="D146" s="302"/>
      <c r="E146" s="303"/>
      <c r="F146" s="304"/>
      <c r="G146" s="304"/>
      <c r="H146" s="305"/>
      <c r="I146" s="299"/>
      <c r="J146" s="299"/>
      <c r="K146" s="299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0"/>
      <c r="C147" s="301"/>
      <c r="D147" s="302"/>
      <c r="E147" s="303"/>
      <c r="F147" s="304"/>
      <c r="G147" s="304"/>
      <c r="H147" s="305"/>
      <c r="I147" s="299"/>
      <c r="J147" s="299"/>
      <c r="K147" s="299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0"/>
      <c r="C148" s="301"/>
      <c r="D148" s="302"/>
      <c r="E148" s="303"/>
      <c r="F148" s="304"/>
      <c r="G148" s="304"/>
      <c r="H148" s="305"/>
      <c r="I148" s="299"/>
      <c r="J148" s="299"/>
      <c r="K148" s="299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0"/>
      <c r="C149" s="301"/>
      <c r="D149" s="302"/>
      <c r="E149" s="303"/>
      <c r="F149" s="304"/>
      <c r="G149" s="304"/>
      <c r="H149" s="305"/>
      <c r="I149" s="299"/>
      <c r="J149" s="299"/>
      <c r="K149" s="299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0"/>
      <c r="C150" s="301"/>
      <c r="D150" s="302"/>
      <c r="E150" s="303"/>
      <c r="F150" s="304"/>
      <c r="G150" s="304"/>
      <c r="H150" s="305"/>
      <c r="I150" s="299"/>
      <c r="J150" s="299"/>
      <c r="K150" s="299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0"/>
      <c r="C151" s="301"/>
      <c r="D151" s="302"/>
      <c r="E151" s="303"/>
      <c r="F151" s="304"/>
      <c r="G151" s="304"/>
      <c r="H151" s="305"/>
      <c r="I151" s="299"/>
      <c r="J151" s="299"/>
      <c r="K151" s="299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0"/>
      <c r="C152" s="301"/>
      <c r="D152" s="302"/>
      <c r="E152" s="303"/>
      <c r="F152" s="304"/>
      <c r="G152" s="304"/>
      <c r="H152" s="305"/>
      <c r="I152" s="299"/>
      <c r="J152" s="299"/>
      <c r="K152" s="299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0"/>
      <c r="C153" s="301"/>
      <c r="D153" s="302"/>
      <c r="E153" s="303"/>
      <c r="F153" s="304"/>
      <c r="G153" s="304"/>
      <c r="H153" s="305"/>
      <c r="I153" s="299"/>
      <c r="J153" s="299"/>
      <c r="K153" s="299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0"/>
      <c r="C154" s="301"/>
      <c r="D154" s="302"/>
      <c r="E154" s="303"/>
      <c r="F154" s="304"/>
      <c r="G154" s="304"/>
      <c r="H154" s="305"/>
      <c r="I154" s="299"/>
      <c r="J154" s="299"/>
      <c r="K154" s="299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0"/>
      <c r="C155" s="301"/>
      <c r="D155" s="302"/>
      <c r="E155" s="303"/>
      <c r="F155" s="304"/>
      <c r="G155" s="304"/>
      <c r="H155" s="305"/>
      <c r="I155" s="299"/>
      <c r="J155" s="299"/>
      <c r="K155" s="299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0"/>
      <c r="C156" s="301"/>
      <c r="D156" s="302"/>
      <c r="E156" s="303"/>
      <c r="F156" s="304"/>
      <c r="G156" s="304"/>
      <c r="H156" s="305"/>
      <c r="I156" s="299"/>
      <c r="J156" s="299"/>
      <c r="K156" s="299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0"/>
      <c r="C157" s="301"/>
      <c r="D157" s="302"/>
      <c r="E157" s="303"/>
      <c r="F157" s="304"/>
      <c r="G157" s="304"/>
      <c r="H157" s="305"/>
      <c r="I157" s="299"/>
      <c r="J157" s="299"/>
      <c r="K157" s="299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0"/>
      <c r="C158" s="301"/>
      <c r="D158" s="302"/>
      <c r="E158" s="303"/>
      <c r="F158" s="304"/>
      <c r="G158" s="304"/>
      <c r="H158" s="305"/>
      <c r="I158" s="299"/>
      <c r="J158" s="299"/>
      <c r="K158" s="299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0"/>
      <c r="C159" s="301"/>
      <c r="D159" s="302"/>
      <c r="E159" s="303"/>
      <c r="F159" s="304"/>
      <c r="G159" s="304"/>
      <c r="H159" s="305"/>
      <c r="I159" s="299"/>
      <c r="J159" s="299"/>
      <c r="K159" s="299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0"/>
      <c r="C160" s="301"/>
      <c r="D160" s="302"/>
      <c r="E160" s="303"/>
      <c r="F160" s="304"/>
      <c r="G160" s="304"/>
      <c r="H160" s="305"/>
      <c r="I160" s="299"/>
      <c r="J160" s="299"/>
      <c r="K160" s="299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0"/>
      <c r="C161" s="301"/>
      <c r="D161" s="302"/>
      <c r="E161" s="303"/>
      <c r="F161" s="304"/>
      <c r="G161" s="304"/>
      <c r="H161" s="305"/>
      <c r="I161" s="299"/>
      <c r="J161" s="299"/>
      <c r="K161" s="299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0"/>
      <c r="C162" s="301"/>
      <c r="D162" s="302"/>
      <c r="E162" s="303"/>
      <c r="F162" s="304"/>
      <c r="G162" s="304"/>
      <c r="H162" s="305"/>
      <c r="I162" s="299"/>
      <c r="J162" s="299"/>
      <c r="K162" s="299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0"/>
      <c r="C163" s="301"/>
      <c r="D163" s="302"/>
      <c r="E163" s="303"/>
      <c r="F163" s="304"/>
      <c r="G163" s="304"/>
      <c r="H163" s="305"/>
      <c r="I163" s="299"/>
      <c r="J163" s="299"/>
      <c r="K163" s="299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0"/>
      <c r="C164" s="301"/>
      <c r="D164" s="302"/>
      <c r="E164" s="303"/>
      <c r="F164" s="304"/>
      <c r="G164" s="304"/>
      <c r="H164" s="305"/>
      <c r="I164" s="299"/>
      <c r="J164" s="299"/>
      <c r="K164" s="299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0"/>
      <c r="C165" s="301"/>
      <c r="D165" s="302"/>
      <c r="E165" s="303"/>
      <c r="F165" s="304"/>
      <c r="G165" s="304"/>
      <c r="H165" s="305"/>
      <c r="I165" s="299"/>
      <c r="J165" s="299"/>
      <c r="K165" s="299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0"/>
      <c r="C166" s="301"/>
      <c r="D166" s="302"/>
      <c r="E166" s="303"/>
      <c r="F166" s="304"/>
      <c r="G166" s="304"/>
      <c r="H166" s="305"/>
      <c r="I166" s="299"/>
      <c r="J166" s="299"/>
      <c r="K166" s="299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0"/>
      <c r="C167" s="301"/>
      <c r="D167" s="302"/>
      <c r="E167" s="303"/>
      <c r="F167" s="304"/>
      <c r="G167" s="304"/>
      <c r="H167" s="305"/>
      <c r="I167" s="299"/>
      <c r="J167" s="299"/>
      <c r="K167" s="299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0"/>
      <c r="C168" s="301"/>
      <c r="D168" s="302"/>
      <c r="E168" s="303"/>
      <c r="F168" s="304"/>
      <c r="G168" s="304"/>
      <c r="H168" s="305"/>
      <c r="I168" s="299"/>
      <c r="J168" s="299"/>
      <c r="K168" s="299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0"/>
      <c r="C169" s="301"/>
      <c r="D169" s="302"/>
      <c r="E169" s="303"/>
      <c r="F169" s="304"/>
      <c r="G169" s="304"/>
      <c r="H169" s="305"/>
      <c r="I169" s="299"/>
      <c r="J169" s="299"/>
      <c r="K169" s="299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0"/>
      <c r="C170" s="301"/>
      <c r="D170" s="302"/>
      <c r="E170" s="303"/>
      <c r="F170" s="304"/>
      <c r="G170" s="304"/>
      <c r="H170" s="305"/>
      <c r="I170" s="299"/>
      <c r="J170" s="299"/>
      <c r="K170" s="299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0"/>
      <c r="C171" s="301"/>
      <c r="D171" s="302"/>
      <c r="E171" s="303"/>
      <c r="F171" s="304"/>
      <c r="G171" s="304"/>
      <c r="H171" s="305"/>
      <c r="I171" s="299"/>
      <c r="J171" s="299"/>
      <c r="K171" s="299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0"/>
      <c r="C172" s="301"/>
      <c r="D172" s="302"/>
      <c r="E172" s="303"/>
      <c r="F172" s="304"/>
      <c r="G172" s="304"/>
      <c r="H172" s="305"/>
      <c r="I172" s="299"/>
      <c r="J172" s="299"/>
      <c r="K172" s="299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0"/>
      <c r="C173" s="301"/>
      <c r="D173" s="302"/>
      <c r="E173" s="303"/>
      <c r="F173" s="304"/>
      <c r="G173" s="304"/>
      <c r="H173" s="305"/>
      <c r="I173" s="299"/>
      <c r="J173" s="299"/>
      <c r="K173" s="299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0"/>
      <c r="C174" s="301"/>
      <c r="D174" s="302"/>
      <c r="E174" s="303"/>
      <c r="F174" s="304"/>
      <c r="G174" s="304"/>
      <c r="H174" s="305"/>
      <c r="I174" s="299"/>
      <c r="J174" s="299"/>
      <c r="K174" s="299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0"/>
      <c r="C175" s="301"/>
      <c r="D175" s="302"/>
      <c r="E175" s="303"/>
      <c r="F175" s="304"/>
      <c r="G175" s="304"/>
      <c r="H175" s="305"/>
      <c r="I175" s="299"/>
      <c r="J175" s="299"/>
      <c r="K175" s="299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0"/>
      <c r="C176" s="301"/>
      <c r="D176" s="302"/>
      <c r="E176" s="303"/>
      <c r="F176" s="304"/>
      <c r="G176" s="304"/>
      <c r="H176" s="305"/>
      <c r="I176" s="299"/>
      <c r="J176" s="299"/>
      <c r="K176" s="299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0"/>
      <c r="C177" s="301"/>
      <c r="D177" s="302"/>
      <c r="E177" s="303"/>
      <c r="F177" s="304"/>
      <c r="G177" s="304"/>
      <c r="H177" s="305"/>
      <c r="I177" s="299"/>
      <c r="J177" s="299"/>
      <c r="K177" s="299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0"/>
      <c r="C178" s="301"/>
      <c r="D178" s="302"/>
      <c r="E178" s="303"/>
      <c r="F178" s="304"/>
      <c r="G178" s="304"/>
      <c r="H178" s="305"/>
      <c r="I178" s="299"/>
      <c r="J178" s="299"/>
      <c r="K178" s="299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0"/>
      <c r="C179" s="301"/>
      <c r="D179" s="302"/>
      <c r="E179" s="303"/>
      <c r="F179" s="304"/>
      <c r="G179" s="304"/>
      <c r="H179" s="305"/>
      <c r="I179" s="299"/>
      <c r="J179" s="299"/>
      <c r="K179" s="299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0"/>
      <c r="C180" s="301"/>
      <c r="D180" s="302"/>
      <c r="E180" s="303"/>
      <c r="F180" s="304"/>
      <c r="G180" s="304"/>
      <c r="H180" s="305"/>
      <c r="I180" s="299"/>
      <c r="J180" s="299"/>
      <c r="K180" s="299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0"/>
      <c r="C181" s="301"/>
      <c r="D181" s="302"/>
      <c r="E181" s="303"/>
      <c r="F181" s="304"/>
      <c r="G181" s="304"/>
      <c r="H181" s="305"/>
      <c r="I181" s="299"/>
      <c r="J181" s="299"/>
      <c r="K181" s="299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0"/>
      <c r="C182" s="301"/>
      <c r="D182" s="302"/>
      <c r="E182" s="303"/>
      <c r="F182" s="304"/>
      <c r="G182" s="304"/>
      <c r="H182" s="305"/>
      <c r="I182" s="299"/>
      <c r="J182" s="299"/>
      <c r="K182" s="299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0"/>
      <c r="C183" s="301"/>
      <c r="D183" s="302"/>
      <c r="E183" s="303"/>
      <c r="F183" s="304"/>
      <c r="G183" s="304"/>
      <c r="H183" s="305"/>
      <c r="I183" s="299"/>
      <c r="J183" s="299"/>
      <c r="K183" s="299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0"/>
      <c r="C184" s="301"/>
      <c r="D184" s="302"/>
      <c r="E184" s="303"/>
      <c r="F184" s="304"/>
      <c r="G184" s="304"/>
      <c r="H184" s="305"/>
      <c r="I184" s="299"/>
      <c r="J184" s="299"/>
      <c r="K184" s="299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0"/>
      <c r="C185" s="301"/>
      <c r="D185" s="302"/>
      <c r="E185" s="303"/>
      <c r="F185" s="304"/>
      <c r="G185" s="304"/>
      <c r="H185" s="305"/>
      <c r="I185" s="299"/>
      <c r="J185" s="299"/>
      <c r="K185" s="299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0"/>
      <c r="C186" s="301"/>
      <c r="D186" s="302"/>
      <c r="E186" s="303"/>
      <c r="F186" s="304"/>
      <c r="G186" s="304"/>
      <c r="H186" s="305"/>
      <c r="I186" s="299"/>
      <c r="J186" s="299"/>
      <c r="K186" s="299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0"/>
      <c r="C187" s="301"/>
      <c r="D187" s="302"/>
      <c r="E187" s="303"/>
      <c r="F187" s="304"/>
      <c r="G187" s="304"/>
      <c r="H187" s="305"/>
      <c r="I187" s="299"/>
      <c r="J187" s="299"/>
      <c r="K187" s="299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0"/>
      <c r="C188" s="301"/>
      <c r="D188" s="302"/>
      <c r="E188" s="303"/>
      <c r="F188" s="304"/>
      <c r="G188" s="304"/>
      <c r="H188" s="305"/>
      <c r="I188" s="299"/>
      <c r="J188" s="299"/>
      <c r="K188" s="299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0"/>
      <c r="C189" s="301"/>
      <c r="D189" s="302"/>
      <c r="E189" s="303"/>
      <c r="F189" s="304"/>
      <c r="G189" s="304"/>
      <c r="H189" s="305"/>
      <c r="I189" s="299"/>
      <c r="J189" s="299"/>
      <c r="K189" s="299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0"/>
      <c r="C190" s="301"/>
      <c r="D190" s="302"/>
      <c r="E190" s="303"/>
      <c r="F190" s="304"/>
      <c r="G190" s="304"/>
      <c r="H190" s="305"/>
      <c r="I190" s="299"/>
      <c r="J190" s="299"/>
      <c r="K190" s="299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0"/>
      <c r="C191" s="301"/>
      <c r="D191" s="302"/>
      <c r="E191" s="303"/>
      <c r="F191" s="304"/>
      <c r="G191" s="304"/>
      <c r="H191" s="305"/>
      <c r="I191" s="299"/>
      <c r="J191" s="299"/>
      <c r="K191" s="299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0"/>
      <c r="C192" s="301"/>
      <c r="D192" s="302"/>
      <c r="E192" s="303"/>
      <c r="F192" s="304"/>
      <c r="G192" s="304"/>
      <c r="H192" s="305"/>
      <c r="I192" s="299"/>
      <c r="J192" s="299"/>
      <c r="K192" s="299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0"/>
      <c r="C193" s="301"/>
      <c r="D193" s="302"/>
      <c r="E193" s="303"/>
      <c r="F193" s="304"/>
      <c r="G193" s="304"/>
      <c r="H193" s="305"/>
      <c r="I193" s="299"/>
      <c r="J193" s="299"/>
      <c r="K193" s="299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0"/>
      <c r="C194" s="301"/>
      <c r="D194" s="302"/>
      <c r="E194" s="303"/>
      <c r="F194" s="304"/>
      <c r="G194" s="304"/>
      <c r="H194" s="305"/>
      <c r="I194" s="299"/>
      <c r="J194" s="299"/>
      <c r="K194" s="299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0"/>
      <c r="C195" s="301"/>
      <c r="D195" s="302"/>
      <c r="E195" s="303"/>
      <c r="F195" s="304"/>
      <c r="G195" s="304"/>
      <c r="H195" s="305"/>
      <c r="I195" s="299"/>
      <c r="J195" s="299"/>
      <c r="K195" s="299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0"/>
      <c r="C196" s="301"/>
      <c r="D196" s="302"/>
      <c r="E196" s="303"/>
      <c r="F196" s="304"/>
      <c r="G196" s="304"/>
      <c r="H196" s="305"/>
      <c r="I196" s="299"/>
      <c r="J196" s="299"/>
      <c r="K196" s="299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0"/>
      <c r="C197" s="301"/>
      <c r="D197" s="302"/>
      <c r="E197" s="303"/>
      <c r="F197" s="304"/>
      <c r="G197" s="304"/>
      <c r="H197" s="305"/>
      <c r="I197" s="299"/>
      <c r="J197" s="299"/>
      <c r="K197" s="299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0"/>
      <c r="C198" s="301"/>
      <c r="D198" s="302"/>
      <c r="E198" s="303"/>
      <c r="F198" s="304"/>
      <c r="G198" s="304"/>
      <c r="H198" s="305"/>
      <c r="I198" s="299"/>
      <c r="J198" s="299"/>
      <c r="K198" s="299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0"/>
      <c r="C199" s="301"/>
      <c r="D199" s="302"/>
      <c r="E199" s="303"/>
      <c r="F199" s="304"/>
      <c r="G199" s="304"/>
      <c r="H199" s="305"/>
      <c r="I199" s="299"/>
      <c r="J199" s="299"/>
      <c r="K199" s="299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0"/>
      <c r="C200" s="301"/>
      <c r="D200" s="302"/>
      <c r="E200" s="303"/>
      <c r="F200" s="304"/>
      <c r="G200" s="304"/>
      <c r="H200" s="305"/>
      <c r="I200" s="299"/>
      <c r="J200" s="299"/>
      <c r="K200" s="299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0"/>
      <c r="C201" s="301"/>
      <c r="D201" s="302"/>
      <c r="E201" s="303"/>
      <c r="F201" s="304"/>
      <c r="G201" s="304"/>
      <c r="H201" s="305"/>
      <c r="I201" s="299"/>
      <c r="J201" s="299"/>
      <c r="K201" s="299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0"/>
      <c r="C202" s="301"/>
      <c r="D202" s="302"/>
      <c r="E202" s="303"/>
      <c r="F202" s="304"/>
      <c r="G202" s="304"/>
      <c r="H202" s="305"/>
      <c r="I202" s="299"/>
      <c r="J202" s="299"/>
      <c r="K202" s="299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0"/>
      <c r="C203" s="301"/>
      <c r="D203" s="302"/>
      <c r="E203" s="303"/>
      <c r="F203" s="304"/>
      <c r="G203" s="304"/>
      <c r="H203" s="305"/>
      <c r="I203" s="299"/>
      <c r="J203" s="299"/>
      <c r="K203" s="299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0"/>
      <c r="C204" s="301"/>
      <c r="D204" s="302"/>
      <c r="E204" s="303"/>
      <c r="F204" s="304"/>
      <c r="G204" s="304"/>
      <c r="H204" s="305"/>
      <c r="I204" s="299"/>
      <c r="J204" s="299"/>
      <c r="K204" s="299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0"/>
      <c r="C205" s="301"/>
      <c r="D205" s="302"/>
      <c r="E205" s="303"/>
      <c r="F205" s="304"/>
      <c r="G205" s="304"/>
      <c r="H205" s="305"/>
      <c r="I205" s="299"/>
      <c r="J205" s="299"/>
      <c r="K205" s="299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0"/>
      <c r="C206" s="301"/>
      <c r="D206" s="302"/>
      <c r="E206" s="303"/>
      <c r="F206" s="304"/>
      <c r="G206" s="304"/>
      <c r="H206" s="305"/>
      <c r="I206" s="299"/>
      <c r="J206" s="299"/>
      <c r="K206" s="299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0"/>
      <c r="C207" s="301"/>
      <c r="D207" s="302"/>
      <c r="E207" s="303"/>
      <c r="F207" s="304"/>
      <c r="G207" s="304"/>
      <c r="H207" s="305"/>
      <c r="I207" s="299"/>
      <c r="J207" s="299"/>
      <c r="K207" s="299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0"/>
      <c r="C208" s="301"/>
      <c r="D208" s="302"/>
      <c r="E208" s="303"/>
      <c r="F208" s="304"/>
      <c r="G208" s="304"/>
      <c r="H208" s="305"/>
      <c r="I208" s="299"/>
      <c r="J208" s="299"/>
      <c r="K208" s="299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0"/>
      <c r="C209" s="301"/>
      <c r="D209" s="302"/>
      <c r="E209" s="303"/>
      <c r="F209" s="304"/>
      <c r="G209" s="304"/>
      <c r="H209" s="305"/>
      <c r="I209" s="299"/>
      <c r="J209" s="299"/>
      <c r="K209" s="299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0"/>
      <c r="C210" s="301"/>
      <c r="D210" s="302"/>
      <c r="E210" s="303"/>
      <c r="F210" s="304"/>
      <c r="G210" s="304"/>
      <c r="H210" s="305"/>
      <c r="I210" s="299"/>
      <c r="J210" s="299"/>
      <c r="K210" s="299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0"/>
      <c r="C211" s="301"/>
      <c r="D211" s="302"/>
      <c r="E211" s="303"/>
      <c r="F211" s="304"/>
      <c r="G211" s="304"/>
      <c r="H211" s="305"/>
      <c r="I211" s="299"/>
      <c r="J211" s="299"/>
      <c r="K211" s="299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0"/>
      <c r="C212" s="301"/>
      <c r="D212" s="302"/>
      <c r="E212" s="303"/>
      <c r="F212" s="304"/>
      <c r="G212" s="304"/>
      <c r="H212" s="305"/>
      <c r="I212" s="299"/>
      <c r="J212" s="299"/>
      <c r="K212" s="299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0"/>
      <c r="C213" s="301"/>
      <c r="D213" s="302"/>
      <c r="E213" s="303"/>
      <c r="F213" s="304"/>
      <c r="G213" s="304"/>
      <c r="H213" s="305"/>
      <c r="I213" s="299"/>
      <c r="J213" s="299"/>
      <c r="K213" s="299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0"/>
      <c r="C214" s="301"/>
      <c r="D214" s="302"/>
      <c r="E214" s="303"/>
      <c r="F214" s="304"/>
      <c r="G214" s="304"/>
      <c r="H214" s="305"/>
      <c r="I214" s="299"/>
      <c r="J214" s="299"/>
      <c r="K214" s="299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0"/>
      <c r="C215" s="301"/>
      <c r="D215" s="302"/>
      <c r="E215" s="303"/>
      <c r="F215" s="304"/>
      <c r="G215" s="304"/>
      <c r="H215" s="305"/>
      <c r="I215" s="299"/>
      <c r="J215" s="299"/>
      <c r="K215" s="299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0"/>
      <c r="C216" s="301"/>
      <c r="D216" s="302"/>
      <c r="E216" s="303"/>
      <c r="F216" s="304"/>
      <c r="G216" s="304"/>
      <c r="H216" s="305"/>
      <c r="I216" s="299"/>
      <c r="J216" s="299"/>
      <c r="K216" s="299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0"/>
      <c r="C217" s="301"/>
      <c r="D217" s="302"/>
      <c r="E217" s="303"/>
      <c r="F217" s="304"/>
      <c r="G217" s="304"/>
      <c r="H217" s="305"/>
      <c r="I217" s="299"/>
      <c r="J217" s="299"/>
      <c r="K217" s="299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0"/>
      <c r="C218" s="301"/>
      <c r="D218" s="302"/>
      <c r="E218" s="303"/>
      <c r="F218" s="304"/>
      <c r="G218" s="304"/>
      <c r="H218" s="305"/>
      <c r="I218" s="299"/>
      <c r="J218" s="299"/>
      <c r="K218" s="299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0"/>
      <c r="C219" s="301"/>
      <c r="D219" s="302"/>
      <c r="E219" s="303"/>
      <c r="F219" s="304"/>
      <c r="G219" s="304"/>
      <c r="H219" s="305"/>
      <c r="I219" s="299"/>
      <c r="J219" s="299"/>
      <c r="K219" s="299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0"/>
      <c r="C220" s="301"/>
      <c r="D220" s="302"/>
      <c r="E220" s="303"/>
      <c r="F220" s="304"/>
      <c r="G220" s="304"/>
      <c r="H220" s="305"/>
      <c r="I220" s="299"/>
      <c r="J220" s="299"/>
      <c r="K220" s="299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0"/>
      <c r="C221" s="301"/>
      <c r="D221" s="302"/>
      <c r="E221" s="303"/>
      <c r="F221" s="304"/>
      <c r="G221" s="304"/>
      <c r="H221" s="305"/>
      <c r="I221" s="299"/>
      <c r="J221" s="299"/>
      <c r="K221" s="299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0"/>
      <c r="C222" s="301"/>
      <c r="D222" s="302"/>
      <c r="E222" s="303"/>
      <c r="F222" s="304"/>
      <c r="G222" s="304"/>
      <c r="H222" s="305"/>
      <c r="I222" s="299"/>
      <c r="J222" s="299"/>
      <c r="K222" s="299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0"/>
      <c r="C223" s="301"/>
      <c r="D223" s="302"/>
      <c r="E223" s="303"/>
      <c r="F223" s="304"/>
      <c r="G223" s="304"/>
      <c r="H223" s="305"/>
      <c r="I223" s="299"/>
      <c r="J223" s="299"/>
      <c r="K223" s="299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0"/>
      <c r="C224" s="301"/>
      <c r="D224" s="302"/>
      <c r="E224" s="303"/>
      <c r="F224" s="304"/>
      <c r="G224" s="304"/>
      <c r="H224" s="305"/>
      <c r="I224" s="299"/>
      <c r="J224" s="299"/>
      <c r="K224" s="299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0"/>
      <c r="C225" s="301"/>
      <c r="D225" s="302"/>
      <c r="E225" s="303"/>
      <c r="F225" s="304"/>
      <c r="G225" s="304"/>
      <c r="H225" s="305"/>
      <c r="I225" s="299"/>
      <c r="J225" s="299"/>
      <c r="K225" s="299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0"/>
      <c r="C226" s="301"/>
      <c r="D226" s="302"/>
      <c r="E226" s="303"/>
      <c r="F226" s="304"/>
      <c r="G226" s="304"/>
      <c r="H226" s="305"/>
      <c r="I226" s="299"/>
      <c r="J226" s="299"/>
      <c r="K226" s="299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0"/>
      <c r="C227" s="301"/>
      <c r="D227" s="302"/>
      <c r="E227" s="303"/>
      <c r="F227" s="304"/>
      <c r="G227" s="304"/>
      <c r="H227" s="305"/>
      <c r="I227" s="299"/>
      <c r="J227" s="299"/>
      <c r="K227" s="299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0"/>
      <c r="C228" s="301"/>
      <c r="D228" s="302"/>
      <c r="E228" s="303"/>
      <c r="F228" s="304"/>
      <c r="G228" s="304"/>
      <c r="H228" s="305"/>
      <c r="I228" s="299"/>
      <c r="J228" s="299"/>
      <c r="K228" s="299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0"/>
      <c r="C229" s="301"/>
      <c r="D229" s="302"/>
      <c r="E229" s="303"/>
      <c r="F229" s="304"/>
      <c r="G229" s="304"/>
      <c r="H229" s="305"/>
      <c r="I229" s="299"/>
      <c r="J229" s="299"/>
      <c r="K229" s="299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0"/>
      <c r="C230" s="301"/>
      <c r="D230" s="302"/>
      <c r="E230" s="303"/>
      <c r="F230" s="304"/>
      <c r="G230" s="304"/>
      <c r="H230" s="305"/>
      <c r="I230" s="299"/>
      <c r="J230" s="299"/>
      <c r="K230" s="299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0"/>
      <c r="C231" s="301"/>
      <c r="D231" s="302"/>
      <c r="E231" s="303"/>
      <c r="F231" s="304"/>
      <c r="G231" s="304"/>
      <c r="H231" s="305"/>
      <c r="I231" s="299"/>
      <c r="J231" s="299"/>
      <c r="K231" s="299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0"/>
      <c r="C232" s="301"/>
      <c r="D232" s="302"/>
      <c r="E232" s="303"/>
      <c r="F232" s="304"/>
      <c r="G232" s="304"/>
      <c r="H232" s="305"/>
      <c r="I232" s="299"/>
      <c r="J232" s="299"/>
      <c r="K232" s="299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0"/>
      <c r="C233" s="301"/>
      <c r="D233" s="302"/>
      <c r="E233" s="303"/>
      <c r="F233" s="304"/>
      <c r="G233" s="304"/>
      <c r="H233" s="305"/>
      <c r="I233" s="299"/>
      <c r="J233" s="299"/>
      <c r="K233" s="299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0"/>
      <c r="C234" s="301"/>
      <c r="D234" s="302"/>
      <c r="E234" s="303"/>
      <c r="F234" s="304"/>
      <c r="G234" s="304"/>
      <c r="H234" s="305"/>
      <c r="I234" s="299"/>
      <c r="J234" s="299"/>
      <c r="K234" s="299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0"/>
      <c r="C235" s="301"/>
      <c r="D235" s="302"/>
      <c r="E235" s="303"/>
      <c r="F235" s="304"/>
      <c r="G235" s="304"/>
      <c r="H235" s="305"/>
      <c r="I235" s="299"/>
      <c r="J235" s="299"/>
      <c r="K235" s="299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0"/>
      <c r="C236" s="301"/>
      <c r="D236" s="302"/>
      <c r="E236" s="303"/>
      <c r="F236" s="304"/>
      <c r="G236" s="304"/>
      <c r="H236" s="305"/>
      <c r="I236" s="299"/>
      <c r="J236" s="299"/>
      <c r="K236" s="299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0"/>
      <c r="C237" s="301"/>
      <c r="D237" s="302"/>
      <c r="E237" s="303"/>
      <c r="F237" s="304"/>
      <c r="G237" s="304"/>
      <c r="H237" s="305"/>
      <c r="I237" s="299"/>
      <c r="J237" s="299"/>
      <c r="K237" s="299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0"/>
      <c r="C238" s="301"/>
      <c r="D238" s="302"/>
      <c r="E238" s="303"/>
      <c r="F238" s="304"/>
      <c r="G238" s="304"/>
      <c r="H238" s="305"/>
      <c r="I238" s="299"/>
      <c r="J238" s="299"/>
      <c r="K238" s="299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0"/>
      <c r="C239" s="301"/>
      <c r="D239" s="302"/>
      <c r="E239" s="303"/>
      <c r="F239" s="304"/>
      <c r="G239" s="304"/>
      <c r="H239" s="305"/>
      <c r="I239" s="299"/>
      <c r="J239" s="299"/>
      <c r="K239" s="299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0"/>
      <c r="C240" s="301"/>
      <c r="D240" s="302"/>
      <c r="E240" s="303"/>
      <c r="F240" s="304"/>
      <c r="G240" s="304"/>
      <c r="H240" s="305"/>
      <c r="I240" s="299"/>
      <c r="J240" s="299"/>
      <c r="K240" s="299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0"/>
      <c r="C241" s="301"/>
      <c r="D241" s="302"/>
      <c r="E241" s="303"/>
      <c r="F241" s="304"/>
      <c r="G241" s="304"/>
      <c r="H241" s="305"/>
      <c r="I241" s="299"/>
      <c r="J241" s="299"/>
      <c r="K241" s="299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0"/>
      <c r="C242" s="301"/>
      <c r="D242" s="302"/>
      <c r="E242" s="303"/>
      <c r="F242" s="304"/>
      <c r="G242" s="304"/>
      <c r="H242" s="305"/>
      <c r="I242" s="299"/>
      <c r="J242" s="299"/>
      <c r="K242" s="299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2026-09-01T21:50:04Z</dcterms:modified>
  <cp:category/>
  <cp:contentStatus/>
</cp:coreProperties>
</file>